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1d7b4b28e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9ff490e3ba94bc1"/>
    <x:sheet xmlns:r="http://schemas.openxmlformats.org/officeDocument/2006/relationships" name="Context &amp; Constraints" sheetId="2" r:id="R9738eee22e874057"/>
    <x:sheet xmlns:r="http://schemas.openxmlformats.org/officeDocument/2006/relationships" name="Career Timeline" sheetId="3" r:id="Rd1089b0d1225495f"/>
    <x:sheet xmlns:r="http://schemas.openxmlformats.org/officeDocument/2006/relationships" name="Elections" sheetId="4" r:id="R9df88dfc28af4ffc"/>
    <x:sheet xmlns:r="http://schemas.openxmlformats.org/officeDocument/2006/relationships" name="Offices &amp; Party" sheetId="5" r:id="R9b1f3a7cfeeb449d"/>
    <x:sheet xmlns:r="http://schemas.openxmlformats.org/officeDocument/2006/relationships" name="Policy &amp; Governance" sheetId="6" r:id="R24cfab505deb4d37"/>
    <x:sheet xmlns:r="http://schemas.openxmlformats.org/officeDocument/2006/relationships" name="Ideas &amp; Political Method" sheetId="7" r:id="R3e9e747d76874a9c"/>
    <x:sheet xmlns:r="http://schemas.openxmlformats.org/officeDocument/2006/relationships" name="Controversies" sheetId="8" r:id="Ra0ff40eb62ed46a3"/>
    <x:sheet xmlns:r="http://schemas.openxmlformats.org/officeDocument/2006/relationships" name="Legacy &amp; Assessments" sheetId="9" r:id="R34ada3c09c114bdb"/>
    <x:sheet xmlns:r="http://schemas.openxmlformats.org/officeDocument/2006/relationships" name="Sources" sheetId="10" r:id="R79d999548757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"/>
    <x:numFmt numFmtId="203" formatCode="0.00%"/>
    <x:numFmt numFmtId="204" formatCode="General"/>
  </x:numFmts>
  <x:fonts count="11">
    <x:font>
      <x:sz val="11"/>
      <x:name val="Carlito"/>
    </x:font>
    <x:font>
      <x:sz val="10"/>
      <x:color rgb="FF173342"/>
      <x:name val="Arial"/>
    </x:font>
    <x:font>
      <x:b/>
      <x:sz val="18"/>
      <x:color rgb="FF173342"/>
      <x:name val="Arial"/>
    </x:font>
    <x:font>
      <x:sz val="10"/>
      <x:color rgb="FF5D707A"/>
      <x:name val="Arial"/>
    </x:font>
    <x:font>
      <x:b/>
      <x:sz val="10"/>
      <x:color rgb="FF7A4B00"/>
      <x:name val="Arial"/>
    </x:font>
    <x:font>
      <x:sz val="10"/>
      <x:color rgb="FF0D6B69"/>
      <x:name val="Arial"/>
    </x:font>
    <x:font>
      <x:b/>
      <x:sz val="10"/>
      <x:color rgb="FFFFFFFF"/>
      <x:name val="Arial"/>
    </x:font>
    <x:font>
      <x:b/>
      <x:sz val="10"/>
      <x:color rgb="FF0D6B69"/>
      <x:name val="Arial"/>
    </x:font>
    <x:font>
      <x:sz val="10"/>
      <x:color rgb="FF2563A0"/>
      <x:name val="Arial"/>
    </x:font>
    <x:font>
      <x:sz val="10"/>
      <x:color rgb="FF345C8A"/>
      <x:name val="Arial"/>
    </x:font>
    <x:font>
      <x:b/>
      <x:sz val="15"/>
      <x:color rgb="FF0D6B6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8"/>
      </x:patternFill>
    </x:fill>
    <x:fill>
      <x:patternFill patternType="solid">
        <x:fgColor rgb="FFFFF0D0"/>
      </x:patternFill>
    </x:fill>
    <x:fill>
      <x:patternFill patternType="solid">
        <x:fgColor rgb="FF173342"/>
      </x:patternFill>
    </x:fill>
    <x:fill>
      <x:patternFill patternType="solid">
        <x:fgColor rgb="FFE9EFFB"/>
      </x:patternFill>
    </x:fill>
    <x:fill>
      <x:patternFill patternType="solid">
        <x:fgColor rgb="FF173342"/>
      </x:patternFill>
    </x:fill>
    <x:fill>
      <x:patternFill patternType="solid">
        <x:fgColor rgb="FF173342"/>
      </x:patternFill>
    </x:fill>
    <x:fill>
      <x:patternFill patternType="solid">
        <x:fgColor rgb="FFFFFFFF"/>
      </x:patternFill>
    </x:fill>
    <x:fill>
      <x:patternFill patternType="solid">
        <x:fgColor rgb="FFF2F6F8"/>
      </x:patternFill>
    </x:fill>
  </x:fills>
  <x:borders count="2">
    <x:border/>
    <x:border>
      <x:bottom style="thin">
        <x:color rgb="FFB6C9CF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2" borderId="0" xfId="0" applyNumberFormat="1" applyFont="1" applyFill="1" applyBorder="1" applyAlignment="1">
      <x:alignment vertical="top" wrapText="1"/>
    </x:xf>
    <x:xf numFmtId="202" fontId="8" fillId="3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3" fontId="1" fillId="2" borderId="0" xfId="0" applyNumberFormat="1" applyFont="1" applyFill="1" applyBorder="1" applyAlignment="1">
      <x:alignment vertical="top" wrapText="1"/>
    </x:xf>
    <x:xf numFmtId="203" fontId="7" fillId="3" borderId="0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vertical="top" wrapText="1"/>
    </x:xf>
    <x:xf numFmtId="203" fontId="7" fillId="2" borderId="0" xfId="0" applyNumberFormat="1" applyFont="1" applyFill="1" applyBorder="1" applyAlignment="1">
      <x:alignment vertical="top" wrapText="1"/>
    </x:xf>
    <x:xf numFmtId="202" fontId="7" fillId="2" borderId="0" xfId="0" applyNumberFormat="1" applyFont="1" applyFill="1" applyBorder="1" applyAlignment="1">
      <x:alignment vertical="top" wrapText="1"/>
    </x:xf>
    <x:xf numFmtId="202" fontId="8" fillId="3" borderId="0" xfId="0" applyNumberFormat="1" applyFont="1" applyFill="1" applyBorder="1" applyAlignment="1">
      <x:alignment horizontal="right" vertical="top" wrapText="1"/>
    </x:xf>
    <x:xf numFmtId="202" fontId="8" fillId="2" borderId="0" xfId="0" applyNumberFormat="1" applyFont="1" applyFill="1" applyBorder="1" applyAlignment="1">
      <x:alignment horizontal="right" vertical="top" wrapText="1"/>
    </x:xf>
    <x:xf numFmtId="203" fontId="7" fillId="3" borderId="0" xfId="0" applyNumberFormat="1" applyFont="1" applyFill="1" applyBorder="1" applyAlignment="1">
      <x:alignment horizontal="right" vertical="top" wrapText="1"/>
    </x:xf>
    <x:xf numFmtId="203" fontId="7" fillId="2" borderId="0" xfId="0" applyNumberFormat="1" applyFont="1" applyFill="1" applyBorder="1" applyAlignment="1">
      <x:alignment horizontal="right" vertical="top" wrapText="1"/>
    </x:xf>
    <x:xf numFmtId="202" fontId="7" fillId="3" borderId="0" xfId="0" applyNumberFormat="1" applyFont="1" applyFill="1" applyBorder="1" applyAlignment="1">
      <x:alignment horizontal="right" vertical="top" wrapText="1"/>
    </x:xf>
    <x:xf numFmtId="202" fontId="7" fillId="2" borderId="0" xfId="0" applyNumberFormat="1" applyFont="1" applyFill="1" applyBorder="1" applyAlignment="1">
      <x:alignment horizontal="right" vertical="top" wrapText="1"/>
    </x:xf>
    <x:xf numFmtId="201" fontId="10" fillId="3" borderId="0" xfId="0" applyNumberFormat="1" applyFont="1" applyFill="1" applyBorder="1" applyAlignment="1">
      <x:alignment vertical="top" wrapText="1"/>
    </x:xf>
    <x:xf numFmtId="201" fontId="10" fillId="2" borderId="0" xfId="0" applyNumberFormat="1" applyFont="1" applyFill="1" applyBorder="1" applyAlignment="1">
      <x:alignment vertical="top" wrapText="1"/>
    </x:xf>
    <x:xf numFmtId="204" fontId="7" fillId="3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204" fontId="8" fillId="3" borderId="0" xfId="0" applyNumberFormat="1" applyFont="1" applyFill="1" applyBorder="1" applyAlignment="1">
      <x:alignment vertical="top" wrapText="1"/>
    </x:xf>
    <x:xf numFmtId="204" fontId="7" fillId="2" borderId="0" xfId="0" applyNumberFormat="1" applyFont="1" applyFill="1" applyBorder="1" applyAlignment="1">
      <x:alignment vertical="top" wrapText="1"/>
    </x:xf>
    <x:xf numFmtId="204" fontId="1" fillId="2" borderId="0" xfId="0" applyNumberFormat="1" applyFont="1" applyFill="1" applyBorder="1" applyAlignment="1">
      <x:alignment vertical="top" wrapText="1"/>
    </x:xf>
    <x:xf numFmtId="204" fontId="8" fillId="2" borderId="0" xfId="0" applyNumberFormat="1" applyFont="1" applyFill="1" applyBorder="1" applyAlignment="1">
      <x:alignment vertical="top" wrapText="1"/>
    </x:xf>
    <x:xf numFmtId="204" fontId="4" fillId="4" borderId="0" xfId="0" applyNumberFormat="1" applyFont="1" applyFill="1" applyBorder="1" applyAlignment="1">
      <x:alignment vertical="top" wrapText="1"/>
    </x:xf>
    <x:xf numFmtId="204" fontId="5" fillId="3" borderId="0" xfId="0" applyNumberFormat="1" applyFont="1" applyFill="1" applyBorder="1" applyAlignment="1">
      <x:alignment vertical="top" wrapText="1"/>
    </x:xf>
    <x:xf numFmtId="204" fontId="5" fillId="2" borderId="0" xfId="0" applyNumberFormat="1" applyFont="1" applyFill="1" applyBorder="1" applyAlignment="1">
      <x:alignment vertical="top" wrapText="1"/>
    </x:xf>
    <x:xf numFmtId="204" fontId="10" fillId="3" borderId="0" xfId="0" applyNumberFormat="1" applyFont="1" applyFill="1" applyBorder="1" applyAlignment="1">
      <x:alignment vertical="top" wrapText="1"/>
    </x:xf>
    <x:xf numFmtId="204" fontId="10" fillId="2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center" wrapText="1"/>
    </x:xf>
    <x:xf numFmtId="204" fontId="9" fillId="6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8" fillId="0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4" fontId="1" fillId="9" borderId="0" xfId="0" applyNumberFormat="1" applyFont="1" applyFill="1" applyBorder="1" applyAlignment="1">
      <x:alignment vertical="top" wrapText="1"/>
    </x:xf>
    <x:xf numFmtId="200" fontId="1" fillId="9" borderId="0" xfId="0" applyNumberFormat="1" applyFont="1" applyFill="1" applyBorder="1" applyAlignment="1">
      <x:alignment vertical="top" wrapText="1"/>
    </x:xf>
    <x:xf numFmtId="204" fontId="1" fillId="10" borderId="0" xfId="0" applyNumberFormat="1" applyFont="1" applyFill="1" applyBorder="1" applyAlignment="1">
      <x:alignment vertical="top" wrapText="1"/>
    </x:xf>
    <x:xf numFmtId="200" fontId="1" fillId="10" borderId="0" xfId="0" applyNumberFormat="1" applyFont="1" applyFill="1" applyBorder="1" applyAlignment="1">
      <x:alignment vertical="top" wrapText="1"/>
    </x:xf>
    <x:xf numFmtId="204" fontId="7" fillId="9" borderId="0" xfId="0" applyNumberFormat="1" applyFont="1" applyFill="1" applyBorder="1" applyAlignment="1">
      <x:alignment vertical="top" wrapText="1"/>
    </x:xf>
    <x:xf numFmtId="204" fontId="7" fillId="10" borderId="0" xfId="0" applyNumberFormat="1" applyFont="1" applyFill="1" applyBorder="1" applyAlignment="1">
      <x:alignment vertical="top" wrapText="1"/>
    </x:xf>
    <x:xf numFmtId="204" fontId="8" fillId="9" borderId="0" xfId="0" applyNumberFormat="1" applyFont="1" applyFill="1" applyBorder="1" applyAlignment="1">
      <x:alignment vertical="top" wrapText="1"/>
    </x:xf>
    <x:xf numFmtId="204" fontId="8" fillId="10" borderId="0" xfId="0" applyNumberFormat="1" applyFont="1" applyFill="1" applyBorder="1" applyAlignment="1">
      <x:alignment vertical="top" wrapText="1"/>
    </x:xf>
    <x:xf numFmtId="204" fontId="0" fillId="10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204" fontId="1" fillId="10" borderId="0" xfId="0" applyNumberFormat="1" applyFont="1" applyFill="1" applyBorder="1" applyAlignment="1">
      <x:alignment wrapText="1"/>
    </x:xf>
    <x:xf numFmtId="200" fontId="1" fillId="10" borderId="0" xfId="0" applyNumberFormat="1" applyFont="1" applyFill="1" applyBorder="1" applyAlignment="1">
      <x:alignment wrapText="1"/>
    </x:xf>
    <x:xf numFmtId="204" fontId="1" fillId="3" borderId="0" xfId="0" applyNumberFormat="1" applyFont="1" applyFill="1" applyBorder="1" applyAlignment="1">
      <x:alignment horizontal="left" vertical="top" wrapText="1"/>
    </x:xf>
    <x:xf numFmtId="204" fontId="1" fillId="2" borderId="0" xfId="0" applyNumberFormat="1" applyFont="1" applyFill="1" applyBorder="1" applyAlignment="1">
      <x:alignment horizontal="left" vertical="top" wrapText="1"/>
    </x:xf>
    <x:xf numFmtId="200" fontId="1" fillId="3" borderId="0" xfId="0" applyNumberFormat="1" applyFont="1" applyFill="1" applyBorder="1" applyAlignment="1">
      <x:alignment horizontal="left" vertical="top" wrapText="1"/>
    </x:xf>
    <x:xf numFmtId="200" fontId="1" fillId="2" borderId="0" xfId="0" applyNumberFormat="1" applyFont="1" applyFill="1" applyBorder="1" applyAlignment="1">
      <x:alignment horizontal="left" vertical="top" wrapText="1"/>
    </x:xf>
    <x:xf numFmtId="200" fontId="1" fillId="1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1b121ad954b8f" /><Relationship Type="http://schemas.openxmlformats.org/officeDocument/2006/relationships/theme" Target="/xl/theme/theme1.xml" Id="R00631a8882164378" /><Relationship Type="http://schemas.openxmlformats.org/officeDocument/2006/relationships/sharedStrings" Target="/xl/sharedStrings.xml" Id="R2f06144b51c14b73" /><Relationship Type="http://schemas.openxmlformats.org/officeDocument/2006/relationships/worksheet" Target="/xl/worksheets/sheet1.xml" Id="R09ff490e3ba94bc1" /><Relationship Type="http://schemas.openxmlformats.org/officeDocument/2006/relationships/worksheet" Target="/xl/worksheets/sheet2.xml" Id="R9738eee22e874057" /><Relationship Type="http://schemas.openxmlformats.org/officeDocument/2006/relationships/worksheet" Target="/xl/worksheets/sheet3.xml" Id="Rd1089b0d1225495f" /><Relationship Type="http://schemas.openxmlformats.org/officeDocument/2006/relationships/worksheet" Target="/xl/worksheets/sheet4.xml" Id="R9df88dfc28af4ffc" /><Relationship Type="http://schemas.openxmlformats.org/officeDocument/2006/relationships/worksheet" Target="/xl/worksheets/sheet5.xml" Id="R9b1f3a7cfeeb449d" /><Relationship Type="http://schemas.openxmlformats.org/officeDocument/2006/relationships/worksheet" Target="/xl/worksheets/sheet6.xml" Id="R24cfab505deb4d37" /><Relationship Type="http://schemas.openxmlformats.org/officeDocument/2006/relationships/worksheet" Target="/xl/worksheets/sheet7.xml" Id="R3e9e747d76874a9c" /><Relationship Type="http://schemas.openxmlformats.org/officeDocument/2006/relationships/worksheet" Target="/xl/worksheets/sheet8.xml" Id="Ra0ff40eb62ed46a3" /><Relationship Type="http://schemas.openxmlformats.org/officeDocument/2006/relationships/worksheet" Target="/xl/worksheets/sheet9.xml" Id="R34ada3c09c114bdb" /><Relationship Type="http://schemas.openxmlformats.org/officeDocument/2006/relationships/worksheet" Target="/xl/worksheets/sheet10.xml" Id="R79d99954875745af" /></Relationships>
</file>

<file path=xl/tables/table1.xml><?xml version="1.0" encoding="utf-8"?>
<x:table xmlns:x="http://schemas.openxmlformats.org/spreadsheetml/2006/main" id="17" name="PV_1" displayName="PV_1" ref="A5:H31" headerRowCount="1" totalsRowCount="0" totalsRowShown="0">
  <x:autoFilter ref="A5:H31"/>
  <x:tableColumns count="8">
    <x:tableColumn id="1" name="Record ID"/>
    <x:tableColumn id="2" name="Profile / question"/>
    <x:tableColumn id="3" name="Finding / calculated summary"/>
    <x:tableColumn id="4" name="Career phase"/>
    <x:tableColumn id="5" name="Claim type"/>
    <x:tableColumn id="6" name="Corroboration"/>
    <x:tableColumn id="7" name="Source IDs"/>
    <x:tableColumn id="8" name="Research note / interpretation limi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18" name="PV_2" displayName="PV_2" ref="A5:O76" headerRowCount="1" totalsRowCount="0" totalsRowShown="0">
  <x:autoFilter ref="A5:O76"/>
  <x:tableColumns count="15">
    <x:tableColumn id="1" name="Context ID"/>
    <x:tableColumn id="2" name="Career phase"/>
    <x:tableColumn id="3" name="Period"/>
    <x:tableColumn id="4" name="Coverage"/>
    <x:tableColumn id="5" name="Dimension / item"/>
    <x:tableColumn id="6" name="Research disposition"/>
    <x:tableColumn id="7" name="Finding"/>
    <x:tableColumn id="8" name="Mechanism / institutional constraint"/>
    <x:tableColumn id="9" name="Contemporary comparator / feasible alternative"/>
    <x:tableColumn id="10" name="Contemporary reception / record"/>
    <x:tableColumn id="11" name="Retrospective caution / evidence limit"/>
    <x:tableColumn id="12" name="Gender / other identity relevance"/>
    <x:tableColumn id="13" name="Claim type"/>
    <x:tableColumn id="14" name="Corroboration"/>
    <x:tableColumn id="15" name="Source IDs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19" name="PV_3" displayName="PV_3" ref="A5:N38" headerRowCount="1" totalsRowCount="0" totalsRowShown="0">
  <x:autoFilter ref="A5:N38"/>
  <x:tableColumns count="14">
    <x:tableColumn id="1" name="Timeline ID"/>
    <x:tableColumn id="2" name="Start / event date"/>
    <x:tableColumn id="3" name="End / latest date"/>
    <x:tableColumn id="4" name="Date precision"/>
    <x:tableColumn id="5" name="Career phase"/>
    <x:tableColumn id="6" name="Event type"/>
    <x:tableColumn id="7" name="Institution / geography"/>
    <x:tableColumn id="8" name="Event"/>
    <x:tableColumn id="9" name="Political significance"/>
    <x:tableColumn id="10" name="Claim type"/>
    <x:tableColumn id="11" name="Corroboration"/>
    <x:tableColumn id="12" name="Source IDs"/>
    <x:tableColumn id="13" name="Context IDs"/>
    <x:tableColumn id="14" name="Research not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PV_4" displayName="PV_4" ref="A5:T12" headerRowCount="1" totalsRowCount="0" totalsRowShown="0">
  <x:autoFilter ref="A5:T12"/>
  <x:tableColumns count="20">
    <x:tableColumn id="1" name="Election ID"/>
    <x:tableColumn id="2" name="Election year"/>
    <x:tableColumn id="3" name="Constituency as recorded"/>
    <x:tableColumn id="4" name="Party / alliance"/>
    <x:tableColumn id="5" name="Candidate status"/>
    <x:tableColumn id="6" name="Result"/>
    <x:tableColumn id="7" name="Vijayan votes"/>
    <x:tableColumn id="8" name="Principal opponent"/>
    <x:tableColumn id="9" name="Opponent party"/>
    <x:tableColumn id="10" name="Opponent votes"/>
    <x:tableColumn id="11" name="Share denominator"/>
    <x:tableColumn id="12" name="Vijayan vote share"/>
    <x:tableColumn id="13" name="Winning margin (votes)"/>
    <x:tableColumn id="14" name="Denominator convention"/>
    <x:tableColumn id="15" name="Career phase"/>
    <x:tableColumn id="16" name="Claim type"/>
    <x:tableColumn id="17" name="Corroboration"/>
    <x:tableColumn id="18" name="Source IDs"/>
    <x:tableColumn id="19" name="Context IDs"/>
    <x:tableColumn id="20" name="Record / comparability not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20" name="PV_5" displayName="PV_5" ref="A5:P22" headerRowCount="1" totalsRowCount="0" totalsRowShown="0">
  <x:autoFilter ref="A5:P22"/>
  <x:tableColumns count="16">
    <x:tableColumn id="1" name="Position ID"/>
    <x:tableColumn id="2" name="Position category"/>
    <x:tableColumn id="3" name="Exact title / role"/>
    <x:tableColumn id="4" name="Institution / constituency"/>
    <x:tableColumn id="5" name="Start"/>
    <x:tableColumn id="6" name="End"/>
    <x:tableColumn id="7" name="Date precision"/>
    <x:tableColumn id="8" name="Selection route"/>
    <x:tableColumn id="9" name="Function / concurrent authority"/>
    <x:tableColumn id="10" name="Exit / current status"/>
    <x:tableColumn id="11" name="Career phase"/>
    <x:tableColumn id="12" name="Claim type"/>
    <x:tableColumn id="13" name="Corroboration"/>
    <x:tableColumn id="14" name="Source IDs"/>
    <x:tableColumn id="15" name="Context IDs"/>
    <x:tableColumn id="16" name="Research not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PV_6" displayName="PV_6" ref="A5:R21" headerRowCount="1" totalsRowCount="0" totalsRowShown="0">
  <x:autoFilter ref="A5:R21"/>
  <x:tableColumns count="18">
    <x:tableColumn id="1" name="Policy ID"/>
    <x:tableColumn id="2" name="Domain"/>
    <x:tableColumn id="3" name="Initiative / decision"/>
    <x:tableColumn id="4" name="Evidence period"/>
    <x:tableColumn id="5" name="Career phase"/>
    <x:tableColumn id="6" name="Documented role / role strength"/>
    <x:tableColumn id="7" name="Objective / mechanism"/>
    <x:tableColumn id="8" name="Adoption / implementation stage"/>
    <x:tableColumn id="9" name="Administrative output / implementation evidence"/>
    <x:tableColumn id="10" name="Outcome / indicator limits"/>
    <x:tableColumn id="11" name="Attribution assessment"/>
    <x:tableColumn id="12" name="Affected groups / trade-offs"/>
    <x:tableColumn id="13" name="Current / final status"/>
    <x:tableColumn id="14" name="Claim type"/>
    <x:tableColumn id="15" name="Corroboration"/>
    <x:tableColumn id="16" name="Source IDs"/>
    <x:tableColumn id="17" name="Context IDs"/>
    <x:tableColumn id="18" name="Research note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PV_7" displayName="PV_7" ref="A5:O15" headerRowCount="1" totalsRowCount="0" totalsRowShown="0">
  <x:autoFilter ref="A5:O15"/>
  <x:tableColumns count="15">
    <x:tableColumn id="1" name="Idea ID"/>
    <x:tableColumn id="2" name="Category"/>
    <x:tableColumn id="3" name="Topic"/>
    <x:tableColumn id="4" name="Period"/>
    <x:tableColumn id="5" name="Career phase"/>
    <x:tableColumn id="6" name="Position / method"/>
    <x:tableColumn id="7" name="Evidence type / basis"/>
    <x:tableColumn id="8" name="Change over time"/>
    <x:tableColumn id="9" name="Actors / institutions"/>
    <x:tableColumn id="10" name="Interpretation / consequence"/>
    <x:tableColumn id="11" name="Claim type"/>
    <x:tableColumn id="12" name="Corroboration"/>
    <x:tableColumn id="13" name="Source IDs"/>
    <x:tableColumn id="14" name="Context IDs"/>
    <x:tableColumn id="15" name="Research not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21" name="PV_8" displayName="PV_8" ref="A5:S16" headerRowCount="1" totalsRowCount="0" totalsRowShown="0">
  <x:autoFilter ref="A5:S16"/>
  <x:tableColumns count="19">
    <x:tableColumn id="1" name="Matter ID"/>
    <x:tableColumn id="2" name="Matter"/>
    <x:tableColumn id="3" name="Start"/>
    <x:tableColumn id="4" name="Latest verified status date"/>
    <x:tableColumn id="5" name="Career phase"/>
    <x:tableColumn id="6" name="Category"/>
    <x:tableColumn id="7" name="Neutral description"/>
    <x:tableColumn id="8" name="Allegation / criticism"/>
    <x:tableColumn id="9" name="Who alleged / reviewed"/>
    <x:tableColumn id="10" name="Subject / government response"/>
    <x:tableColumn id="11" name="Authority / forum"/>
    <x:tableColumn id="12" name="Procedural status"/>
    <x:tableColumn id="13" name="Finding / disposition / remaining uncertainty"/>
    <x:tableColumn id="14" name="Political / institutional consequence"/>
    <x:tableColumn id="15" name="Claim type"/>
    <x:tableColumn id="16" name="Corroboration"/>
    <x:tableColumn id="17" name="Source IDs"/>
    <x:tableColumn id="18" name="Context IDs"/>
    <x:tableColumn id="19" name="Research not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PV_9" displayName="PV_9" ref="A5:O15" headerRowCount="1" totalsRowCount="0" totalsRowShown="0">
  <x:autoFilter ref="A5:O15"/>
  <x:tableColumns count="15">
    <x:tableColumn id="1" name="Assessment ID"/>
    <x:tableColumn id="2" name="Theme"/>
    <x:tableColumn id="3" name="Period assessed"/>
    <x:tableColumn id="4" name="Career phase"/>
    <x:tableColumn id="5" name="Assessor / standpoint"/>
    <x:tableColumn id="6" name="Assessment / interpretation"/>
    <x:tableColumn id="7" name="Evidence basis"/>
    <x:tableColumn id="8" name="Supporting view"/>
    <x:tableColumn id="9" name="Competing view / limitation"/>
    <x:tableColumn id="10" name="Dispute / synthesis"/>
    <x:tableColumn id="11" name="Claim type"/>
    <x:tableColumn id="12" name="Corroboration"/>
    <x:tableColumn id="13" name="Source IDs"/>
    <x:tableColumn id="14" name="Context IDs"/>
    <x:tableColumn id="15" name="Research note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22" name="PV_10" displayName="PV_10" ref="A5:M66" headerRowCount="1" totalsRowCount="0" totalsRowShown="0">
  <x:autoFilter ref="A5:M66"/>
  <x:tableColumns count="13">
    <x:tableColumn id="1" name="Source ID"/>
    <x:tableColumn id="2" name="Title / citation"/>
    <x:tableColumn id="3" name="Open source"/>
    <x:tableColumn id="4" name="Author / issuing institution"/>
    <x:tableColumn id="5" name="Publisher / site"/>
    <x:tableColumn id="6" name="Publication / update date"/>
    <x:tableColumn id="7" name="Source class"/>
    <x:tableColumn id="8" name="Primary / secondary"/>
    <x:tableColumn id="9" name="Geographic / language scope"/>
    <x:tableColumn id="10" name="Document / page / section locator"/>
    <x:tableColumn id="11" name="Standpoint / reliability limitation"/>
    <x:tableColumn id="12" name="Full URL"/>
    <x:tableColumn id="13" name="Access da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4eb61467fd4c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6f409241664d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8c924e499142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d5b323fe1947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d9424f1de248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6ca77f4162248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1e25899f57c46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fcdbebf964749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422a71cc0534029" /></Relationships>
</file>

<file path=xl/worksheets/_rels/sheet10.xml.rels><?xml version='1.0' encoding='utf-8'?>
<ns0:Relationships xmlns:ns0="http://schemas.openxmlformats.org/package/2006/relationships"><ns0:Relationship Type="http://schemas.openxmlformats.org/officeDocument/2006/relationships/table" Target="/xl/tables/table10.xml" Id="Ref8e26cfb5b8438c" /><ns0:Relationship Id="rIdSourceLink1" Type="http://schemas.openxmlformats.org/officeDocument/2006/relationships/hyperlink" Target="https://www.niyamasabha.org/codes/oppleader%20.htm" TargetMode="External" /><ns0:Relationship Id="rIdSourceLink2" Type="http://schemas.openxmlformats.org/officeDocument/2006/relationships/hyperlink" Target="https://cpim.org/pinarayi-vijayan/" TargetMode="External" /><ns0:Relationship Id="rIdSourceLink3" Type="http://schemas.openxmlformats.org/officeDocument/2006/relationships/hyperlink" Target="https://timesofindia.indiatimes.com/city/thiruvananthapuram/cpm-names-pinarayi-as-opposition-leader/articleshow/131096055.cms" TargetMode="External" /><ns0:Relationship Id="rIdSourceLink4" Type="http://schemas.openxmlformats.org/officeDocument/2006/relationships/hyperlink" Target="https://keralacm.gov.in/" TargetMode="External" /><ns0:Relationship Id="rIdSourceLink5" Type="http://schemas.openxmlformats.org/officeDocument/2006/relationships/hyperlink" Target="https://timesofindia.indiatimes.com/india/kerala-gets-new-govt-as-udf-returns-after-10-years-vd-satheesan-takes-oath-as-cm/articleshow/131167507.cms" TargetMode="External" /><ns0:Relationship Id="rIdSourceLink6" Type="http://schemas.openxmlformats.org/officeDocument/2006/relationships/hyperlink" Target="https://timesofindia.indiatimes.com/city/thiruvananthapuram/post-poll-debacle-pinarayi-vijayan-resigns-as-kerala-chief-minister/articleshow/130810545.cms" TargetMode="External" /><ns0:Relationship Id="rIdSourceLink7" Type="http://schemas.openxmlformats.org/officeDocument/2006/relationships/hyperlink" Target="https://timesofindia.indiatimes.com/city/thiruvananthapuram/pinarayi-turns-80-greetings-pour-in/articleshow/121385216.cms" TargetMode="External" /><ns0:Relationship Id="rIdSourceLink8" Type="http://schemas.openxmlformats.org/officeDocument/2006/relationships/hyperlink" Target="https://www.ceo.kerala.gov.in/pdf/KLA/KL_1970_ST_REP.pdf" TargetMode="External" /><ns0:Relationship Id="rIdSourceLink9" Type="http://schemas.openxmlformats.org/officeDocument/2006/relationships/hyperlink" Target="https://www.ceo.kerala.gov.in/pdf/KLA/KL_1977_ST_REP.pdf" TargetMode="External" /><ns0:Relationship Id="rIdSourceLink10" Type="http://schemas.openxmlformats.org/officeDocument/2006/relationships/hyperlink" Target="https://www.ceo.kerala.gov.in/pdf/KLA/KL_1991_ST_REP.pdf" TargetMode="External" /><ns0:Relationship Id="rIdSourceLink11" Type="http://schemas.openxmlformats.org/officeDocument/2006/relationships/hyperlink" Target="https://www.ceo.kerala.gov.in/pdf/KLA/KL_1996_ST_REP.pdf" TargetMode="External" /><ns0:Relationship Id="rIdSourceLink12" Type="http://schemas.openxmlformats.org/officeDocument/2006/relationships/hyperlink" Target="https://www.ceo.kerala.gov.in/pdf/BOOTH_WISE_RESULTS/GE2016/012.pdf" TargetMode="External" /><ns0:Relationship Id="rIdSourceLink13" Type="http://schemas.openxmlformats.org/officeDocument/2006/relationships/hyperlink" Target="https://www.ceo.kerala.gov.in/pdf/BOOTH_WISE_RESULTS/GE2021/012.pdf" TargetMode="External" /><ns0:Relationship Id="rIdSourceLink14" Type="http://schemas.openxmlformats.org/officeDocument/2006/relationships/hyperlink" Target="https://results.eci.gov.in/ResultAcGenMay2026/candidateswise-S1112.htm" TargetMode="External" /><ns0:Relationship Id="rIdSourceLink15" Type="http://schemas.openxmlformats.org/officeDocument/2006/relationships/hyperlink" Target="https://www.ndtv.com/kerala-news/kerala-assembly-election-2026-profile-pinarayi-vijayan-bio-the-man-who-remade-keralas-left-11440966" TargetMode="External" /><ns0:Relationship Id="rIdSourceLink16" Type="http://schemas.openxmlformats.org/officeDocument/2006/relationships/hyperlink" Target="https://gulfnews.com/world/asia/india/profile-of-pinarayi-vijayan-1.1831573" TargetMode="External" /><ns0:Relationship Id="rIdSourceLink17" Type="http://schemas.openxmlformats.org/officeDocument/2006/relationships/hyperlink" Target="https://cpim.org/party-programme/" TargetMode="External" /><ns0:Relationship Id="rIdSourceLink18" Type="http://schemas.openxmlformats.org/officeDocument/2006/relationships/hyperlink" Target="https://www.ndtv.com/india-news/kerala-cabinet-pinarayi-vijayan-drops-all-sitting-ministers-even-shailaja-teacher-2444324" TargetMode="External" /><ns0:Relationship Id="rIdSourceLink19" Type="http://schemas.openxmlformats.org/officeDocument/2006/relationships/hyperlink" Target="https://indianexpress.com/article/india/kerala-cabinet-k-k-shailaja-pinarayi-vijayan-7325079/" TargetMode="External" /><ns0:Relationship Id="rIdSourceLink20" Type="http://schemas.openxmlformats.org/officeDocument/2006/relationships/hyperlink" Target="https://arogyakeralam.gov.in/2020/04/01/aardram/" TargetMode="External" /><ns0:Relationship Id="rIdSourceLink21" Type="http://schemas.openxmlformats.org/officeDocument/2006/relationships/hyperlink" Target="https://www.frontiersin.org/journals/public-health/articles/10.3389/fpubh.2026.1882081/full" TargetMode="External" /><ns0:Relationship Id="rIdSourceLink22" Type="http://schemas.openxmlformats.org/officeDocument/2006/relationships/hyperlink" Target="https://www.undp.org/publications/post-disaster-needs-assessment-kerala" TargetMode="External" /><ns0:Relationship Id="rIdSourceLink23" Type="http://schemas.openxmlformats.org/officeDocument/2006/relationships/hyperlink" Target="https://timesofindia.indiatimes.com/city/thiruvananthapuram/govt-assures-smooth-fund-flow-for-life-mission-houses/articleshow/123953024.cms" TargetMode="External" /><ns0:Relationship Id="rIdSourceLink24" Type="http://schemas.openxmlformats.org/officeDocument/2006/relationships/hyperlink" Target="https://timesofindia.indiatimes.com/city/kozhikode/kerala-cm-releases-ldf-govts-10-year-report-card-says-97-promises-fulfilled/articleshow/130069292.cms" TargetMode="External" /><ns0:Relationship Id="rIdSourceLink25" Type="http://schemas.openxmlformats.org/officeDocument/2006/relationships/hyperlink" Target="https://www.newindianexpress.com/states/kerala/2025/May/21/kfon-hits-new-milestone-one-lakh-connections-and-counting" TargetMode="External" /><ns0:Relationship Id="rIdSourceLink26" Type="http://schemas.openxmlformats.org/officeDocument/2006/relationships/hyperlink" Target="https://timesofindia.indiatimes.com/city/thiruvananthapuram/vizhinjam-port-completes-a-year-of-operations/articleshow/122394019.cms" TargetMode="External" /><ns0:Relationship Id="rIdSourceLink27" Type="http://schemas.openxmlformats.org/officeDocument/2006/relationships/hyperlink" Target="https://timesofindia.indiatimes.com/city/thiruvananthapuram/cabinet-approved-rrts-line-from-thiruvananthapuram-to-kasaragod-after-centre-did-not-approve-silverline-pinarayi-vijayan/articleshow/127780925.cms" TargetMode="External" /><ns0:Relationship Id="rIdSourceLink28" Type="http://schemas.openxmlformats.org/officeDocument/2006/relationships/hyperlink" Target="https://m.economictimes.com/industry/transportation/railways/in-major-development-satheesan-led-new-kerala-govt-set-to-scrap-silverline-high-speed-rail-project/articleshow/131219482.cms" TargetMode="External" /><ns0:Relationship Id="rIdSourceLink29" Type="http://schemas.openxmlformats.org/officeDocument/2006/relationships/hyperlink" Target="https://www.niyamasabha.org/codes/16kla/C&amp;AG/SFAR/SFAR%202024-25_English.pdf" TargetMode="External" /><ns0:Relationship Id="rIdSourceLink30" Type="http://schemas.openxmlformats.org/officeDocument/2006/relationships/hyperlink" Target="https://www.financialexpress.com/policy/economy-kerala-passes-resolution-against-cags-audit-report-2176757/" TargetMode="External" /><ns0:Relationship Id="rIdSourceLink31" Type="http://schemas.openxmlformats.org/officeDocument/2006/relationships/hyperlink" Target="https://www.thenewsminute.com/kerala/explainer-cag-report-kiifb-and-row-involving-thomas-isaac-137910" TargetMode="External" /><ns0:Relationship Id="rIdSourceLink32" Type="http://schemas.openxmlformats.org/officeDocument/2006/relationships/hyperlink" Target="https://timesofindia.indiatimes.com/city/thiruvananthapuram/bid-to-create-a-false-impression-of-left-govts-poverty-programme-pinarayi-vijayan/articleshow/126419191.cms" TargetMode="External" /><ns0:Relationship Id="rIdSourceLink33" Type="http://schemas.openxmlformats.org/officeDocument/2006/relationships/hyperlink" Target="https://timesofindia.indiatimes.com/city/thiruvananthapuram/review-meeting-highlights-progress-of-major-development-projects-in-thiruvananthapuram/articleshow/121193257.cms" TargetMode="External" /><ns0:Relationship Id="rIdSourceLink34" Type="http://schemas.openxmlformats.org/officeDocument/2006/relationships/hyperlink" Target="https://timesofindia.indiatimes.com/city/kochi/centre-shouldnt-interfere-in-states-autonomy-kerala-cm/articleshow/123814254.cms" TargetMode="External" /><ns0:Relationship Id="rIdSourceLink35" Type="http://schemas.openxmlformats.org/officeDocument/2006/relationships/hyperlink" Target="https://timesofindia.indiatimes.com/city/thiruvananthapuram/kerala-assembly-passes-resolution-against-centres-neglect/articleshow/127913999.cms" TargetMode="External" /><ns0:Relationship Id="rIdSourceLink36" Type="http://schemas.openxmlformats.org/officeDocument/2006/relationships/hyperlink" Target="https://timesofindia.indiatimes.com/city/thiruvananthapuram/documentary-on-pinarayi-released/articleshow/121472632.cms" TargetMode="External" /><ns0:Relationship Id="rIdSourceLink37" Type="http://schemas.openxmlformats.org/officeDocument/2006/relationships/hyperlink" Target="https://timesofindia.indiatimes.com/city/kochi/ldf-failed-to-read-indications-given-by-people/articleshow/130810804.cms" TargetMode="External" /><ns0:Relationship Id="rIdSourceLink38" Type="http://schemas.openxmlformats.org/officeDocument/2006/relationships/hyperlink" Target="https://indianexpress.com/article/cities/thiruvananthapuram/congress-should-give-this-advice-to-its-own-chief-ministers-pinarayi-vijayan-on-being-asked-to-quit-as-kerala-cm-9386664/" TargetMode="External" /><ns0:Relationship Id="rIdSourceLink39" Type="http://schemas.openxmlformats.org/officeDocument/2006/relationships/hyperlink" Target="https://indianexpress.com/article/explained/snc-lavalin-case-explained-pinarayi-vijayan-cbi-case-appeal-6663205/" TargetMode="External" /><ns0:Relationship Id="rIdSourceLink40" Type="http://schemas.openxmlformats.org/officeDocument/2006/relationships/hyperlink" Target="https://www.newindianexpress.com/states/kerala/2017/Aug/23/here-is-the-full-timeline-of-snc-lavalin-case-involving-kerala-cm-pinarayi-vijayan-1647133.html" TargetMode="External" /><ns0:Relationship Id="rIdSourceLink41" Type="http://schemas.openxmlformats.org/officeDocument/2006/relationships/hyperlink" Target="https://legal.economictimes.indiatimes.com/news/litigation/sc-lists-snc-lavalin-case-involving-kerala-cm-for-final-hearing-on-may-1/107458923" TargetMode="External" /><ns0:Relationship Id="rIdSourceLink42" Type="http://schemas.openxmlformats.org/officeDocument/2006/relationships/hyperlink" Target="https://indianexpress.com/article/india/ed-wants-kerala-police-to-file-fir-against-pinarayi-vijayan-daughter-veena-10868260/" TargetMode="External" /><ns0:Relationship Id="rIdSourceLink43" Type="http://schemas.openxmlformats.org/officeDocument/2006/relationships/hyperlink" Target="https://timesofindia.indiatimes.com/city/thiruvananthapuram/govt-to-scrutinise-ed-recommendation-on-pinarayi-others-cm/articleshow/133977202.cms" TargetMode="External" /><ns0:Relationship Id="rIdSourceLink44" Type="http://schemas.openxmlformats.org/officeDocument/2006/relationships/hyperlink" Target="https://indianexpress.com/article/explained/what-justice-hema-committee-report-says-why-its-release-was-delayed-9526412/" TargetMode="External" /><ns0:Relationship Id="rIdSourceLink45" Type="http://schemas.openxmlformats.org/officeDocument/2006/relationships/hyperlink" Target="https://thesouthfirst.com/kerala/protected-privacy-did-not-withhold-report-kerala-cm-on-hema-committee-report/" TargetMode="External" /><ns0:Relationship Id="rIdSourceLink46" Type="http://schemas.openxmlformats.org/officeDocument/2006/relationships/hyperlink" Target="https://indianexpress.com/article/india/sabarimala-issue-cm-vijayan-promises-a-womens-wall-on-jan-1-after-meeting-community-organisations-5474573/" TargetMode="External" /><ns0:Relationship Id="rIdSourceLink47" Type="http://schemas.openxmlformats.org/officeDocument/2006/relationships/hyperlink" Target="https://time.com/5491454/620km-human-chain-indian-women-equality/" TargetMode="External" /><ns0:Relationship Id="rIdSourceLink48" Type="http://schemas.openxmlformats.org/officeDocument/2006/relationships/hyperlink" Target="https://www.ndtv.com/kerala-news/kerala-high-court-questions-state-over-data-sharing-with-us-based-tech-firm-sprinklr-2215881" TargetMode="External" /><ns0:Relationship Id="rIdSourceLink49" Type="http://schemas.openxmlformats.org/officeDocument/2006/relationships/hyperlink" Target="https://keralakaumudi.com/en/kerala/general/will-go-ahead-with-sprinklr-contract-as-directed-by-hc-chief-minister-289982" TargetMode="External" /><ns0:Relationship Id="rIdSourceLink50" Type="http://schemas.openxmlformats.org/officeDocument/2006/relationships/hyperlink" Target="https://www.indiatoday.in/india/story/kerala-sprinklr-deal-covid-19-pinarayi-vijayan-high-court-1680484-2020-05-21" TargetMode="External" /><ns0:Relationship Id="rIdSourceLink51" Type="http://schemas.openxmlformats.org/officeDocument/2006/relationships/hyperlink" Target="https://www.thenewsminute.com/kerala/all-despots-face-pathetic-end-alan-suhaibs-mother-slams-cm-pinarayi-115215" TargetMode="External" /><ns0:Relationship Id="rIdSourceLink52" Type="http://schemas.openxmlformats.org/officeDocument/2006/relationships/hyperlink" Target="https://www.ndtv.com/india-news/heat-on-chief-minister-pinarayi-vijayan-office-in-kerala-gold-smuggling-case-10-points-2259093" TargetMode="External" /><ns0:Relationship Id="rIdSourceLink53" Type="http://schemas.openxmlformats.org/officeDocument/2006/relationships/hyperlink" Target="https://timesofindia.indiatimes.com/india/ed-deputy-director-who-probed-kerala-gold-case-forced-to-retire/articleshow/126424846.cms" TargetMode="External" /><ns0:Relationship Id="rIdSourceLink54" Type="http://schemas.openxmlformats.org/officeDocument/2006/relationships/hyperlink" Target="https://timesofindia.indiatimes.com/india/kerala-cm-suspended-from-cpi-m-politburo/articleshow/2076224.cms" TargetMode="External" /><ns0:Relationship Id="rIdSourceLink55" Type="http://schemas.openxmlformats.org/officeDocument/2006/relationships/hyperlink" Target="https://timesofindia.indiatimes.com/india/pinarayi-vijayan-sworn-in-as-kerala-cm/articleshow/52433237.cms" TargetMode="External" /><ns0:Relationship Id="rIdSourceLink56" Type="http://schemas.openxmlformats.org/officeDocument/2006/relationships/hyperlink" Target="https://www.reuters.com/business/environment/climate-change-intensified-rain-that-caused-deadly-indian-landslides-study-finds-2024-08-13/" TargetMode="External" /><ns0:Relationship Id="rIdSourceLink57" Type="http://schemas.openxmlformats.org/officeDocument/2006/relationships/hyperlink" Target="https://timesofindia.indiatimes.com/city/thiruvananthapuram/kerala-not-caught-in-debt-trap-says-finance-minister-balagopal/articleshow/121320228.cms" TargetMode="External" /><ns0:Relationship Id="rIdSourceLink58" Type="http://schemas.openxmlformats.org/officeDocument/2006/relationships/hyperlink" Target="https://timesofindia.indiatimes.com/city/thiruvananthapuram/the-autumn-of-the-patriarch/articleshow/130806960.cms" TargetMode="External" /><ns0:Relationship Id="rIdSourceLink59" Type="http://schemas.openxmlformats.org/officeDocument/2006/relationships/hyperlink" Target="https://www.thestatesman.com/india/chief-ministers-relief-fund-diverted-kiifb-a-liability-cag-report-for-2024-25-tabled-in-kerala-assembly-1503609264.html" TargetMode="External" /><ns0:Relationship Id="rIdSourceLink60" Type="http://schemas.openxmlformats.org/officeDocument/2006/relationships/hyperlink" Target="https://indianexpress.com/article/political-pulse/pinarayi-vijayan-govt-cpm-tp-chandrasekharan-murder-kerala-9430032/" TargetMode="External" /><ns0:Relationship Id="rIdSourceLink61" Type="http://schemas.openxmlformats.org/officeDocument/2006/relationships/hyperlink" Target="https://www.newindianexpress.com/states/kerala/2024/Feb/20/tp-chandrasekharan-murder-case-fight-will-continue-until-all-are-brought-to-book" TargetMode="External" /></ns0:Relationships>
</file>

<file path=xl/worksheets/sheet1.xml><?xml version="1.0" encoding="utf-8"?>
<x:worksheet xmlns:x="http://schemas.openxmlformats.org/spreadsheetml/2006/main">
  <x:sheetPr>
    <x:tabColor rgb="FF17334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81" hidden="0" customWidth="1"/>
    <x:col min="4" max="4" width="16" hidden="0" customWidth="1"/>
    <x:col min="5" max="5" width="23" hidden="0" customWidth="1"/>
    <x:col min="6" max="6" width="28" hidden="0" customWidth="1"/>
    <x:col min="7" max="7" width="22" hidden="0" customWidth="1"/>
    <x:col min="8" max="8" width="74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</x:row>
    <x:row r="2" ht="24.75" customHeight="1">
      <x:c r="A2" s="4" t="str">
        <x:v>Pinarayi Vijayan</x:v>
      </x:c>
      <x:c r="B2" s="3"/>
      <x:c r="C2" s="3"/>
      <x:c r="D2" s="3"/>
      <x:c r="E2" s="3"/>
      <x:c r="F2" s="3"/>
      <x:c r="G2" s="3"/>
      <x:c r="H2" s="3"/>
    </x:row>
    <x:row r="3" ht="18.75" customHeight="1">
      <x:c r="A3" s="6" t="str">
        <x:v>Political research | Evidence checked 15 September 2026 | Start here, then filter the detailed records.</x:v>
      </x:c>
      <x:c r="B3" s="7"/>
      <x:c r="C3" s="7"/>
      <x:c r="D3" s="7"/>
      <x:c r="E3" s="7"/>
      <x:c r="F3" s="7"/>
      <x:c r="G3" s="7"/>
      <x:c r="H3" s="7"/>
    </x:row>
    <x:row r="4" ht="9" customHeight="1">
      <x:c r="A4" s="3"/>
      <x:c r="B4" s="3"/>
      <x:c r="C4" s="3"/>
      <x:c r="D4" s="3"/>
      <x:c r="E4" s="3"/>
      <x:c r="F4" s="3"/>
      <x:c r="G4" s="3"/>
      <x:c r="H4" s="3"/>
    </x:row>
    <x:row r="5" ht="37.5" customHeight="1">
      <x:c r="A5" s="64" t="str">
        <x:v>Record ID</x:v>
      </x:c>
      <x:c r="B5" s="64" t="str">
        <x:v>Profile / question</x:v>
      </x:c>
      <x:c r="C5" s="64" t="str">
        <x:v>Finding / calculated summary</x:v>
      </x:c>
      <x:c r="D5" s="64" t="str">
        <x:v>Career phase</x:v>
      </x:c>
      <x:c r="E5" s="64" t="str">
        <x:v>Claim type</x:v>
      </x:c>
      <x:c r="F5" s="64" t="str">
        <x:v>Corroboration</x:v>
      </x:c>
      <x:c r="G5" s="64" t="str">
        <x:v>Source IDs</x:v>
      </x:c>
      <x:c r="H5" s="64" t="str">
        <x:v>Research note / interpretation limit</x:v>
      </x:c>
    </x:row>
    <x:row r="6" ht="39" customHeight="1">
      <x:c r="A6" s="46" t="str">
        <x:v>Q01</x:v>
      </x:c>
      <x:c r="B6" s="47" t="str">
        <x:v>Full name and identity</x:v>
      </x:c>
      <x:c r="C6" s="47" t="str">
        <x:v>Pinarayi Vijayan; living Indian politician associated with the Communist Party of India (Marxist), CPI(M).</x:v>
      </x:c>
      <x:c r="D6" s="47" t="str">
        <x:v>P1–P6</x:v>
      </x:c>
      <x:c r="E6" s="47" t="str">
        <x:v>Recorded fact</x:v>
      </x:c>
      <x:c r="F6" s="47" t="str">
        <x:v>Primary record</x:v>
      </x:c>
      <x:c r="G6" s="48" t="str">
        <x:v>S01; S02</x:v>
      </x:c>
      <x:c r="H6" s="47" t="str">
        <x:v>This workbook uses his common public name; it does not expand an unverified personal name.</x:v>
      </x:c>
    </x:row>
    <x:row r="7" ht="39" customHeight="1">
      <x:c r="A7" s="49" t="str">
        <x:v>Q02</x:v>
      </x:c>
      <x:c r="B7" s="50" t="str">
        <x:v>Current status</x:v>
      </x:c>
      <x:c r="C7" s="50" t="str">
        <x:v>Leader of Opposition in the Kerala Legislative Assembly and MLA for Dharmadam.</x:v>
      </x:c>
      <x:c r="D7" s="50" t="str">
        <x:v>P6</x:v>
      </x:c>
      <x:c r="E7" s="50" t="str">
        <x:v>Recorded fact</x:v>
      </x:c>
      <x:c r="F7" s="50" t="str">
        <x:v>Primary record</x:v>
      </x:c>
      <x:c r="G7" s="51" t="str">
        <x:v>S01; S14</x:v>
      </x:c>
      <x:c r="H7" s="50" t="str">
        <x:v>Verified against current Assembly heading as of 15 September 2026; formal recognition date not established.</x:v>
      </x:c>
    </x:row>
    <x:row r="8" ht="39" customHeight="1">
      <x:c r="A8" s="46" t="str">
        <x:v>Q03</x:v>
      </x:c>
      <x:c r="B8" s="47" t="str">
        <x:v>Chief-ministerial tenure</x:v>
      </x:c>
      <x:c r="C8" s="47" t="str">
        <x:v>Chief Minister from 25 May 2016; resigned 4 May 2026 and continued as caretaker until the 18 May handover.</x:v>
      </x:c>
      <x:c r="D8" s="47" t="str">
        <x:v>P4–P6</x:v>
      </x:c>
      <x:c r="E8" s="47" t="str">
        <x:v>Recorded fact</x:v>
      </x:c>
      <x:c r="F8" s="47" t="str">
        <x:v>Multiple independent sources</x:v>
      </x:c>
      <x:c r="G8" s="48" t="str">
        <x:v>S55; S06; S05; S04</x:v>
      </x:c>
      <x:c r="H8" s="47" t="str">
        <x:v>Two governments, plus separately recorded caretaker continuation. V. D. Satheesan is the current CM.</x:v>
      </x:c>
    </x:row>
    <x:row r="9" ht="39" customHeight="1">
      <x:c r="A9" s="49" t="str">
        <x:v>Q04</x:v>
      </x:c>
      <x:c r="B9" s="50" t="str">
        <x:v>Birth date: conflicting records</x:v>
      </x:c>
      <x:c r="C9" s="50" t="str">
        <x:v>Public birthday reporting uses 24 May 1945; Assembly and party profiles list 21 March 1944.</x:v>
      </x:c>
      <x:c r="D9" s="50" t="str">
        <x:v>Formative</x:v>
      </x:c>
      <x:c r="E9" s="52" t="str">
        <x:v>Disputed/uncertain</x:v>
      </x:c>
      <x:c r="F9" s="50" t="str">
        <x:v>Primary record</x:v>
      </x:c>
      <x:c r="G9" s="51" t="str">
        <x:v>S01; S02; S07</x:v>
      </x:c>
      <x:c r="H9" s="50" t="str">
        <x:v>Both supported versions retained. No definitive birth certificate retrieved; no exact age calculation used.</x:v>
      </x:c>
    </x:row>
    <x:row r="10" ht="39" customHeight="1">
      <x:c r="A10" s="46" t="str">
        <x:v>Q05</x:v>
      </x:c>
      <x:c r="B10" s="47" t="str">
        <x:v>Birthplace and political geography</x:v>
      </x:c>
      <x:c r="C10" s="47" t="str">
        <x:v>Pinarayi in present-day Kannur district, Kerala; northern Kerala constituencies before statewide leadership.</x:v>
      </x:c>
      <x:c r="D10" s="47" t="str">
        <x:v>P1–P6</x:v>
      </x:c>
      <x:c r="E10" s="47" t="str">
        <x:v>Recorded fact</x:v>
      </x:c>
      <x:c r="F10" s="47" t="str">
        <x:v>Multiple independent sources</x:v>
      </x:c>
      <x:c r="G10" s="48" t="str">
        <x:v>S01; S15; S08; S11; S14</x:v>
      </x:c>
      <x:c r="H10" s="47" t="str">
        <x:v>Use present-day geography descriptively; election names and numbers are preserved in Elections.</x:v>
      </x:c>
    </x:row>
    <x:row r="11" ht="39" customHeight="1">
      <x:c r="A11" s="49" t="str">
        <x:v>Q06</x:v>
      </x:c>
      <x:c r="B11" s="50" t="str">
        <x:v>Education and early work</x:v>
      </x:c>
      <x:c r="C11" s="50" t="str">
        <x:v>Graduate of Government Brennen College, Thalassery; profiles connect student politics with an early working-class background.</x:v>
      </x:c>
      <x:c r="D11" s="50" t="str">
        <x:v>P1</x:v>
      </x:c>
      <x:c r="E11" s="50" t="str">
        <x:v>Recorded fact</x:v>
      </x:c>
      <x:c r="F11" s="50" t="str">
        <x:v>Multiple independent sources</x:v>
      </x:c>
      <x:c r="G11" s="51" t="str">
        <x:v>S01; S02; S15</x:v>
      </x:c>
      <x:c r="H11" s="50" t="str">
        <x:v>Degree discipline and family occupations vary in secondary accounts; they are not essential to the career analysis.</x:v>
      </x:c>
    </x:row>
    <x:row r="12" ht="39" customHeight="1">
      <x:c r="A12" s="46" t="str">
        <x:v>Q07</x:v>
      </x:c>
      <x:c r="B12" s="47" t="str">
        <x:v>Party and movement pathway</x:v>
      </x:c>
      <x:c r="C12" s="47" t="str">
        <x:v>Joined communist politics in 1964; student/youth organization preceded state-secretary and Politburo roles.</x:v>
      </x:c>
      <x:c r="D12" s="47" t="str">
        <x:v>P1–P3</x:v>
      </x:c>
      <x:c r="E12" s="47" t="str">
        <x:v>Recorded fact</x:v>
      </x:c>
      <x:c r="F12" s="47" t="str">
        <x:v>Primary record</x:v>
      </x:c>
      <x:c r="G12" s="48" t="str">
        <x:v>S01; S02</x:v>
      </x:c>
      <x:c r="H12" s="47" t="str">
        <x:v>Politburo membership has a documented 2007 interruption; see Offices &amp; Party.</x:v>
      </x:c>
    </x:row>
    <x:row r="13" ht="39" customHeight="1">
      <x:c r="A13" s="49" t="str">
        <x:v>Q08</x:v>
      </x:c>
      <x:c r="B13" s="50" t="str">
        <x:v>Party leadership</x:v>
      </x:c>
      <x:c r="C13" s="50" t="str">
        <x:v>CPI(M) Kerala state secretary, 1998–2015; Politburo entry in 2002, with later suspension and reinstatement.</x:v>
      </x:c>
      <x:c r="D13" s="50" t="str">
        <x:v>P3–P6</x:v>
      </x:c>
      <x:c r="E13" s="50" t="str">
        <x:v>Recorded fact</x:v>
      </x:c>
      <x:c r="F13" s="50" t="str">
        <x:v>Multiple independent sources</x:v>
      </x:c>
      <x:c r="G13" s="51" t="str">
        <x:v>S02; S16; S54; S01</x:v>
      </x:c>
      <x:c r="H13" s="50" t="str">
        <x:v>Dates are limited to the precision supported; exact reinstatement day is not verified.</x:v>
      </x:c>
    </x:row>
    <x:row r="14" ht="52.5" customHeight="1">
      <x:c r="A14" s="46" t="str">
        <x:v>Q09</x:v>
      </x:c>
      <x:c r="B14" s="47" t="str">
        <x:v>Career in brief</x:v>
      </x:c>
      <x:c r="C14" s="47" t="str">
        <x:v>Student organizer → northern Kerala MLA → electricity/cooperation minister → state party secretary → two chief-ministerial governments → legislative opposition leader.</x:v>
      </x:c>
      <x:c r="D14" s="47" t="str">
        <x:v>P1–P6</x:v>
      </x:c>
      <x:c r="E14" s="53" t="str">
        <x:v>Analysis</x:v>
      </x:c>
      <x:c r="F14" s="47" t="str">
        <x:v>Multiple independent sources</x:v>
      </x:c>
      <x:c r="G14" s="48" t="str">
        <x:v>S01; S02; S55; S03</x:v>
      </x:c>
      <x:c r="H14" s="47" t="str">
        <x:v>Detailed, non-consecutive offices and chronological events appear in their own tabs.</x:v>
      </x:c>
    </x:row>
    <x:row r="15" ht="39" customHeight="1">
      <x:c r="A15" s="49" t="str">
        <x:v>Q10</x:v>
      </x:c>
      <x:c r="B15" s="50" t="str">
        <x:v>Political method</x:v>
      </x:c>
      <x:c r="C15" s="50" t="str">
        <x:v>Sustained party organization and visible executive leadership; questions about concentration of authority and succession remain part of the assessment.</x:v>
      </x:c>
      <x:c r="D15" s="50" t="str">
        <x:v>P3–P6</x:v>
      </x:c>
      <x:c r="E15" s="54" t="str">
        <x:v>Analysis</x:v>
      </x:c>
      <x:c r="F15" s="50" t="str">
        <x:v>Multiple independent sources</x:v>
      </x:c>
      <x:c r="G15" s="51" t="str">
        <x:v>S15; S16; S18; S19; S03</x:v>
      </x:c>
      <x:c r="H15" s="50" t="str">
        <x:v>Motives are not inferred from tenure or public image alone.</x:v>
      </x:c>
    </x:row>
    <x:row r="16" ht="39" customHeight="1">
      <x:c r="A16" s="46" t="str">
        <x:v>Q11</x:v>
      </x:c>
      <x:c r="B16" s="47" t="str">
        <x:v>Consequential governance</x:v>
      </x:c>
      <x:c r="C16" s="47" t="str">
        <x:v>Primary-care reform, housing, infrastructure finance, connectivity and crisis administration are major domains of the record.</x:v>
      </x:c>
      <x:c r="D16" s="47" t="str">
        <x:v>P4–P5</x:v>
      </x:c>
      <x:c r="E16" s="53" t="str">
        <x:v>Analysis</x:v>
      </x:c>
      <x:c r="F16" s="47" t="str">
        <x:v>Multiple independent sources</x:v>
      </x:c>
      <x:c r="G16" s="48" t="str">
        <x:v>S20; S22; S23; S25; S29</x:v>
      </x:c>
      <x:c r="H16" s="47" t="str">
        <x:v>Policy tab separates objectives, adoption, outputs, outcomes and attribution; government totals remain attributed.</x:v>
      </x:c>
    </x:row>
    <x:row r="17" ht="39" customHeight="1">
      <x:c r="A17" s="49" t="str">
        <x:v>Q12</x:v>
      </x:c>
      <x:c r="B17" s="50" t="str">
        <x:v>Limits and failures</x:v>
      </x:c>
      <x:c r="C17" s="50" t="str">
        <x:v>Fiscal obligations, uncompleted rail ambitions, disclosure/privacy criticism and the 2026 coalition defeat qualify achievement narratives.</x:v>
      </x:c>
      <x:c r="D17" s="50" t="str">
        <x:v>P4–P6</x:v>
      </x:c>
      <x:c r="E17" s="54" t="str">
        <x:v>Analysis</x:v>
      </x:c>
      <x:c r="F17" s="50" t="str">
        <x:v>Multiple independent sources</x:v>
      </x:c>
      <x:c r="G17" s="51" t="str">
        <x:v>S29; S27; S28; S44; S48; S37</x:v>
      </x:c>
      <x:c r="H17" s="50" t="str">
        <x:v>No one cause is assigned to electoral defeat; distinct accountability matters are kept separate.</x:v>
      </x:c>
    </x:row>
    <x:row r="18" ht="39" customHeight="1">
      <x:c r="A18" s="46" t="str">
        <x:v>Q13</x:v>
      </x:c>
      <x:c r="B18" s="47" t="str">
        <x:v>Legal-status caution</x:v>
      </x:c>
      <x:c r="C18" s="47" t="str">
        <x:v>SNC-Lavalin discharge and later appeal reporting differ from the September 2026 Exalogic-related recommendation for an FIR.</x:v>
      </x:c>
      <x:c r="D18" s="47" t="str">
        <x:v>P2–P6</x:v>
      </x:c>
      <x:c r="E18" s="47" t="str">
        <x:v>Recorded fact</x:v>
      </x:c>
      <x:c r="F18" s="47" t="str">
        <x:v>Multiple independent sources</x:v>
      </x:c>
      <x:c r="G18" s="48" t="str">
        <x:v>S39; S40; S41; S42; S43</x:v>
      </x:c>
      <x:c r="H18" s="47" t="str">
        <x:v>No later SNC appeal disposal or later Exalogic FIR/charge/finding was verified. See matter-specific status dates. Party-violence and prison-policy scrutiny is treated separately in V11.</x:v>
      </x:c>
    </x:row>
    <x:row r="19" ht="39" customHeight="1">
      <x:c r="A19" s="49" t="str">
        <x:v>Q14</x:v>
      </x:c>
      <x:c r="B19" s="50" t="str">
        <x:v>Gender synthesis</x:v>
      </x:c>
      <x:c r="C19" s="50" t="str">
        <x:v>Organizational entry, cabinet allocation, paternal leadership imagery, equality mobilization and Hema-report accountability require separate evidence.</x:v>
      </x:c>
      <x:c r="D19" s="50" t="str">
        <x:v>P1–P6</x:v>
      </x:c>
      <x:c r="E19" s="54" t="str">
        <x:v>Analysis</x:v>
      </x:c>
      <x:c r="F19" s="50" t="str">
        <x:v>Multiple independent sources</x:v>
      </x:c>
      <x:c r="G19" s="51" t="str">
        <x:v>S02; S18; S44; S46; S58</x:v>
      </x:c>
      <x:c r="H19" s="50" t="str">
        <x:v>Eleven context records cover all ten required gender dimensions. No causal claim is made from male identity alone.</x:v>
      </x:c>
    </x:row>
    <x:row r="20" ht="39" customHeight="1">
      <x:c r="A20" s="46" t="str">
        <x:v>Q15</x:v>
      </x:c>
      <x:c r="B20" s="47" t="str">
        <x:v>Era synthesis</x:v>
      </x:c>
      <x:c r="C20" s="47" t="str">
        <x:v>Six phases distinguish Emergency constraints, party leadership, two governments and the new opposition role.</x:v>
      </x:c>
      <x:c r="D20" s="47" t="str">
        <x:v>P1–P6</x:v>
      </x:c>
      <x:c r="E20" s="53" t="str">
        <x:v>Analysis</x:v>
      </x:c>
      <x:c r="F20" s="47" t="str">
        <x:v>Primary record</x:v>
      </x:c>
      <x:c r="G20" s="48" t="str">
        <x:v>S01; S02; S29; S03</x:v>
      </x:c>
      <x:c r="H20" s="47" t="str">
        <x:v>Context &amp; Constraints reviews all ten era dimensions for each phase, including explicit evidence gaps.</x:v>
      </x:c>
    </x:row>
    <x:row r="21" ht="39" customHeight="1">
      <x:c r="A21" s="49" t="str">
        <x:v>Q16</x:v>
      </x:c>
      <x:c r="B21" s="50" t="str">
        <x:v>Historical significance</x:v>
      </x:c>
      <x:c r="C21" s="50" t="str">
        <x:v>His career links long organizational leadership with a decade of state executive power and an unfinished opposition phase.</x:v>
      </x:c>
      <x:c r="D21" s="50" t="str">
        <x:v>P1–P6</x:v>
      </x:c>
      <x:c r="E21" s="54" t="str">
        <x:v>Analysis</x:v>
      </x:c>
      <x:c r="F21" s="50" t="str">
        <x:v>Multiple independent sources</x:v>
      </x:c>
      <x:c r="G21" s="51" t="str">
        <x:v>S01; S02; S55; S05; S03</x:v>
      </x:c>
      <x:c r="H21" s="50" t="str">
        <x:v>Legacy remains contested and ongoing; no pseudo-precise overall score is assigned.</x:v>
      </x:c>
    </x:row>
    <x:row r="22" ht="39" customHeight="1">
      <x:c r="A22" s="46" t="str">
        <x:v>Q17</x:v>
      </x:c>
      <x:c r="B22" s="47" t="str">
        <x:v>Personal elections documented</x:v>
      </x:c>
      <x:c r="C22" s="44" t="n">
        <x:f>COUNTIF('Elections'!$E$6:$E$12,"Personal contestant")</x:f>
        <x:v>7</x:v>
      </x:c>
      <x:c r="D22" s="47" t="str">
        <x:v>P1–P6</x:v>
      </x:c>
      <x:c r="E22" s="47" t="str">
        <x:v>Recorded fact</x:v>
      </x:c>
      <x:c r="F22" s="47" t="str">
        <x:v>Primary record</x:v>
      </x:c>
      <x:c r="G22" s="48" t="str">
        <x:v>S08; S09; S10; S11; S12; S13; S14</x:v>
      </x:c>
      <x:c r="H22" s="47" t="str">
        <x:v>Formula counts only rows marked Personal contestant; state-wide campaign outcomes are excluded.</x:v>
      </x:c>
    </x:row>
    <x:row r="23" ht="39" customHeight="1">
      <x:c r="A23" s="49" t="str">
        <x:v>Q18</x:v>
      </x:c>
      <x:c r="B23" s="50" t="str">
        <x:v>Personal elections won</x:v>
      </x:c>
      <x:c r="C23" s="45" t="n">
        <x:f>COUNTIFS('Elections'!$E$6:$E$12,"Personal contestant",'Elections'!$F$6:$F$12,"Won")</x:f>
        <x:v>7</x:v>
      </x:c>
      <x:c r="D23" s="50" t="str">
        <x:v>P1–P6</x:v>
      </x:c>
      <x:c r="E23" s="50" t="str">
        <x:v>Recorded fact</x:v>
      </x:c>
      <x:c r="F23" s="50" t="str">
        <x:v>Primary record</x:v>
      </x:c>
      <x:c r="G23" s="51" t="str">
        <x:v>S08; S09; S10; S11; S12; S13; S14</x:v>
      </x:c>
      <x:c r="H23" s="50" t="str">
        <x:v>Formula counts winning personal-contestant rows, not coalition victories.</x:v>
      </x:c>
    </x:row>
    <x:row r="24" ht="39" customHeight="1">
      <x:c r="A24" s="46" t="str">
        <x:v>Q19</x:v>
      </x:c>
      <x:c r="B24" s="47" t="str">
        <x:v>Chief-ministerial governments</x:v>
      </x:c>
      <x:c r="C24" s="44" t="n">
        <x:f>COUNTIF('Offices &amp; Party'!$B$6:$B$22,"Executive")</x:f>
        <x:v>2</x:v>
      </x:c>
      <x:c r="D24" s="47" t="str">
        <x:v>P4–P5</x:v>
      </x:c>
      <x:c r="E24" s="47" t="str">
        <x:v>Recorded fact</x:v>
      </x:c>
      <x:c r="F24" s="47" t="str">
        <x:v>Multiple independent sources</x:v>
      </x:c>
      <x:c r="G24" s="48" t="str">
        <x:v>S55; S18; S19; S06</x:v>
      </x:c>
      <x:c r="H24" s="47" t="str">
        <x:v>Formula counts Executive category rows; the caretaker row is excluded.</x:v>
      </x:c>
    </x:row>
    <x:row r="25" ht="39" customHeight="1">
      <x:c r="A25" s="49" t="str">
        <x:v>Q20</x:v>
      </x:c>
      <x:c r="B25" s="50" t="str">
        <x:v>Governance records</x:v>
      </x:c>
      <x:c r="C25" s="45" t="n">
        <x:f>COUNTA('Policy &amp; Governance'!$A$6:$A$21)</x:f>
        <x:v>16</x:v>
      </x:c>
      <x:c r="D25" s="50" t="str">
        <x:v>P2–P6</x:v>
      </x:c>
      <x:c r="E25" s="54" t="str">
        <x:v>Analysis</x:v>
      </x:c>
      <x:c r="F25" s="50" t="str">
        <x:v>Primary record</x:v>
      </x:c>
      <x:c r="G25" s="51" t="str">
        <x:v>S01; S20; S29</x:v>
      </x:c>
      <x:c r="H25" s="50" t="str">
        <x:v>Formula counts distinct policy/administrative records, including explicit assessment gaps; not a count of successful programmes.</x:v>
      </x:c>
    </x:row>
    <x:row r="26" ht="39" customHeight="1">
      <x:c r="A26" s="46" t="str">
        <x:v>Q21</x:v>
      </x:c>
      <x:c r="B26" s="47" t="str">
        <x:v>Sources registered</x:v>
      </x:c>
      <x:c r="C26" s="44" t="n">
        <x:f>COUNTA('Sources'!$A$6:$A$66)</x:f>
        <x:v>61</x:v>
      </x:c>
      <x:c r="D26" s="47" t="str">
        <x:v>All</x:v>
      </x:c>
      <x:c r="E26" s="47" t="str">
        <x:v>Recorded fact</x:v>
      </x:c>
      <x:c r="F26" s="47" t="str">
        <x:v>Primary record</x:v>
      </x:c>
      <x:c r="G26" s="48" t="str">
        <x:v>See Sources</x:v>
      </x:c>
      <x:c r="H26" s="47" t="str">
        <x:v>Formula counts source IDs. Multiple news reports of one institutional document are not automatically independent corroboration.</x:v>
      </x:c>
    </x:row>
    <x:row r="27" ht="39" customHeight="1">
      <x:c r="A27" s="49" t="str">
        <x:v>Q22</x:v>
      </x:c>
      <x:c r="B27" s="50" t="str">
        <x:v>Research cut-off</x:v>
      </x:c>
      <x:c r="C27" s="14" t="n">
        <x:v>46280</x:v>
      </x:c>
      <x:c r="D27" s="50" t="str">
        <x:v>P6</x:v>
      </x:c>
      <x:c r="E27" s="50" t="str">
        <x:v>Recorded fact</x:v>
      </x:c>
      <x:c r="F27" s="50" t="str">
        <x:v>Primary record</x:v>
      </x:c>
      <x:c r="G27" s="51" t="str">
        <x:v>S01; S04; S42; S43</x:v>
      </x:c>
      <x:c r="H27" s="50" t="str">
        <x:v>All URLs accessed on this date. Latest verified event/status dates may be earlier; unknown later developments remain unknown.</x:v>
      </x:c>
    </x:row>
    <x:row r="28" ht="39" customHeight="1">
      <x:c r="A28" s="46" t="str">
        <x:v>Q23</x:v>
      </x:c>
      <x:c r="B28" s="47" t="str">
        <x:v>How to navigate</x:v>
      </x:c>
      <x:c r="C28" s="47" t="str">
        <x:v>Filter any table by phase, topic, claim type or source. Stable IDs connect detail records to Sources and Context &amp; Constraints.</x:v>
      </x:c>
      <x:c r="D28" s="47" t="str">
        <x:v>All</x:v>
      </x:c>
      <x:c r="E28" s="47" t="str">
        <x:v>Method</x:v>
      </x:c>
      <x:c r="F28" s="47" t="str">
        <x:v>Not applicable</x:v>
      </x:c>
      <x:c r="G28" s="48" t="str">
        <x:v>—</x:v>
      </x:c>
      <x:c r="H28" s="47" t="str">
        <x:v>Freeze panes retain identifiers. Open-source links appear in Sources. No macros or external data connections.</x:v>
      </x:c>
    </x:row>
    <x:row r="29" ht="52.5" customHeight="1">
      <x:c r="A29" s="49" t="str">
        <x:v>Q24</x:v>
      </x:c>
      <x:c r="B29" s="50" t="str">
        <x:v>Evidence labels</x:v>
      </x:c>
      <x:c r="C29" s="50" t="str">
        <x:v>Recorded fact = established event/record; Attributed position = someone's claim; Analysis = reasoned interpretation; Disputed/uncertain = unresolved evidence.</x:v>
      </x:c>
      <x:c r="D29" s="50" t="str">
        <x:v>All</x:v>
      </x:c>
      <x:c r="E29" s="50" t="str">
        <x:v>Method</x:v>
      </x:c>
      <x:c r="F29" s="50" t="str">
        <x:v>Not applicable</x:v>
      </x:c>
      <x:c r="G29" s="51" t="str">
        <x:v>—</x:v>
      </x:c>
      <x:c r="H29" s="50" t="str">
        <x:v>Primary record verifies what is recorded, not automatically effectiveness or motive. Interested source only signals a claim not independently validated.</x:v>
      </x:c>
    </x:row>
    <x:row r="30" ht="39" customHeight="1">
      <x:c r="A30" s="46" t="str">
        <x:v>Q25</x:v>
      </x:c>
      <x:c r="B30" s="47" t="str">
        <x:v>Coverage and open questions</x:v>
      </x:c>
      <x:c r="C30" s="47" t="str">
        <x:v>Incomplete court dockets, early appointment dates, comparable media archives, policy impact and beneficiary follow-up remain research gaps.</x:v>
      </x:c>
      <x:c r="D30" s="47" t="str">
        <x:v>All</x:v>
      </x:c>
      <x:c r="E30" s="53" t="str">
        <x:v>Analysis</x:v>
      </x:c>
      <x:c r="F30" s="47" t="str">
        <x:v>Unresolved</x:v>
      </x:c>
      <x:c r="G30" s="48" t="str">
        <x:v>S01; S02; S21; S23; S41; S43</x:v>
      </x:c>
      <x:c r="H30" s="47" t="str">
        <x:v>English-language public-source review, including regional publications. No systematic Malayalam archive or oral-history research completed.</x:v>
      </x:c>
    </x:row>
    <x:row r="31" ht="39" customHeight="1">
      <x:c r="A31" s="49" t="str">
        <x:v>Q26</x:v>
      </x:c>
      <x:c r="B31" s="50" t="str">
        <x:v>Election comparability</x:v>
      </x:c>
      <x:c r="C31" s="50" t="str">
        <x:v>Shares use candidate votes before NOTA; from 2016 they include NOTA and exclude rejected votes. The 1996 denominator follows detailed candidates.</x:v>
      </x:c>
      <x:c r="D31" s="50" t="str">
        <x:v>P1–P6</x:v>
      </x:c>
      <x:c r="E31" s="50" t="str">
        <x:v>Recorded fact</x:v>
      </x:c>
      <x:c r="F31" s="50" t="str">
        <x:v>Primary record</x:v>
      </x:c>
      <x:c r="G31" s="51" t="str">
        <x:v>S08; S09; S10; S11; S12; S13; S14</x:v>
      </x:c>
      <x:c r="H31" s="50" t="str">
        <x:v>Shares/margins are formulas. Different constituencies and boundary histories limit direct personal-popularity comparisons.</x:v>
      </x:c>
    </x:row>
  </x:sheetData>
  <x:pageMargins left="0.7" right="0.7" top="0.75" bottom="0.75" header="0.3" footer="0.3"/>
  <x:tableParts count="1">
    <x:tablePart xmlns:r="http://schemas.openxmlformats.org/officeDocument/2006/relationships" r:id="R484eb61467fd4c9e"/>
  </x:tableParts>
</x:worksheet>
</file>

<file path=xl/worksheets/sheet2.xml><?xml version="1.0" encoding="utf-8"?>
<x:worksheet xmlns:x="http://schemas.openxmlformats.org/spreadsheetml/2006/main">
  <x:sheetPr>
    <x:tabColor rgb="FF0D6B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6" hidden="0" customWidth="1"/>
    <x:col min="4" max="4" width="14" hidden="0" customWidth="1"/>
    <x:col min="5" max="5" width="36" hidden="0" customWidth="1"/>
    <x:col min="6" max="6" width="27" hidden="0" customWidth="1"/>
    <x:col min="7" max="7" width="64" hidden="0" customWidth="1"/>
    <x:col min="8" max="8" width="61" hidden="0" customWidth="1"/>
    <x:col min="9" max="9" width="63" hidden="0" customWidth="1"/>
    <x:col min="10" max="10" width="59" hidden="0" customWidth="1"/>
    <x:col min="11" max="11" width="64" hidden="0" customWidth="1"/>
    <x:col min="12" max="12" width="58" hidden="0" customWidth="1"/>
    <x:col min="13" max="13" width="24" hidden="0" customWidth="1"/>
    <x:col min="14" max="14" width="28" hidden="0" customWidth="1"/>
    <x:col min="15" max="15" width="21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.75" customHeight="1">
      <x:c r="A2" s="4" t="str">
        <x:v>Context &amp; constraints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18.75" customHeight="1">
      <x:c r="A3" s="6" t="str">
        <x:v>Six career phases | Ten era dimensions per phase | All ten gender dimensions reviewed; 11 gender records.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7.5" customHeight="1">
      <x:c r="A5" s="64" t="str">
        <x:v>Context ID</x:v>
      </x:c>
      <x:c r="B5" s="64" t="str">
        <x:v>Career phase</x:v>
      </x:c>
      <x:c r="C5" s="64" t="str">
        <x:v>Period</x:v>
      </x:c>
      <x:c r="D5" s="64" t="str">
        <x:v>Coverage</x:v>
      </x:c>
      <x:c r="E5" s="64" t="str">
        <x:v>Dimension / item</x:v>
      </x:c>
      <x:c r="F5" s="64" t="str">
        <x:v>Research disposition</x:v>
      </x:c>
      <x:c r="G5" s="64" t="str">
        <x:v>Finding</x:v>
      </x:c>
      <x:c r="H5" s="64" t="str">
        <x:v>Mechanism / institutional constraint</x:v>
      </x:c>
      <x:c r="I5" s="64" t="str">
        <x:v>Contemporary comparator / feasible alternative</x:v>
      </x:c>
      <x:c r="J5" s="64" t="str">
        <x:v>Contemporary reception / record</x:v>
      </x:c>
      <x:c r="K5" s="64" t="str">
        <x:v>Retrospective caution / evidence limit</x:v>
      </x:c>
      <x:c r="L5" s="64" t="str">
        <x:v>Gender / other identity relevance</x:v>
      </x:c>
      <x:c r="M5" s="64" t="str">
        <x:v>Claim type</x:v>
      </x:c>
      <x:c r="N5" s="64" t="str">
        <x:v>Corroboration</x:v>
      </x:c>
      <x:c r="O5" s="64" t="str">
        <x:v>Source IDs</x:v>
      </x:c>
    </x:row>
    <x:row r="6" ht="39" customHeight="1">
      <x:c r="A6" s="46" t="str">
        <x:v>C-P1-01</x:v>
      </x:c>
      <x:c r="B6" s="47" t="str">
        <x:v>P1</x:v>
      </x:c>
      <x:c r="C6" s="47" t="str">
        <x:v>1964–1979</x:v>
      </x:c>
      <x:c r="D6" s="47" t="str">
        <x:v>Era</x:v>
      </x:c>
      <x:c r="E6" s="47" t="str">
        <x:v>Party system</x:v>
      </x:c>
      <x:c r="F6" s="47" t="str">
        <x:v>Material finding</x:v>
      </x:c>
      <x:c r="G6" s="47" t="str">
        <x:v>He entered the communist movement in 1964 and won a CPI(M) Assembly seat in 1970.</x:v>
      </x:c>
      <x:c r="H6" s="47" t="str">
        <x:v>Party membership and local nomination connected student activity with an electoral route.</x:v>
      </x:c>
      <x:c r="I6" s="47" t="str">
        <x:v>Kerala student organizers and MLAs of the same period; organizing, elections and legislative opposition.</x:v>
      </x:c>
      <x:c r="J6" s="47" t="str">
        <x:v>Party biography emphasizes movement service; election records establish the resulting mandate.</x:v>
      </x:c>
      <x:c r="K6" s="47" t="str">
        <x:v>The later LDF–UDF pattern should not be projected unchanged onto the 1960s.</x:v>
      </x:c>
      <x:c r="L6" s="47" t="str">
        <x:v>Kannur student and worker networks are evidenced; no individual gender or caste effect established.</x:v>
      </x:c>
      <x:c r="M6" s="53" t="str">
        <x:v>Analysis</x:v>
      </x:c>
      <x:c r="N6" s="47" t="str">
        <x:v>Primary record</x:v>
      </x:c>
      <x:c r="O6" s="48" t="str">
        <x:v>S02; S08; S17</x:v>
      </x:c>
    </x:row>
    <x:row r="7" ht="39" customHeight="1">
      <x:c r="A7" s="49" t="str">
        <x:v>C-P1-02</x:v>
      </x:c>
      <x:c r="B7" s="50" t="str">
        <x:v>P1</x:v>
      </x:c>
      <x:c r="C7" s="50" t="str">
        <x:v>1964–1979</x:v>
      </x:c>
      <x:c r="D7" s="50" t="str">
        <x:v>Era</x:v>
      </x:c>
      <x:c r="E7" s="50" t="str">
        <x:v>Constitutional and institutional environment</x:v>
      </x:c>
      <x:c r="F7" s="50" t="str">
        <x:v>Material finding</x:v>
      </x:c>
      <x:c r="G7" s="50" t="str">
        <x:v>The legislature's biography records detention and torture during the 1975–77 Emergency.</x:v>
      </x:c>
      <x:c r="H7" s="50" t="str">
        <x:v>Suspension of ordinary political freedoms constrained opposition activity and personal security.</x:v>
      </x:c>
      <x:c r="I7" s="50" t="str">
        <x:v>Kerala student organizers and MLAs of the same period; organizing, elections and legislative opposition.</x:v>
      </x:c>
      <x:c r="J7" s="50" t="str">
        <x:v>His own institutional biography foregrounds repression; contemporary custodial files were not retrieved.</x:v>
      </x:c>
      <x:c r="K7" s="50" t="str">
        <x:v>Retrospective testimony needs distinction from a contemporaneous medical or judicial finding.</x:v>
      </x:c>
      <x:c r="L7" s="50" t="str">
        <x:v>Kannur student and worker networks are evidenced; no individual gender or caste effect established.</x:v>
      </x:c>
      <x:c r="M7" s="58" t="str">
        <x:v>Attributed position</x:v>
      </x:c>
      <x:c r="N7" s="50" t="str">
        <x:v>Primary record</x:v>
      </x:c>
      <x:c r="O7" s="51" t="str">
        <x:v>S01; S02</x:v>
      </x:c>
    </x:row>
    <x:row r="8" ht="39" customHeight="1">
      <x:c r="A8" s="46" t="str">
        <x:v>C-P1-03</x:v>
      </x:c>
      <x:c r="B8" s="47" t="str">
        <x:v>P1</x:v>
      </x:c>
      <x:c r="C8" s="47" t="str">
        <x:v>1964–1979</x:v>
      </x:c>
      <x:c r="D8" s="47" t="str">
        <x:v>Era</x:v>
      </x:c>
      <x:c r="E8" s="47" t="str">
        <x:v>Electoral environment</x:v>
      </x:c>
      <x:c r="F8" s="47" t="str">
        <x:v>Material finding</x:v>
      </x:c>
      <x:c r="G8" s="47" t="str">
        <x:v>Kuthuparamba appears as AC 11 in 1970 and AC 14 in 1977; both were direct Assembly contests.</x:v>
      </x:c>
      <x:c r="H8" s="47" t="str">
        <x:v>Single-member constituency victories provided formal authority distinct from party office.</x:v>
      </x:c>
      <x:c r="I8" s="47" t="str">
        <x:v>Kerala student organizers and MLAs of the same period; organizing, elections and legislative opposition.</x:v>
      </x:c>
      <x:c r="J8" s="47" t="str">
        <x:v>Official tallies show narrow victory in 1970 and a larger majority in 1977.</x:v>
      </x:c>
      <x:c r="K8" s="47" t="str">
        <x:v>Number changes alone do not establish that boundaries were identical or how they changed.</x:v>
      </x:c>
      <x:c r="L8" s="47" t="str">
        <x:v>Kannur student and worker networks are evidenced; no individual gender or caste effect established.</x:v>
      </x:c>
      <x:c r="M8" s="47" t="str">
        <x:v>Recorded fact</x:v>
      </x:c>
      <x:c r="N8" s="47" t="str">
        <x:v>Primary record</x:v>
      </x:c>
      <x:c r="O8" s="48" t="str">
        <x:v>S08; S09</x:v>
      </x:c>
    </x:row>
    <x:row r="9" ht="52.5" customHeight="1">
      <x:c r="A9" s="49" t="str">
        <x:v>C-P1-04</x:v>
      </x:c>
      <x:c r="B9" s="50" t="str">
        <x:v>P1</x:v>
      </x:c>
      <x:c r="C9" s="50" t="str">
        <x:v>1964–1979</x:v>
      </x:c>
      <x:c r="D9" s="50" t="str">
        <x:v>Era</x:v>
      </x:c>
      <x:c r="E9" s="50" t="str">
        <x:v>Economic regime</x:v>
      </x:c>
      <x:c r="F9" s="50" t="str">
        <x:v>Material finding</x:v>
      </x:c>
      <x:c r="G9" s="50" t="str">
        <x:v>His early route involved student, youth and cooperative organizations, within a party emphasizing workers and public ownership.</x:v>
      </x:c>
      <x:c r="H9" s="50" t="str">
        <x:v>These institutions offered a class-oriented base for political recruitment.</x:v>
      </x:c>
      <x:c r="I9" s="50" t="str">
        <x:v>Kerala student organizers and MLAs of the same period; organizing, elections and legislative opposition.</x:v>
      </x:c>
      <x:c r="J9" s="50" t="str">
        <x:v>The party presents this as organization among working people; neutral recruitment studies were not retrieved.</x:v>
      </x:c>
      <x:c r="K9" s="50" t="str">
        <x:v>Party doctrine does not demonstrate his personal influence on state economic outcomes.</x:v>
      </x:c>
      <x:c r="L9" s="50" t="str">
        <x:v>Kannur student and worker networks are evidenced; no individual gender or caste effect established.</x:v>
      </x:c>
      <x:c r="M9" s="54" t="str">
        <x:v>Analysis</x:v>
      </x:c>
      <x:c r="N9" s="50" t="str">
        <x:v>Primary record</x:v>
      </x:c>
      <x:c r="O9" s="51" t="str">
        <x:v>S02; S17</x:v>
      </x:c>
    </x:row>
    <x:row r="10" ht="39" customHeight="1">
      <x:c r="A10" s="46" t="str">
        <x:v>C-P1-05</x:v>
      </x:c>
      <x:c r="B10" s="47" t="str">
        <x:v>P1</x:v>
      </x:c>
      <x:c r="C10" s="47" t="str">
        <x:v>1964–1979</x:v>
      </x:c>
      <x:c r="D10" s="47" t="str">
        <x:v>Era</x:v>
      </x:c>
      <x:c r="E10" s="47" t="str">
        <x:v>International system</x:v>
      </x:c>
      <x:c r="F10" s="47" t="str">
        <x:v>Material finding</x:v>
      </x:c>
      <x:c r="G10" s="47" t="str">
        <x:v>CPI(M)'s programme locates its 1964 formation in an international communist ideological struggle.</x:v>
      </x:c>
      <x:c r="H10" s="47" t="str">
        <x:v>Global ideological divisions supplied an organizational vocabulary for local party alignment.</x:v>
      </x:c>
      <x:c r="I10" s="47" t="str">
        <x:v>Kerala student organizers and MLAs of the same period; organizing, elections and legislative opposition.</x:v>
      </x:c>
      <x:c r="J10" s="47" t="str">
        <x:v>The party's account criticizes rival communist tendencies.</x:v>
      </x:c>
      <x:c r="K10" s="47" t="str">
        <x:v>That interested retrospective narrative does not establish Vijayan's own reasoning in 1964.</x:v>
      </x:c>
      <x:c r="L10" s="47" t="str">
        <x:v>Kannur student and worker networks are evidenced; no individual gender or caste effect established.</x:v>
      </x:c>
      <x:c r="M10" s="58" t="str">
        <x:v>Attributed position</x:v>
      </x:c>
      <x:c r="N10" s="47" t="str">
        <x:v>Interested source only</x:v>
      </x:c>
      <x:c r="O10" s="48" t="str">
        <x:v>S17</x:v>
      </x:c>
    </x:row>
    <x:row r="11" ht="39" customHeight="1">
      <x:c r="A11" s="49" t="str">
        <x:v>C-P1-06</x:v>
      </x:c>
      <x:c r="B11" s="50" t="str">
        <x:v>P1</x:v>
      </x:c>
      <x:c r="C11" s="50" t="str">
        <x:v>1964–1979</x:v>
      </x:c>
      <x:c r="D11" s="50" t="str">
        <x:v>Era</x:v>
      </x:c>
      <x:c r="E11" s="50" t="str">
        <x:v>Media and campaign environment</x:v>
      </x:c>
      <x:c r="F11" s="50" t="str">
        <x:v>Research limitation</x:v>
      </x:c>
      <x:c r="G11" s="50" t="str">
        <x:v>Selected records document student activity and election results but do not reconstruct his early media strategy.</x:v>
      </x:c>
      <x:c r="H11" s="50" t="str">
        <x:v>Campaign techniques, audience reach and press framing cannot be assessed reliably from vote totals.</x:v>
      </x:c>
      <x:c r="I11" s="50" t="str">
        <x:v>Kerala student organizers and MLAs of the same period; organizing, elections and legislative opposition.</x:v>
      </x:c>
      <x:c r="J11" s="50" t="str">
        <x:v>A contemporary press archive comparison was not completed.</x:v>
      </x:c>
      <x:c r="K11" s="50" t="str">
        <x:v>Do not import today's televised or social-media campaigning into this phase.</x:v>
      </x:c>
      <x:c r="L11" s="50" t="str">
        <x:v>Kannur student and worker networks are evidenced; no individual gender or caste effect established.</x:v>
      </x:c>
      <x:c r="M11" s="52" t="str">
        <x:v>Disputed/uncertain</x:v>
      </x:c>
      <x:c r="N11" s="50" t="str">
        <x:v>Unresolved</x:v>
      </x:c>
      <x:c r="O11" s="51" t="str">
        <x:v>S02; S08; S09</x:v>
      </x:c>
    </x:row>
    <x:row r="12" ht="39" customHeight="1">
      <x:c r="A12" s="46" t="str">
        <x:v>C-P1-07</x:v>
      </x:c>
      <x:c r="B12" s="47" t="str">
        <x:v>P1</x:v>
      </x:c>
      <x:c r="C12" s="47" t="str">
        <x:v>1964–1979</x:v>
      </x:c>
      <x:c r="D12" s="47" t="str">
        <x:v>Era</x:v>
      </x:c>
      <x:c r="E12" s="47" t="str">
        <x:v>Political organization</x:v>
      </x:c>
      <x:c r="F12" s="47" t="str">
        <x:v>Material finding</x:v>
      </x:c>
      <x:c r="G12" s="47" t="str">
        <x:v>He held leadership roles in the Kerala Students Federation and Kerala State Youth Federation.</x:v>
      </x:c>
      <x:c r="H12" s="47" t="str">
        <x:v>Movement organizations supplied experience and links before senior party leadership.</x:v>
      </x:c>
      <x:c r="I12" s="47" t="str">
        <x:v>Kerala student organizers and MLAs of the same period; organizing, elections and legislative opposition.</x:v>
      </x:c>
      <x:c r="J12" s="47" t="str">
        <x:v>The party biography treats these offices as the route of advancement.</x:v>
      </x:c>
      <x:c r="K12" s="47" t="str">
        <x:v>Exact start/end dates and nomination processes were not established.</x:v>
      </x:c>
      <x:c r="L12" s="47" t="str">
        <x:v>Kannur student and worker networks are evidenced; no individual gender or caste effect established.</x:v>
      </x:c>
      <x:c r="M12" s="47" t="str">
        <x:v>Recorded fact</x:v>
      </x:c>
      <x:c r="N12" s="47" t="str">
        <x:v>Interested source only</x:v>
      </x:c>
      <x:c r="O12" s="48" t="str">
        <x:v>S02</x:v>
      </x:c>
    </x:row>
    <x:row r="13" ht="39" customHeight="1">
      <x:c r="A13" s="49" t="str">
        <x:v>C-P1-08</x:v>
      </x:c>
      <x:c r="B13" s="50" t="str">
        <x:v>P1</x:v>
      </x:c>
      <x:c r="C13" s="50" t="str">
        <x:v>1964–1979</x:v>
      </x:c>
      <x:c r="D13" s="50" t="str">
        <x:v>Era</x:v>
      </x:c>
      <x:c r="E13" s="50" t="str">
        <x:v>Social environment</x:v>
      </x:c>
      <x:c r="F13" s="50" t="str">
        <x:v>Material finding</x:v>
      </x:c>
      <x:c r="G13" s="50" t="str">
        <x:v>Official election statistics show one woman elected among Kerala's 140 MLAs in 1977.</x:v>
      </x:c>
      <x:c r="H13" s="50" t="str">
        <x:v>The legislature was overwhelmingly male, setting a relevant representation baseline.</x:v>
      </x:c>
      <x:c r="I13" s="50" t="str">
        <x:v>Kerala student organizers and MLAs of the same period; organizing, elections and legislative opposition.</x:v>
      </x:c>
      <x:c r="J13" s="50" t="str">
        <x:v>The count establishes composition, not how voters or committees understood gender.</x:v>
      </x:c>
      <x:c r="K13" s="50" t="str">
        <x:v>No inference that his own nomination resulted from gender preference follows from this aggregate.</x:v>
      </x:c>
      <x:c r="L13" s="50" t="str">
        <x:v>Kannur student and worker networks are evidenced; no individual gender or caste effect established.</x:v>
      </x:c>
      <x:c r="M13" s="50" t="str">
        <x:v>Recorded fact</x:v>
      </x:c>
      <x:c r="N13" s="50" t="str">
        <x:v>Primary record</x:v>
      </x:c>
      <x:c r="O13" s="51" t="str">
        <x:v>S09</x:v>
      </x:c>
    </x:row>
    <x:row r="14" ht="39" customHeight="1">
      <x:c r="A14" s="46" t="str">
        <x:v>C-P1-09</x:v>
      </x:c>
      <x:c r="B14" s="47" t="str">
        <x:v>P1</x:v>
      </x:c>
      <x:c r="C14" s="47" t="str">
        <x:v>1964–1979</x:v>
      </x:c>
      <x:c r="D14" s="47" t="str">
        <x:v>Era</x:v>
      </x:c>
      <x:c r="E14" s="47" t="str">
        <x:v>State structure and political geography</x:v>
      </x:c>
      <x:c r="F14" s="47" t="str">
        <x:v>Material finding</x:v>
      </x:c>
      <x:c r="G14" s="47" t="str">
        <x:v>His early electoral base was Kuthuparamba in northern Kerala.</x:v>
      </x:c>
      <x:c r="H14" s="47" t="str">
        <x:v>Local constituency representation anchored his career before statewide executive office.</x:v>
      </x:c>
      <x:c r="I14" s="47" t="str">
        <x:v>Kerala student organizers and MLAs of the same period; organizing, elections and legislative opposition.</x:v>
      </x:c>
      <x:c r="J14" s="47" t="str">
        <x:v>Constituency records are stronger evidence of political geography than later statewide branding.</x:v>
      </x:c>
      <x:c r="K14" s="47" t="str">
        <x:v>Use names and seat numbers from the election year; exact boundary correspondence remains unverified.</x:v>
      </x:c>
      <x:c r="L14" s="47" t="str">
        <x:v>Kannur student and worker networks are evidenced; no individual gender or caste effect established.</x:v>
      </x:c>
      <x:c r="M14" s="47" t="str">
        <x:v>Recorded fact</x:v>
      </x:c>
      <x:c r="N14" s="47" t="str">
        <x:v>Primary record</x:v>
      </x:c>
      <x:c r="O14" s="48" t="str">
        <x:v>S08; S09</x:v>
      </x:c>
    </x:row>
    <x:row r="15" ht="52.5" customHeight="1">
      <x:c r="A15" s="49" t="str">
        <x:v>C-P1-10</x:v>
      </x:c>
      <x:c r="B15" s="50" t="str">
        <x:v>P1</x:v>
      </x:c>
      <x:c r="C15" s="50" t="str">
        <x:v>1964–1979</x:v>
      </x:c>
      <x:c r="D15" s="50" t="str">
        <x:v>Era</x:v>
      </x:c>
      <x:c r="E15" s="50" t="str">
        <x:v>Evidence environment</x:v>
      </x:c>
      <x:c r="F15" s="50" t="str">
        <x:v>Research limitation</x:v>
      </x:c>
      <x:c r="G15" s="50" t="str">
        <x:v>Early career interpretation relies heavily on later official/party biographies; election returns survive as statistical PDFs.</x:v>
      </x:c>
      <x:c r="H15" s="50" t="str">
        <x:v>Vote counts are much firmer than claims about personal motivations or organizing culture.</x:v>
      </x:c>
      <x:c r="I15" s="50" t="str">
        <x:v>Kerala student organizers and MLAs of the same period; organizing, elections and legislative opposition.</x:v>
      </x:c>
      <x:c r="J15" s="50" t="str">
        <x:v>No systematic contemporary Malayalam press corpus was examined.</x:v>
      </x:c>
      <x:c r="K15" s="50" t="str">
        <x:v>Absence from these selected sources is not evidence that an activity did not occur.</x:v>
      </x:c>
      <x:c r="L15" s="50" t="str">
        <x:v>Kannur student and worker networks are evidenced; no individual gender or caste effect established.</x:v>
      </x:c>
      <x:c r="M15" s="54" t="str">
        <x:v>Analysis</x:v>
      </x:c>
      <x:c r="N15" s="50" t="str">
        <x:v>Unresolved</x:v>
      </x:c>
      <x:c r="O15" s="51" t="str">
        <x:v>S01; S02; S08; S09</x:v>
      </x:c>
    </x:row>
    <x:row r="16" ht="39" customHeight="1">
      <x:c r="A16" s="46" t="str">
        <x:v>C-P2-01</x:v>
      </x:c>
      <x:c r="B16" s="47" t="str">
        <x:v>P2</x:v>
      </x:c>
      <x:c r="C16" s="47" t="str">
        <x:v>1980–1998</x:v>
      </x:c>
      <x:c r="D16" s="47" t="str">
        <x:v>Era</x:v>
      </x:c>
      <x:c r="E16" s="47" t="str">
        <x:v>Party system</x:v>
      </x:c>
      <x:c r="F16" s="47" t="str">
        <x:v>Material finding</x:v>
      </x:c>
      <x:c r="G16" s="47" t="str">
        <x:v>His 1991 and 1996 victories were over Congress candidates; the latter led to ministerial office.</x:v>
      </x:c>
      <x:c r="H16" s="47" t="str">
        <x:v>Competition with Congress combined constituency elections with a broader coalition-government route.</x:v>
      </x:c>
      <x:c r="I16" s="47" t="str">
        <x:v>Kerala party organizers and ministers in coalition governments; party work, legislative scrutiny and cabinet policy.</x:v>
      </x:c>
      <x:c r="J16" s="47" t="str">
        <x:v>Official results document the contests; the legislature records the resulting portfolio.</x:v>
      </x:c>
      <x:c r="K16" s="47" t="str">
        <x:v>A personal win should not be treated as a measurement of coalition-wide support.</x:v>
      </x:c>
      <x:c r="L16" s="47" t="str">
        <x:v>Regional organizational base is relevant; identity-specific selection mechanisms remain unverified.</x:v>
      </x:c>
      <x:c r="M16" s="53" t="str">
        <x:v>Analysis</x:v>
      </x:c>
      <x:c r="N16" s="47" t="str">
        <x:v>Primary record</x:v>
      </x:c>
      <x:c r="O16" s="48" t="str">
        <x:v>S10; S11; S01</x:v>
      </x:c>
    </x:row>
    <x:row r="17" ht="52.5" customHeight="1">
      <x:c r="A17" s="49" t="str">
        <x:v>C-P2-02</x:v>
      </x:c>
      <x:c r="B17" s="50" t="str">
        <x:v>P2</x:v>
      </x:c>
      <x:c r="C17" s="50" t="str">
        <x:v>1980–1998</x:v>
      </x:c>
      <x:c r="D17" s="50" t="str">
        <x:v>Era</x:v>
      </x:c>
      <x:c r="E17" s="50" t="str">
        <x:v>Constitutional and institutional environment</x:v>
      </x:c>
      <x:c r="F17" s="50" t="str">
        <x:v>Material finding</x:v>
      </x:c>
      <x:c r="G17" s="50" t="str">
        <x:v>He served as electricity and cooperation minister in 1996–98.</x:v>
      </x:c>
      <x:c r="H17" s="50" t="str">
        <x:v>Cabinet responsibility involved public institutions and contracts; later judicial scrutiny examined specific decisions.</x:v>
      </x:c>
      <x:c r="I17" s="50" t="str">
        <x:v>Kerala party organizers and ministers in coalition governments; party work, legislative scrutiny and cabinet policy.</x:v>
      </x:c>
      <x:c r="J17" s="50" t="str">
        <x:v>The SNC-Lavalin dispute arose from the power-project procurement sequence.</x:v>
      </x:c>
      <x:c r="K17" s="50" t="str">
        <x:v>Later litigation must be evaluated against the decisions and rules then in force, without presuming guilt.</x:v>
      </x:c>
      <x:c r="L17" s="50" t="str">
        <x:v>Regional organizational base is relevant; identity-specific selection mechanisms remain unverified.</x:v>
      </x:c>
      <x:c r="M17" s="54" t="str">
        <x:v>Analysis</x:v>
      </x:c>
      <x:c r="N17" s="50" t="str">
        <x:v>Primary record</x:v>
      </x:c>
      <x:c r="O17" s="51" t="str">
        <x:v>S01; S39; S40</x:v>
      </x:c>
    </x:row>
    <x:row r="18" ht="39" customHeight="1">
      <x:c r="A18" s="46" t="str">
        <x:v>C-P2-03</x:v>
      </x:c>
      <x:c r="B18" s="47" t="str">
        <x:v>P2</x:v>
      </x:c>
      <x:c r="C18" s="47" t="str">
        <x:v>1980–1998</x:v>
      </x:c>
      <x:c r="D18" s="47" t="str">
        <x:v>Era</x:v>
      </x:c>
      <x:c r="E18" s="47" t="str">
        <x:v>Electoral environment</x:v>
      </x:c>
      <x:c r="F18" s="47" t="str">
        <x:v>Material finding</x:v>
      </x:c>
      <x:c r="G18" s="47" t="str">
        <x:v>The constituency changed from Kuthuparamba in 1991 to Payyannur in 1996.</x:v>
      </x:c>
      <x:c r="H18" s="47" t="str">
        <x:v>Nomination to different seats complicates a simple time-series comparison of personal popularity.</x:v>
      </x:c>
      <x:c r="I18" s="47" t="str">
        <x:v>Kerala party organizers and ministers in coalition governments; party work, legislative scrutiny and cabinet policy.</x:v>
      </x:c>
      <x:c r="J18" s="47" t="str">
        <x:v>The detailed ECI tables support both victories.</x:v>
      </x:c>
      <x:c r="K18" s="47" t="str">
        <x:v>Vote shares across different constituencies are not controlled comparisons of leadership effects.</x:v>
      </x:c>
      <x:c r="L18" s="47" t="str">
        <x:v>Regional organizational base is relevant; identity-specific selection mechanisms remain unverified.</x:v>
      </x:c>
      <x:c r="M18" s="47" t="str">
        <x:v>Recorded fact</x:v>
      </x:c>
      <x:c r="N18" s="47" t="str">
        <x:v>Primary record</x:v>
      </x:c>
      <x:c r="O18" s="48" t="str">
        <x:v>S10; S11</x:v>
      </x:c>
    </x:row>
    <x:row r="19" ht="39" customHeight="1">
      <x:c r="A19" s="49" t="str">
        <x:v>C-P2-04</x:v>
      </x:c>
      <x:c r="B19" s="50" t="str">
        <x:v>P2</x:v>
      </x:c>
      <x:c r="C19" s="50" t="str">
        <x:v>1980–1998</x:v>
      </x:c>
      <x:c r="D19" s="50" t="str">
        <x:v>Era</x:v>
      </x:c>
      <x:c r="E19" s="50" t="str">
        <x:v>Economic regime</x:v>
      </x:c>
      <x:c r="F19" s="50" t="str">
        <x:v>Material finding</x:v>
      </x:c>
      <x:c r="G19" s="50" t="str">
        <x:v>The power ministry used a foreign commercial contractor for hydropower modernization.</x:v>
      </x:c>
      <x:c r="H19" s="50" t="str">
        <x:v>Public-sector management could involve international procurement while the party opposed market-led reform.</x:v>
      </x:c>
      <x:c r="I19" s="50" t="str">
        <x:v>Kerala party organizers and ministers in coalition governments; party work, legislative scrutiny and cabinet policy.</x:v>
      </x:c>
      <x:c r="J19" s="50" t="str">
        <x:v>The procurement rationale and subsequent audit/investigative criticism differed.</x:v>
      </x:c>
      <x:c r="K19" s="50" t="str">
        <x:v>Contract adoption, delivered capability and alleged loss must remain separate stages.</x:v>
      </x:c>
      <x:c r="L19" s="50" t="str">
        <x:v>Regional organizational base is relevant; identity-specific selection mechanisms remain unverified.</x:v>
      </x:c>
      <x:c r="M19" s="54" t="str">
        <x:v>Analysis</x:v>
      </x:c>
      <x:c r="N19" s="50" t="str">
        <x:v>Primary record</x:v>
      </x:c>
      <x:c r="O19" s="51" t="str">
        <x:v>S39; S40; S17</x:v>
      </x:c>
    </x:row>
    <x:row r="20" ht="52.5" customHeight="1">
      <x:c r="A20" s="46" t="str">
        <x:v>C-P2-05</x:v>
      </x:c>
      <x:c r="B20" s="47" t="str">
        <x:v>P2</x:v>
      </x:c>
      <x:c r="C20" s="47" t="str">
        <x:v>1980–1998</x:v>
      </x:c>
      <x:c r="D20" s="47" t="str">
        <x:v>Era</x:v>
      </x:c>
      <x:c r="E20" s="47" t="str">
        <x:v>International system</x:v>
      </x:c>
      <x:c r="F20" s="47" t="str">
        <x:v>Material finding</x:v>
      </x:c>
      <x:c r="G20" s="47" t="str">
        <x:v>The party later described the Soviet collapse as requiring strategic reassessment; the power contract involved a Canadian company.</x:v>
      </x:c>
      <x:c r="H20" s="47" t="str">
        <x:v>Post-Soviet ideological adjustment coexisted with cross-border technology procurement.</x:v>
      </x:c>
      <x:c r="I20" s="47" t="str">
        <x:v>Kerala party organizers and ministers in coalition governments; party work, legislative scrutiny and cabinet policy.</x:v>
      </x:c>
      <x:c r="J20" s="47" t="str">
        <x:v>Party documents and procurement accounts illuminate different aspects of this transition.</x:v>
      </x:c>
      <x:c r="K20" s="47" t="str">
        <x:v>Neither establishes a personal foreign-policy role for a Kerala minister.</x:v>
      </x:c>
      <x:c r="L20" s="47" t="str">
        <x:v>Regional organizational base is relevant; identity-specific selection mechanisms remain unverified.</x:v>
      </x:c>
      <x:c r="M20" s="53" t="str">
        <x:v>Analysis</x:v>
      </x:c>
      <x:c r="N20" s="47" t="str">
        <x:v>Primary record</x:v>
      </x:c>
      <x:c r="O20" s="48" t="str">
        <x:v>S17; S39</x:v>
      </x:c>
    </x:row>
    <x:row r="21" ht="39" customHeight="1">
      <x:c r="A21" s="49" t="str">
        <x:v>C-P2-06</x:v>
      </x:c>
      <x:c r="B21" s="50" t="str">
        <x:v>P2</x:v>
      </x:c>
      <x:c r="C21" s="50" t="str">
        <x:v>1980–1998</x:v>
      </x:c>
      <x:c r="D21" s="50" t="str">
        <x:v>Era</x:v>
      </x:c>
      <x:c r="E21" s="50" t="str">
        <x:v>Media and campaign environment</x:v>
      </x:c>
      <x:c r="F21" s="50" t="str">
        <x:v>Evidence not found</x:v>
      </x:c>
      <x:c r="G21" s="50" t="str">
        <x:v>A dependable comparative account of Vijayan's 1980s–1990s media strategy was not located.</x:v>
      </x:c>
      <x:c r="H21" s="50" t="str">
        <x:v>Media influence on his rise cannot be inferred from later portrayals.</x:v>
      </x:c>
      <x:c r="I21" s="50" t="str">
        <x:v>Kerala party organizers and ministers in coalition governments; party work, legislative scrutiny and cabinet policy.</x:v>
      </x:c>
      <x:c r="J21" s="50" t="str">
        <x:v>Later profiles emphasize organizational work rather than provide contemporary audience data.</x:v>
      </x:c>
      <x:c r="K21" s="50" t="str">
        <x:v>Later reputation is not a substitute for contemporaneous coverage.</x:v>
      </x:c>
      <x:c r="L21" s="50" t="str">
        <x:v>Regional organizational base is relevant; identity-specific selection mechanisms remain unverified.</x:v>
      </x:c>
      <x:c r="M21" s="52" t="str">
        <x:v>Disputed/uncertain</x:v>
      </x:c>
      <x:c r="N21" s="50" t="str">
        <x:v>Unresolved</x:v>
      </x:c>
      <x:c r="O21" s="51" t="str">
        <x:v>S15; S16</x:v>
      </x:c>
    </x:row>
    <x:row r="22" ht="39" customHeight="1">
      <x:c r="A22" s="46" t="str">
        <x:v>C-P2-07</x:v>
      </x:c>
      <x:c r="B22" s="47" t="str">
        <x:v>P2</x:v>
      </x:c>
      <x:c r="C22" s="47" t="str">
        <x:v>1980–1998</x:v>
      </x:c>
      <x:c r="D22" s="47" t="str">
        <x:v>Era</x:v>
      </x:c>
      <x:c r="E22" s="47" t="str">
        <x:v>Political organization</x:v>
      </x:c>
      <x:c r="F22" s="47" t="str">
        <x:v>Material finding</x:v>
      </x:c>
      <x:c r="G22" s="47" t="str">
        <x:v>Party and cooperative roles preceded his move from ministerial office to state secretary in 1998.</x:v>
      </x:c>
      <x:c r="H22" s="47" t="str">
        <x:v>Organizational advancement and executive service were distinct but connected career pathways.</x:v>
      </x:c>
      <x:c r="I22" s="47" t="str">
        <x:v>Kerala party organizers and ministers in coalition governments; party work, legislative scrutiny and cabinet policy.</x:v>
      </x:c>
      <x:c r="J22" s="47" t="str">
        <x:v>Party biography stresses the organizational sequence.</x:v>
      </x:c>
      <x:c r="K22" s="47" t="str">
        <x:v>Selection deliberations and the relative weight of rival networks remain unverified.</x:v>
      </x:c>
      <x:c r="L22" s="47" t="str">
        <x:v>Regional organizational base is relevant; identity-specific selection mechanisms remain unverified.</x:v>
      </x:c>
      <x:c r="M22" s="53" t="str">
        <x:v>Analysis</x:v>
      </x:c>
      <x:c r="N22" s="47" t="str">
        <x:v>Primary record</x:v>
      </x:c>
      <x:c r="O22" s="48" t="str">
        <x:v>S02; S01</x:v>
      </x:c>
    </x:row>
    <x:row r="23" ht="52.5" customHeight="1">
      <x:c r="A23" s="49" t="str">
        <x:v>C-P2-08</x:v>
      </x:c>
      <x:c r="B23" s="50" t="str">
        <x:v>P2</x:v>
      </x:c>
      <x:c r="C23" s="50" t="str">
        <x:v>1980–1998</x:v>
      </x:c>
      <x:c r="D23" s="50" t="str">
        <x:v>Era</x:v>
      </x:c>
      <x:c r="E23" s="50" t="str">
        <x:v>Social environment</x:v>
      </x:c>
      <x:c r="F23" s="50" t="str">
        <x:v>Research limitation</x:v>
      </x:c>
      <x:c r="G23" s="50" t="str">
        <x:v>Working-class origins and northern Kerala organization recur in profiles; a causal account of caste-based advancement was not established.</x:v>
      </x:c>
      <x:c r="H23" s="50" t="str">
        <x:v>Class and regional narratives can shape legitimacy, but require evidence for specific recruitment mechanisms.</x:v>
      </x:c>
      <x:c r="I23" s="50" t="str">
        <x:v>Kerala party organizers and ministers in coalition governments; party work, legislative scrutiny and cabinet policy.</x:v>
      </x:c>
      <x:c r="J23" s="50" t="str">
        <x:v>Profiles use humble-origin narratives.</x:v>
      </x:c>
      <x:c r="K23" s="50" t="str">
        <x:v>Do not infer caste identity, caste voting or gender advantage from birthplace or surname.</x:v>
      </x:c>
      <x:c r="L23" s="50" t="str">
        <x:v>Regional organizational base is relevant; identity-specific selection mechanisms remain unverified.</x:v>
      </x:c>
      <x:c r="M23" s="54" t="str">
        <x:v>Analysis</x:v>
      </x:c>
      <x:c r="N23" s="50" t="str">
        <x:v>Single credible source</x:v>
      </x:c>
      <x:c r="O23" s="51" t="str">
        <x:v>S15; S16</x:v>
      </x:c>
    </x:row>
    <x:row r="24" ht="39" customHeight="1">
      <x:c r="A24" s="46" t="str">
        <x:v>C-P2-09</x:v>
      </x:c>
      <x:c r="B24" s="47" t="str">
        <x:v>P2</x:v>
      </x:c>
      <x:c r="C24" s="47" t="str">
        <x:v>1980–1998</x:v>
      </x:c>
      <x:c r="D24" s="47" t="str">
        <x:v>Era</x:v>
      </x:c>
      <x:c r="E24" s="47" t="str">
        <x:v>State structure and political geography</x:v>
      </x:c>
      <x:c r="F24" s="47" t="str">
        <x:v>Material finding</x:v>
      </x:c>
      <x:c r="G24" s="47" t="str">
        <x:v>The health administration records local-government devolution under Kerala's 1994 Panchayat Raj framework.</x:v>
      </x:c>
      <x:c r="H24" s="47" t="str">
        <x:v>This institutional inheritance later shaped primary-care delivery during his chief-ministership.</x:v>
      </x:c>
      <x:c r="I24" s="47" t="str">
        <x:v>Kerala party organizers and ministers in coalition governments; party work, legislative scrutiny and cabinet policy.</x:v>
      </x:c>
      <x:c r="J24" s="47" t="str">
        <x:v>The NHM describes local bodies' responsibility for primary health facilities.</x:v>
      </x:c>
      <x:c r="K24" s="47" t="str">
        <x:v>Do not attribute this prior institutional framework to a government that began in 2016.</x:v>
      </x:c>
      <x:c r="L24" s="47" t="str">
        <x:v>Regional organizational base is relevant; identity-specific selection mechanisms remain unverified.</x:v>
      </x:c>
      <x:c r="M24" s="47" t="str">
        <x:v>Recorded fact</x:v>
      </x:c>
      <x:c r="N24" s="47" t="str">
        <x:v>Primary record</x:v>
      </x:c>
      <x:c r="O24" s="48" t="str">
        <x:v>S20</x:v>
      </x:c>
    </x:row>
    <x:row r="25" ht="39" customHeight="1">
      <x:c r="A25" s="49" t="str">
        <x:v>C-P2-10</x:v>
      </x:c>
      <x:c r="B25" s="50" t="str">
        <x:v>P2</x:v>
      </x:c>
      <x:c r="C25" s="50" t="str">
        <x:v>1980–1998</x:v>
      </x:c>
      <x:c r="D25" s="50" t="str">
        <x:v>Era</x:v>
      </x:c>
      <x:c r="E25" s="50" t="str">
        <x:v>Evidence environment</x:v>
      </x:c>
      <x:c r="F25" s="50" t="str">
        <x:v>Material finding</x:v>
      </x:c>
      <x:c r="G25" s="50" t="str">
        <x:v>The 1996 ECI report contains differing summary and detailed vote totals.</x:v>
      </x:c>
      <x:c r="H25" s="50" t="str">
        <x:v>Candidate-level detail permits a transparent denominator, while turnout comparability remains uncertain.</x:v>
      </x:c>
      <x:c r="I25" s="50" t="str">
        <x:v>Kerala party organizers and ministers in coalition governments; party work, legislative scrutiny and cabinet policy.</x:v>
      </x:c>
      <x:c r="J25" s="50" t="str">
        <x:v>Both tables are official; their internal inconsistency must be retained.</x:v>
      </x:c>
      <x:c r="K25" s="50" t="str">
        <x:v>The workbook uses detailed candidate sums and omits disputed turnout rather than silently harmonizing them.</x:v>
      </x:c>
      <x:c r="L25" s="50" t="str">
        <x:v>Regional organizational base is relevant; identity-specific selection mechanisms remain unverified.</x:v>
      </x:c>
      <x:c r="M25" s="52" t="str">
        <x:v>Disputed/uncertain</x:v>
      </x:c>
      <x:c r="N25" s="50" t="str">
        <x:v>Primary record</x:v>
      </x:c>
      <x:c r="O25" s="51" t="str">
        <x:v>S11</x:v>
      </x:c>
    </x:row>
    <x:row r="26" ht="52.5" customHeight="1">
      <x:c r="A26" s="46" t="str">
        <x:v>C-P3-01</x:v>
      </x:c>
      <x:c r="B26" s="47" t="str">
        <x:v>P3</x:v>
      </x:c>
      <x:c r="C26" s="47" t="str">
        <x:v>1998–2015</x:v>
      </x:c>
      <x:c r="D26" s="47" t="str">
        <x:v>Era</x:v>
      </x:c>
      <x:c r="E26" s="47" t="str">
        <x:v>Party system</x:v>
      </x:c>
      <x:c r="F26" s="47" t="str">
        <x:v>Material finding</x:v>
      </x:c>
      <x:c r="G26" s="47" t="str">
        <x:v>As CPI(M) state secretary he operated across government and opposition phases; rivalry with V. S. Achuthanandan became public.</x:v>
      </x:c>
      <x:c r="H26" s="47" t="str">
        <x:v>Control of organization differed from the chief minister's governmental authority.</x:v>
      </x:c>
      <x:c r="I26" s="47" t="str">
        <x:v>CPI(M) state secretaries and Politburo contemporaries; collective committees, factional negotiation and party discipline.</x:v>
      </x:c>
      <x:c r="J26" s="47" t="str">
        <x:v>Public disputes led to national party disciplinary intervention in 2007.</x:v>
      </x:c>
      <x:c r="K26" s="47" t="str">
        <x:v>Do not equate state secretary with head of government or infer sole control over coalition decisions.</x:v>
      </x:c>
      <x:c r="L26" s="47" t="str">
        <x:v>Organizational seniority and regional networks are evidenced; gender causation is not presumed.</x:v>
      </x:c>
      <x:c r="M26" s="53" t="str">
        <x:v>Analysis</x:v>
      </x:c>
      <x:c r="N26" s="47" t="str">
        <x:v>Primary record</x:v>
      </x:c>
      <x:c r="O26" s="48" t="str">
        <x:v>S16; S54</x:v>
      </x:c>
    </x:row>
    <x:row r="27" ht="52.5" customHeight="1">
      <x:c r="A27" s="49" t="str">
        <x:v>C-P3-02</x:v>
      </x:c>
      <x:c r="B27" s="50" t="str">
        <x:v>P3</x:v>
      </x:c>
      <x:c r="C27" s="50" t="str">
        <x:v>1998–2015</x:v>
      </x:c>
      <x:c r="D27" s="50" t="str">
        <x:v>Era</x:v>
      </x:c>
      <x:c r="E27" s="50" t="str">
        <x:v>Constitutional and institutional environment</x:v>
      </x:c>
      <x:c r="F27" s="50" t="str">
        <x:v>Material finding</x:v>
      </x:c>
      <x:c r="G27" s="50" t="str">
        <x:v>Party discipline and judicial review affected different aspects of his authority.</x:v>
      </x:c>
      <x:c r="H27" s="50" t="str">
        <x:v>Politburo suspension concerned party conduct; SNC-Lavalin proceedings concerned a past ministerial decision.</x:v>
      </x:c>
      <x:c r="I27" s="50" t="str">
        <x:v>CPI(M) state secretaries and Politburo contemporaries; collective committees, factional negotiation and party discipline.</x:v>
      </x:c>
      <x:c r="J27" s="50" t="str">
        <x:v>The 2007 suspension and 2013 court discharge were different institutional processes.</x:v>
      </x:c>
      <x:c r="K27" s="50" t="str">
        <x:v>A party sanction is not a criminal judgment; a discharge addresses the case before the court.</x:v>
      </x:c>
      <x:c r="L27" s="50" t="str">
        <x:v>Organizational seniority and regional networks are evidenced; gender causation is not presumed.</x:v>
      </x:c>
      <x:c r="M27" s="54" t="str">
        <x:v>Analysis</x:v>
      </x:c>
      <x:c r="N27" s="50" t="str">
        <x:v>Primary record</x:v>
      </x:c>
      <x:c r="O27" s="51" t="str">
        <x:v>S54; S40</x:v>
      </x:c>
    </x:row>
    <x:row r="28" ht="52.5" customHeight="1">
      <x:c r="A28" s="46" t="str">
        <x:v>C-P3-03</x:v>
      </x:c>
      <x:c r="B28" s="47" t="str">
        <x:v>P3</x:v>
      </x:c>
      <x:c r="C28" s="47" t="str">
        <x:v>1998–2015</x:v>
      </x:c>
      <x:c r="D28" s="47" t="str">
        <x:v>Era</x:v>
      </x:c>
      <x:c r="E28" s="47" t="str">
        <x:v>Electoral environment</x:v>
      </x:c>
      <x:c r="F28" s="47" t="str">
        <x:v>Research limitation</x:v>
      </x:c>
      <x:c r="G28" s="47" t="str">
        <x:v>The verified personal election series has no contest between 1996 and 2016.</x:v>
      </x:c>
      <x:c r="H28" s="47" t="str">
        <x:v>His organizational influence during this interval cannot be expressed as personal election wins.</x:v>
      </x:c>
      <x:c r="I28" s="47" t="str">
        <x:v>CPI(M) state secretaries and Politburo contemporaries; collective committees, factional negotiation and party discipline.</x:v>
      </x:c>
      <x:c r="J28" s="47" t="str">
        <x:v>Party leadership is documented; no personal vote measure is assigned for the interval.</x:v>
      </x:c>
      <x:c r="K28" s="47" t="str">
        <x:v>Absence from this verified series is not a comprehensive audit of every possible nomination.</x:v>
      </x:c>
      <x:c r="L28" s="47" t="str">
        <x:v>Organizational seniority and regional networks are evidenced; gender causation is not presumed.</x:v>
      </x:c>
      <x:c r="M28" s="53" t="str">
        <x:v>Analysis</x:v>
      </x:c>
      <x:c r="N28" s="47" t="str">
        <x:v>Primary record</x:v>
      </x:c>
      <x:c r="O28" s="48" t="str">
        <x:v>S01; S02; S10; S11</x:v>
      </x:c>
    </x:row>
    <x:row r="29" ht="52.5" customHeight="1">
      <x:c r="A29" s="49" t="str">
        <x:v>C-P3-04</x:v>
      </x:c>
      <x:c r="B29" s="50" t="str">
        <x:v>P3</x:v>
      </x:c>
      <x:c r="C29" s="50" t="str">
        <x:v>1998–2015</x:v>
      </x:c>
      <x:c r="D29" s="50" t="str">
        <x:v>Era</x:v>
      </x:c>
      <x:c r="E29" s="50" t="str">
        <x:v>Economic regime</x:v>
      </x:c>
      <x:c r="F29" s="50" t="str">
        <x:v>Material finding</x:v>
      </x:c>
      <x:c r="G29" s="50" t="str">
        <x:v>CPI(M)'s programme opposed liberalization while party-led governments had to administer an existing mixed economy.</x:v>
      </x:c>
      <x:c r="H29" s="50" t="str">
        <x:v>An organizational leader faced tension between programmatic commitments and governing compromises.</x:v>
      </x:c>
      <x:c r="I29" s="50" t="str">
        <x:v>CPI(M) state secretaries and Politburo contemporaries; collective committees, factional negotiation and party discipline.</x:v>
      </x:c>
      <x:c r="J29" s="50" t="str">
        <x:v>The programme supplies the party's stated economic critique.</x:v>
      </x:c>
      <x:c r="K29" s="50" t="str">
        <x:v>Specific concessions or investments require decision-level evidence; doctrine alone is insufficient.</x:v>
      </x:c>
      <x:c r="L29" s="50" t="str">
        <x:v>Organizational seniority and regional networks are evidenced; gender causation is not presumed.</x:v>
      </x:c>
      <x:c r="M29" s="54" t="str">
        <x:v>Analysis</x:v>
      </x:c>
      <x:c r="N29" s="50" t="str">
        <x:v>Interested source only</x:v>
      </x:c>
      <x:c r="O29" s="51" t="str">
        <x:v>S17</x:v>
      </x:c>
    </x:row>
    <x:row r="30" ht="52.5" customHeight="1">
      <x:c r="A30" s="46" t="str">
        <x:v>C-P3-05</x:v>
      </x:c>
      <x:c r="B30" s="47" t="str">
        <x:v>P3</x:v>
      </x:c>
      <x:c r="C30" s="47" t="str">
        <x:v>1998–2015</x:v>
      </x:c>
      <x:c r="D30" s="47" t="str">
        <x:v>Era</x:v>
      </x:c>
      <x:c r="E30" s="47" t="str">
        <x:v>International system</x:v>
      </x:c>
      <x:c r="F30" s="47" t="str">
        <x:v>Material finding</x:v>
      </x:c>
      <x:c r="G30" s="47" t="str">
        <x:v>The updated party programme explicitly reconsidered the post-Soviet international setting.</x:v>
      </x:c>
      <x:c r="H30" s="47" t="str">
        <x:v>Ideological revision formed the background to national party leadership after 2002.</x:v>
      </x:c>
      <x:c r="I30" s="47" t="str">
        <x:v>CPI(M) state secretaries and Politburo contemporaries; collective committees, factional negotiation and party discipline.</x:v>
      </x:c>
      <x:c r="J30" s="47" t="str">
        <x:v>The party states its own interpretation of socialism's reversals.</x:v>
      </x:c>
      <x:c r="K30" s="47" t="str">
        <x:v>No independent foreign-policy initiative by Vijayan in this phase was established.</x:v>
      </x:c>
      <x:c r="L30" s="47" t="str">
        <x:v>Organizational seniority and regional networks are evidenced; gender causation is not presumed.</x:v>
      </x:c>
      <x:c r="M30" s="58" t="str">
        <x:v>Attributed position</x:v>
      </x:c>
      <x:c r="N30" s="47" t="str">
        <x:v>Interested source only</x:v>
      </x:c>
      <x:c r="O30" s="48" t="str">
        <x:v>S17; S02</x:v>
      </x:c>
    </x:row>
    <x:row r="31" ht="52.5" customHeight="1">
      <x:c r="A31" s="49" t="str">
        <x:v>C-P3-06</x:v>
      </x:c>
      <x:c r="B31" s="50" t="str">
        <x:v>P3</x:v>
      </x:c>
      <x:c r="C31" s="50" t="str">
        <x:v>1998–2015</x:v>
      </x:c>
      <x:c r="D31" s="50" t="str">
        <x:v>Era</x:v>
      </x:c>
      <x:c r="E31" s="50" t="str">
        <x:v>Media and campaign environment</x:v>
      </x:c>
      <x:c r="F31" s="50" t="str">
        <x:v>Material finding</x:v>
      </x:c>
      <x:c r="G31" s="50" t="str">
        <x:v>The 2007 disciplinary action followed a publicly conducted dispute between senior leaders.</x:v>
      </x:c>
      <x:c r="H31" s="50" t="str">
        <x:v>Public criticism exposed internal disagreement beyond party committees.</x:v>
      </x:c>
      <x:c r="I31" s="50" t="str">
        <x:v>CPI(M) state secretaries and Politburo contemporaries; collective committees, factional negotiation and party discipline.</x:v>
      </x:c>
      <x:c r="J31" s="50" t="str">
        <x:v>Contemporaneous reporting records national leaders demanding discipline.</x:v>
      </x:c>
      <x:c r="K31" s="50" t="str">
        <x:v>This event shows a media-facing dispute, not a quantified account of media effects on elections.</x:v>
      </x:c>
      <x:c r="L31" s="50" t="str">
        <x:v>Organizational seniority and regional networks are evidenced; gender causation is not presumed.</x:v>
      </x:c>
      <x:c r="M31" s="50" t="str">
        <x:v>Recorded fact</x:v>
      </x:c>
      <x:c r="N31" s="50" t="str">
        <x:v>Single credible source</x:v>
      </x:c>
      <x:c r="O31" s="51" t="str">
        <x:v>S54</x:v>
      </x:c>
    </x:row>
    <x:row r="32" ht="52.5" customHeight="1">
      <x:c r="A32" s="46" t="str">
        <x:v>C-P3-07</x:v>
      </x:c>
      <x:c r="B32" s="47" t="str">
        <x:v>P3</x:v>
      </x:c>
      <x:c r="C32" s="47" t="str">
        <x:v>1998–2015</x:v>
      </x:c>
      <x:c r="D32" s="47" t="str">
        <x:v>Era</x:v>
      </x:c>
      <x:c r="E32" s="47" t="str">
        <x:v>Political organization</x:v>
      </x:c>
      <x:c r="F32" s="47" t="str">
        <x:v>Material finding</x:v>
      </x:c>
      <x:c r="G32" s="47" t="str">
        <x:v>He served as state secretary from 1998 to 2015 and joined the Politburo in 2002, with a 2007 interruption.</x:v>
      </x:c>
      <x:c r="H32" s="47" t="str">
        <x:v>Long organizational tenure supported statewide influence but remained subject to higher party bodies.</x:v>
      </x:c>
      <x:c r="I32" s="47" t="str">
        <x:v>CPI(M) state secretaries and Politburo contemporaries; collective committees, factional negotiation and party discipline.</x:v>
      </x:c>
      <x:c r="J32" s="47" t="str">
        <x:v>Party accounts emphasize service; reporting also describes rivalry.</x:v>
      </x:c>
      <x:c r="K32" s="47" t="str">
        <x:v>Exact reinstatement date is missing; do not portray Politburo membership as uninterrupted.</x:v>
      </x:c>
      <x:c r="L32" s="47" t="str">
        <x:v>Organizational seniority and regional networks are evidenced; gender causation is not presumed.</x:v>
      </x:c>
      <x:c r="M32" s="53" t="str">
        <x:v>Analysis</x:v>
      </x:c>
      <x:c r="N32" s="47" t="str">
        <x:v>Primary record</x:v>
      </x:c>
      <x:c r="O32" s="48" t="str">
        <x:v>S02; S16; S54</x:v>
      </x:c>
    </x:row>
    <x:row r="33" ht="52.5" customHeight="1">
      <x:c r="A33" s="49" t="str">
        <x:v>C-P3-08</x:v>
      </x:c>
      <x:c r="B33" s="50" t="str">
        <x:v>P3</x:v>
      </x:c>
      <x:c r="C33" s="50" t="str">
        <x:v>1998–2015</x:v>
      </x:c>
      <x:c r="D33" s="50" t="str">
        <x:v>Era</x:v>
      </x:c>
      <x:c r="E33" s="50" t="str">
        <x:v>Social environment</x:v>
      </x:c>
      <x:c r="F33" s="50" t="str">
        <x:v>Material finding</x:v>
      </x:c>
      <x:c r="G33" s="50" t="str">
        <x:v>The 2012 murder of T. P. Chandrasekharan brought intra-Left conflict and political violence into scrutiny of party leadership.</x:v>
      </x:c>
      <x:c r="H33" s="50" t="str">
        <x:v>Violence against a political rival raised questions of party accountability; individual criminal responsibility remained a separate legal question.</x:v>
      </x:c>
      <x:c r="I33" s="50" t="str">
        <x:v>CPI(M) state secretaries and Politburo contemporaries; collective committees, factional negotiation and party discipline.</x:v>
      </x:c>
      <x:c r="J33" s="50" t="str">
        <x:v>Victim-family advocates sought wider accountability; subsequent reporting records convictions of particular defendants.</x:v>
      </x:c>
      <x:c r="K33" s="50" t="str">
        <x:v>Do not infer a leader’s personal involvement from party office, regional violence or convictions of other members.</x:v>
      </x:c>
      <x:c r="L33" s="50" t="str">
        <x:v>Organizational seniority and regional networks are evidenced; gender causation is not presumed.</x:v>
      </x:c>
      <x:c r="M33" s="54" t="str">
        <x:v>Analysis</x:v>
      </x:c>
      <x:c r="N33" s="50" t="str">
        <x:v>Multiple independent sources</x:v>
      </x:c>
      <x:c r="O33" s="51" t="str">
        <x:v>S60; S61; S16</x:v>
      </x:c>
    </x:row>
    <x:row r="34" ht="52.5" customHeight="1">
      <x:c r="A34" s="46" t="str">
        <x:v>C-P3-09</x:v>
      </x:c>
      <x:c r="B34" s="47" t="str">
        <x:v>P3</x:v>
      </x:c>
      <x:c r="C34" s="47" t="str">
        <x:v>1998–2015</x:v>
      </x:c>
      <x:c r="D34" s="47" t="str">
        <x:v>Era</x:v>
      </x:c>
      <x:c r="E34" s="47" t="str">
        <x:v>State structure and political geography</x:v>
      </x:c>
      <x:c r="F34" s="47" t="str">
        <x:v>Material finding</x:v>
      </x:c>
      <x:c r="G34" s="47" t="str">
        <x:v>The state secretary role widened his scope from northern Kerala constituencies to the whole Kerala party.</x:v>
      </x:c>
      <x:c r="H34" s="47" t="str">
        <x:v>State organization and national Politburo membership connected regional and all-India politics.</x:v>
      </x:c>
      <x:c r="I34" s="47" t="str">
        <x:v>CPI(M) state secretaries and Politburo contemporaries; collective committees, factional negotiation and party discipline.</x:v>
      </x:c>
      <x:c r="J34" s="47" t="str">
        <x:v>Formal party offices establish jurisdiction, not the magnitude of personal influence.</x:v>
      </x:c>
      <x:c r="K34" s="47" t="str">
        <x:v>A national party post is not an elected national mandate or Union executive office.</x:v>
      </x:c>
      <x:c r="L34" s="47" t="str">
        <x:v>Organizational seniority and regional networks are evidenced; gender causation is not presumed.</x:v>
      </x:c>
      <x:c r="M34" s="47" t="str">
        <x:v>Recorded fact</x:v>
      </x:c>
      <x:c r="N34" s="47" t="str">
        <x:v>Interested source only</x:v>
      </x:c>
      <x:c r="O34" s="48" t="str">
        <x:v>S02</x:v>
      </x:c>
    </x:row>
    <x:row r="35" ht="52.5" customHeight="1">
      <x:c r="A35" s="49" t="str">
        <x:v>C-P3-10</x:v>
      </x:c>
      <x:c r="B35" s="50" t="str">
        <x:v>P3</x:v>
      </x:c>
      <x:c r="C35" s="50" t="str">
        <x:v>1998–2015</x:v>
      </x:c>
      <x:c r="D35" s="50" t="str">
        <x:v>Era</x:v>
      </x:c>
      <x:c r="E35" s="50" t="str">
        <x:v>Evidence environment</x:v>
      </x:c>
      <x:c r="F35" s="50" t="str">
        <x:v>Research limitation</x:v>
      </x:c>
      <x:c r="G35" s="50" t="str">
        <x:v>Party biographies and retrospective profiles dominate the organizational record; disciplinary episodes have contemporaneous reporting.</x:v>
      </x:c>
      <x:c r="H35" s="50" t="str">
        <x:v>Evidence is uneven between formal appointments and internal bargaining.</x:v>
      </x:c>
      <x:c r="I35" s="50" t="str">
        <x:v>CPI(M) state secretaries and Politburo contemporaries; collective committees, factional negotiation and party discipline.</x:v>
      </x:c>
      <x:c r="J35" s="50" t="str">
        <x:v>Public party statements disclose outcomes more readily than deliberation.</x:v>
      </x:c>
      <x:c r="K35" s="50" t="str">
        <x:v>Interested sources must remain labelled, and undisclosed motives cannot be supplied by inference.</x:v>
      </x:c>
      <x:c r="L35" s="50" t="str">
        <x:v>Organizational seniority and regional networks are evidenced; gender causation is not presumed.</x:v>
      </x:c>
      <x:c r="M35" s="54" t="str">
        <x:v>Analysis</x:v>
      </x:c>
      <x:c r="N35" s="50" t="str">
        <x:v>Unresolved</x:v>
      </x:c>
      <x:c r="O35" s="51" t="str">
        <x:v>S02; S16; S54</x:v>
      </x:c>
    </x:row>
    <x:row r="36" ht="39" customHeight="1">
      <x:c r="A36" s="46" t="str">
        <x:v>C-P4-01</x:v>
      </x:c>
      <x:c r="B36" s="47" t="str">
        <x:v>P4</x:v>
      </x:c>
      <x:c r="C36" s="47" t="str">
        <x:v>2016–2021</x:v>
      </x:c>
      <x:c r="D36" s="47" t="str">
        <x:v>Era</x:v>
      </x:c>
      <x:c r="E36" s="47" t="str">
        <x:v>Party system</x:v>
      </x:c>
      <x:c r="F36" s="47" t="str">
        <x:v>Material finding</x:v>
      </x:c>
      <x:c r="G36" s="47" t="str">
        <x:v>The LDF formed the state government in 2016; Vijayan became chief minister.</x:v>
      </x:c>
      <x:c r="H36" s="47" t="str">
        <x:v>Coalition majority supplied executive authority, with Congress-led opposition scrutiny.</x:v>
      </x:c>
      <x:c r="I36" s="47" t="str">
        <x:v>Kerala cabinet and opposition leaders in the same crises; public provision, local delivery and legislative/court scrutiny.</x:v>
      </x:c>
      <x:c r="J36" s="47" t="str">
        <x:v>Contemporary reporting records a government transition.</x:v>
      </x:c>
      <x:c r="K36" s="47" t="str">
        <x:v>CPI(M), LDF and the personal candidate are different units of analysis.</x:v>
      </x:c>
      <x:c r="L36" s="47" t="str">
        <x:v>Gender equality, religious practice and class-based welfare intersect in specific policies; see gender records.</x:v>
      </x:c>
      <x:c r="M36" s="47" t="str">
        <x:v>Recorded fact</x:v>
      </x:c>
      <x:c r="N36" s="47" t="str">
        <x:v>Primary record</x:v>
      </x:c>
      <x:c r="O36" s="48" t="str">
        <x:v>S55; S12</x:v>
      </x:c>
    </x:row>
    <x:row r="37" ht="39" customHeight="1">
      <x:c r="A37" s="49" t="str">
        <x:v>C-P4-02</x:v>
      </x:c>
      <x:c r="B37" s="50" t="str">
        <x:v>P4</x:v>
      </x:c>
      <x:c r="C37" s="50" t="str">
        <x:v>2016–2021</x:v>
      </x:c>
      <x:c r="D37" s="50" t="str">
        <x:v>Era</x:v>
      </x:c>
      <x:c r="E37" s="50" t="str">
        <x:v>Constitutional and institutional environment</x:v>
      </x:c>
      <x:c r="F37" s="50" t="str">
        <x:v>Material finding</x:v>
      </x:c>
      <x:c r="G37" s="50" t="str">
        <x:v>Sabarimala and Sprinklr placed executive decisions under judicial scrutiny.</x:v>
      </x:c>
      <x:c r="H37" s="50" t="str">
        <x:v>The state implemented or responded to court rulings while opponents disputed choices.</x:v>
      </x:c>
      <x:c r="I37" s="50" t="str">
        <x:v>Kerala cabinet and opposition leaders in the same crises; public provision, local delivery and legislative/court scrutiny.</x:v>
      </x:c>
      <x:c r="J37" s="50" t="str">
        <x:v>Rights claims, religious objections and privacy concerns entered separate forums.</x:v>
      </x:c>
      <x:c r="K37" s="50" t="str">
        <x:v>Historical interim orders should not be represented as final current legal settlements.</x:v>
      </x:c>
      <x:c r="L37" s="50" t="str">
        <x:v>Gender equality, religious practice and class-based welfare intersect in specific policies; see gender records.</x:v>
      </x:c>
      <x:c r="M37" s="54" t="str">
        <x:v>Analysis</x:v>
      </x:c>
      <x:c r="N37" s="50" t="str">
        <x:v>Primary record</x:v>
      </x:c>
      <x:c r="O37" s="51" t="str">
        <x:v>S46; S48; S49</x:v>
      </x:c>
    </x:row>
    <x:row r="38" ht="39" customHeight="1">
      <x:c r="A38" s="46" t="str">
        <x:v>C-P4-03</x:v>
      </x:c>
      <x:c r="B38" s="47" t="str">
        <x:v>P4</x:v>
      </x:c>
      <x:c r="C38" s="47" t="str">
        <x:v>2016–2021</x:v>
      </x:c>
      <x:c r="D38" s="47" t="str">
        <x:v>Era</x:v>
      </x:c>
      <x:c r="E38" s="47" t="str">
        <x:v>Electoral environment</x:v>
      </x:c>
      <x:c r="F38" s="47" t="str">
        <x:v>Material finding</x:v>
      </x:c>
      <x:c r="G38" s="47" t="str">
        <x:v>Dharmadam in 2016 used electronic/postal counting and recorded NOTA.</x:v>
      </x:c>
      <x:c r="H38" s="47" t="str">
        <x:v>The vote-share denominator includes NOTA but excludes rejected ballots in this workbook.</x:v>
      </x:c>
      <x:c r="I38" s="47" t="str">
        <x:v>Kerala cabinet and opposition leaders in the same crises; public provision, local delivery and legislative/court scrutiny.</x:v>
      </x:c>
      <x:c r="J38" s="47" t="str">
        <x:v>Form 20 permits reconstruction of candidate totals.</x:v>
      </x:c>
      <x:c r="K38" s="47" t="str">
        <x:v>Historical shares before NOTA and shares after its introduction have different denominator conventions.</x:v>
      </x:c>
      <x:c r="L38" s="47" t="str">
        <x:v>Gender equality, religious practice and class-based welfare intersect in specific policies; see gender records.</x:v>
      </x:c>
      <x:c r="M38" s="47" t="str">
        <x:v>Recorded fact</x:v>
      </x:c>
      <x:c r="N38" s="47" t="str">
        <x:v>Primary record</x:v>
      </x:c>
      <x:c r="O38" s="48" t="str">
        <x:v>S12</x:v>
      </x:c>
    </x:row>
    <x:row r="39" ht="39" customHeight="1">
      <x:c r="A39" s="49" t="str">
        <x:v>C-P4-04</x:v>
      </x:c>
      <x:c r="B39" s="50" t="str">
        <x:v>P4</x:v>
      </x:c>
      <x:c r="C39" s="50" t="str">
        <x:v>2016–2021</x:v>
      </x:c>
      <x:c r="D39" s="50" t="str">
        <x:v>Era</x:v>
      </x:c>
      <x:c r="E39" s="50" t="str">
        <x:v>Economic regime</x:v>
      </x:c>
      <x:c r="F39" s="50" t="str">
        <x:v>Material finding</x:v>
      </x:c>
      <x:c r="G39" s="50" t="str">
        <x:v>The government expanded mission-based service delivery while using KIIFB for infrastructure finance.</x:v>
      </x:c>
      <x:c r="H39" s="50" t="str">
        <x:v>Welfare provision and capital spending operated within state fiscal and borrowing constraints.</x:v>
      </x:c>
      <x:c r="I39" s="50" t="str">
        <x:v>Kerala cabinet and opposition leaders in the same crises; public provision, local delivery and legislative/court scrutiny.</x:v>
      </x:c>
      <x:c r="J39" s="50" t="str">
        <x:v>The state defended its financing model; auditors disputed aspects of off-budget borrowing.</x:v>
      </x:c>
      <x:c r="K39" s="50" t="str">
        <x:v>Sanctioned investment is not completed infrastructure, and financing is not free of future repayment obligations.</x:v>
      </x:c>
      <x:c r="L39" s="50" t="str">
        <x:v>Gender equality, religious practice and class-based welfare intersect in specific policies; see gender records.</x:v>
      </x:c>
      <x:c r="M39" s="54" t="str">
        <x:v>Analysis</x:v>
      </x:c>
      <x:c r="N39" s="50" t="str">
        <x:v>Primary record</x:v>
      </x:c>
      <x:c r="O39" s="51" t="str">
        <x:v>S20; S23; S31; S30</x:v>
      </x:c>
    </x:row>
    <x:row r="40" ht="39" customHeight="1">
      <x:c r="A40" s="46" t="str">
        <x:v>C-P4-05</x:v>
      </x:c>
      <x:c r="B40" s="47" t="str">
        <x:v>P4</x:v>
      </x:c>
      <x:c r="C40" s="47" t="str">
        <x:v>2016–2021</x:v>
      </x:c>
      <x:c r="D40" s="47" t="str">
        <x:v>Era</x:v>
      </x:c>
      <x:c r="E40" s="47" t="str">
        <x:v>International system</x:v>
      </x:c>
      <x:c r="F40" s="47" t="str">
        <x:v>Material finding</x:v>
      </x:c>
      <x:c r="G40" s="47" t="str">
        <x:v>The 2018 recovery assessment involved UN partners; COVID-19 was a transnational crisis.</x:v>
      </x:c>
      <x:c r="H40" s="47" t="str">
        <x:v>International expertise and shocks affected state-level choices without giving the CM control over their origin.</x:v>
      </x:c>
      <x:c r="I40" s="47" t="str">
        <x:v>Kerala cabinet and opposition leaders in the same crises; public provision, local delivery and legislative/court scrutiny.</x:v>
      </x:c>
      <x:c r="J40" s="47" t="str">
        <x:v>The joint flood assessment stressed recovery needs; pandemic policy faced rapidly changing information.</x:v>
      </x:c>
      <x:c r="K40" s="47" t="str">
        <x:v>Judge crisis decisions using the knowledge then available, while retaining accountability for implementation.</x:v>
      </x:c>
      <x:c r="L40" s="47" t="str">
        <x:v>Gender equality, religious practice and class-based welfare intersect in specific policies; see gender records.</x:v>
      </x:c>
      <x:c r="M40" s="53" t="str">
        <x:v>Analysis</x:v>
      </x:c>
      <x:c r="N40" s="47" t="str">
        <x:v>Primary record</x:v>
      </x:c>
      <x:c r="O40" s="48" t="str">
        <x:v>S22; S48</x:v>
      </x:c>
    </x:row>
    <x:row r="41" ht="39" customHeight="1">
      <x:c r="A41" s="49" t="str">
        <x:v>C-P4-06</x:v>
      </x:c>
      <x:c r="B41" s="50" t="str">
        <x:v>P4</x:v>
      </x:c>
      <x:c r="C41" s="50" t="str">
        <x:v>2016–2021</x:v>
      </x:c>
      <x:c r="D41" s="50" t="str">
        <x:v>Era</x:v>
      </x:c>
      <x:c r="E41" s="50" t="str">
        <x:v>Media and campaign environment</x:v>
      </x:c>
      <x:c r="F41" s="50" t="str">
        <x:v>Material finding</x:v>
      </x:c>
      <x:c r="G41" s="50" t="str">
        <x:v>Press briefings and online reporting carried both crisis communication and allegations involving the CMO.</x:v>
      </x:c>
      <x:c r="H41" s="50" t="str">
        <x:v>Rapid public communication could inform residents and expose government claims to scrutiny.</x:v>
      </x:c>
      <x:c r="I41" s="50" t="str">
        <x:v>Kerala cabinet and opposition leaders in the same crises; public provision, local delivery and legislative/court scrutiny.</x:v>
      </x:c>
      <x:c r="J41" s="50" t="str">
        <x:v>The July 2020 gold-case report records Vijayan's public denials.</x:v>
      </x:c>
      <x:c r="K41" s="50" t="str">
        <x:v>Communication visibility is not evidence of administrative effectiveness or wrongdoing.</x:v>
      </x:c>
      <x:c r="L41" s="50" t="str">
        <x:v>Gender equality, religious practice and class-based welfare intersect in specific policies; see gender records.</x:v>
      </x:c>
      <x:c r="M41" s="54" t="str">
        <x:v>Analysis</x:v>
      </x:c>
      <x:c r="N41" s="50" t="str">
        <x:v>Primary record</x:v>
      </x:c>
      <x:c r="O41" s="51" t="str">
        <x:v>S52; S48</x:v>
      </x:c>
    </x:row>
    <x:row r="42" ht="39" customHeight="1">
      <x:c r="A42" s="46" t="str">
        <x:v>C-P4-07</x:v>
      </x:c>
      <x:c r="B42" s="47" t="str">
        <x:v>P4</x:v>
      </x:c>
      <x:c r="C42" s="47" t="str">
        <x:v>2016–2021</x:v>
      </x:c>
      <x:c r="D42" s="47" t="str">
        <x:v>Era</x:v>
      </x:c>
      <x:c r="E42" s="47" t="str">
        <x:v>Political organization</x:v>
      </x:c>
      <x:c r="F42" s="47" t="str">
        <x:v>Material finding</x:v>
      </x:c>
      <x:c r="G42" s="47" t="str">
        <x:v>Government, community bodies and women's mobilization intersected in the Women's Wall campaign.</x:v>
      </x:c>
      <x:c r="H42" s="47" t="str">
        <x:v>Public mobilization supplemented executive and legal action around equality.</x:v>
      </x:c>
      <x:c r="I42" s="47" t="str">
        <x:v>Kerala cabinet and opposition leaders in the same crises; public provision, local delivery and legislative/court scrutiny.</x:v>
      </x:c>
      <x:c r="J42" s="47" t="str">
        <x:v>Supporters framed the action as social reform; opposition challenged government sponsorship.</x:v>
      </x:c>
      <x:c r="K42" s="47" t="str">
        <x:v>Participation numbers and enduring institutional change require different evidence.</x:v>
      </x:c>
      <x:c r="L42" s="47" t="str">
        <x:v>Gender equality, religious practice and class-based welfare intersect in specific policies; see gender records.</x:v>
      </x:c>
      <x:c r="M42" s="53" t="str">
        <x:v>Analysis</x:v>
      </x:c>
      <x:c r="N42" s="47" t="str">
        <x:v>Primary record</x:v>
      </x:c>
      <x:c r="O42" s="48" t="str">
        <x:v>S46; S47</x:v>
      </x:c>
    </x:row>
    <x:row r="43" ht="39" customHeight="1">
      <x:c r="A43" s="49" t="str">
        <x:v>C-P4-08</x:v>
      </x:c>
      <x:c r="B43" s="50" t="str">
        <x:v>P4</x:v>
      </x:c>
      <x:c r="C43" s="50" t="str">
        <x:v>2016–2021</x:v>
      </x:c>
      <x:c r="D43" s="50" t="str">
        <x:v>Era</x:v>
      </x:c>
      <x:c r="E43" s="50" t="str">
        <x:v>Social environment</x:v>
      </x:c>
      <x:c r="F43" s="50" t="str">
        <x:v>Material finding</x:v>
      </x:c>
      <x:c r="G43" s="50" t="str">
        <x:v>Women's temple access brought equality claims into conflict with religious practice claims.</x:v>
      </x:c>
      <x:c r="H43" s="50" t="str">
        <x:v>The dispute shaped social alliances and public mobilization.</x:v>
      </x:c>
      <x:c r="I43" s="50" t="str">
        <x:v>Kerala cabinet and opposition leaders in the same crises; public provision, local delivery and legislative/court scrutiny.</x:v>
      </x:c>
      <x:c r="J43" s="50" t="str">
        <x:v>Both legal equality and customary practice were invoked by participants.</x:v>
      </x:c>
      <x:c r="K43" s="50" t="str">
        <x:v>Do not generalize any party position to all women or all religious communities.</x:v>
      </x:c>
      <x:c r="L43" s="50" t="str">
        <x:v>Gender equality, religious practice and class-based welfare intersect in specific policies; see gender records.</x:v>
      </x:c>
      <x:c r="M43" s="54" t="str">
        <x:v>Analysis</x:v>
      </x:c>
      <x:c r="N43" s="50" t="str">
        <x:v>Primary record</x:v>
      </x:c>
      <x:c r="O43" s="51" t="str">
        <x:v>S46; S47</x:v>
      </x:c>
    </x:row>
    <x:row r="44" ht="39" customHeight="1">
      <x:c r="A44" s="46" t="str">
        <x:v>C-P4-09</x:v>
      </x:c>
      <x:c r="B44" s="47" t="str">
        <x:v>P4</x:v>
      </x:c>
      <x:c r="C44" s="47" t="str">
        <x:v>2016–2021</x:v>
      </x:c>
      <x:c r="D44" s="47" t="str">
        <x:v>Era</x:v>
      </x:c>
      <x:c r="E44" s="47" t="str">
        <x:v>State structure and political geography</x:v>
      </x:c>
      <x:c r="F44" s="47" t="str">
        <x:v>Material finding</x:v>
      </x:c>
      <x:c r="G44" s="47" t="str">
        <x:v>Aardram used local primary-care institutions; flood recovery operated across affected districts.</x:v>
      </x:c>
      <x:c r="H44" s="47" t="str">
        <x:v>State direction depended on local bodies, health staff and intergovernmental coordination.</x:v>
      </x:c>
      <x:c r="I44" s="47" t="str">
        <x:v>Kerala cabinet and opposition leaders in the same crises; public provision, local delivery and legislative/court scrutiny.</x:v>
      </x:c>
      <x:c r="J44" s="47" t="str">
        <x:v>Programme design and the joint needs assessment identify institutional roles.</x:v>
      </x:c>
      <x:c r="K44" s="47" t="str">
        <x:v>Statewide leadership should not erase local delivery or uneven geographic exposure.</x:v>
      </x:c>
      <x:c r="L44" s="47" t="str">
        <x:v>Gender equality, religious practice and class-based welfare intersect in specific policies; see gender records.</x:v>
      </x:c>
      <x:c r="M44" s="53" t="str">
        <x:v>Analysis</x:v>
      </x:c>
      <x:c r="N44" s="47" t="str">
        <x:v>Primary record</x:v>
      </x:c>
      <x:c r="O44" s="48" t="str">
        <x:v>S20; S22</x:v>
      </x:c>
    </x:row>
    <x:row r="45" ht="39" customHeight="1">
      <x:c r="A45" s="49" t="str">
        <x:v>C-P4-10</x:v>
      </x:c>
      <x:c r="B45" s="50" t="str">
        <x:v>P4</x:v>
      </x:c>
      <x:c r="C45" s="50" t="str">
        <x:v>2016–2021</x:v>
      </x:c>
      <x:c r="D45" s="50" t="str">
        <x:v>Era</x:v>
      </x:c>
      <x:c r="E45" s="50" t="str">
        <x:v>Evidence environment</x:v>
      </x:c>
      <x:c r="F45" s="50" t="str">
        <x:v>Material finding</x:v>
      </x:c>
      <x:c r="G45" s="50" t="str">
        <x:v>Form 20, programme pages, court reporting and digital news provide different grades of evidence.</x:v>
      </x:c>
      <x:c r="H45" s="50" t="str">
        <x:v>Formal counts can verify outputs; press accounts of court proceedings require procedural care.</x:v>
      </x:c>
      <x:c r="I45" s="50" t="str">
        <x:v>Kerala cabinet and opposition leaders in the same crises; public provision, local delivery and legislative/court scrutiny.</x:v>
      </x:c>
      <x:c r="J45" s="50" t="str">
        <x:v>Much public debate was documented in real time.</x:v>
      </x:c>
      <x:c r="K45" s="50" t="str">
        <x:v>Digital abundance does not supply controlled impact evidence or a complete court docket.</x:v>
      </x:c>
      <x:c r="L45" s="50" t="str">
        <x:v>Gender equality, religious practice and class-based welfare intersect in specific policies; see gender records.</x:v>
      </x:c>
      <x:c r="M45" s="54" t="str">
        <x:v>Analysis</x:v>
      </x:c>
      <x:c r="N45" s="50" t="str">
        <x:v>Primary record</x:v>
      </x:c>
      <x:c r="O45" s="51" t="str">
        <x:v>S12; S20; S48</x:v>
      </x:c>
    </x:row>
    <x:row r="46" ht="39" customHeight="1">
      <x:c r="A46" s="46" t="str">
        <x:v>C-P5-01</x:v>
      </x:c>
      <x:c r="B46" s="47" t="str">
        <x:v>P5</x:v>
      </x:c>
      <x:c r="C46" s="47" t="str">
        <x:v>2021–May 2026</x:v>
      </x:c>
      <x:c r="D46" s="47" t="str">
        <x:v>Era</x:v>
      </x:c>
      <x:c r="E46" s="47" t="str">
        <x:v>Party system</x:v>
      </x:c>
      <x:c r="F46" s="47" t="str">
        <x:v>Material finding</x:v>
      </x:c>
      <x:c r="G46" s="47" t="str">
        <x:v>The LDF's 2021 return was followed by a severe 2026 Assembly reversal.</x:v>
      </x:c>
      <x:c r="H46" s="47" t="str">
        <x:v>Renewed executive authority did not ensure continuing coalition support.</x:v>
      </x:c>
      <x:c r="I46" s="47" t="str">
        <x:v>Contemporary Kerala ministers and opposition, and predecessor projects; oversight, policy revision and coalition bargaining.</x:v>
      </x:c>
      <x:c r="J46" s="47" t="str">
        <x:v>Post-election reporting describes LDF seats falling from 99 to 35.</x:v>
      </x:c>
      <x:c r="K46" s="47" t="str">
        <x:v>Election results establish changed support, not a single cause such as one scandal or policy.</x:v>
      </x:c>
      <x:c r="L46" s="47" t="str">
        <x:v>Cabinet gender allocation and family ties became public issues; motives require separate evidence.</x:v>
      </x:c>
      <x:c r="M46" s="47" t="str">
        <x:v>Recorded fact</x:v>
      </x:c>
      <x:c r="N46" s="47" t="str">
        <x:v>Multiple independent sources</x:v>
      </x:c>
      <x:c r="O46" s="48" t="str">
        <x:v>S37; S13; S14</x:v>
      </x:c>
    </x:row>
    <x:row r="47" ht="39" customHeight="1">
      <x:c r="A47" s="49" t="str">
        <x:v>C-P5-02</x:v>
      </x:c>
      <x:c r="B47" s="50" t="str">
        <x:v>P5</x:v>
      </x:c>
      <x:c r="C47" s="50" t="str">
        <x:v>2021–May 2026</x:v>
      </x:c>
      <x:c r="D47" s="50" t="str">
        <x:v>Era</x:v>
      </x:c>
      <x:c r="E47" s="50" t="str">
        <x:v>Constitutional and institutional environment</x:v>
      </x:c>
      <x:c r="F47" s="50" t="str">
        <x:v>Material finding</x:v>
      </x:c>
      <x:c r="G47" s="50" t="str">
        <x:v>Borrowing disputes, audit scrutiny and Union approval affected development choices.</x:v>
      </x:c>
      <x:c r="H47" s="50" t="str">
        <x:v>The government could propose projects and contest restrictions but could not unilaterally resolve every federal requirement.</x:v>
      </x:c>
      <x:c r="I47" s="50" t="str">
        <x:v>Contemporary Kerala ministers and opposition, and predecessor projects; oversight, policy revision and coalition bargaining.</x:v>
      </x:c>
      <x:c r="J47" s="50" t="str">
        <x:v>State ministers defended fiscal choices; CAG maintained a different classification.</x:v>
      </x:c>
      <x:c r="K47" s="50" t="str">
        <x:v>Political complaints, audit findings and court judgments have different authority and scope.</x:v>
      </x:c>
      <x:c r="L47" s="50" t="str">
        <x:v>Cabinet gender allocation and family ties became public issues; motives require separate evidence.</x:v>
      </x:c>
      <x:c r="M47" s="54" t="str">
        <x:v>Analysis</x:v>
      </x:c>
      <x:c r="N47" s="50" t="str">
        <x:v>Primary record</x:v>
      </x:c>
      <x:c r="O47" s="51" t="str">
        <x:v>S29; S35; S57</x:v>
      </x:c>
    </x:row>
    <x:row r="48" ht="39" customHeight="1">
      <x:c r="A48" s="46" t="str">
        <x:v>C-P5-03</x:v>
      </x:c>
      <x:c r="B48" s="47" t="str">
        <x:v>P5</x:v>
      </x:c>
      <x:c r="C48" s="47" t="str">
        <x:v>2021–May 2026</x:v>
      </x:c>
      <x:c r="D48" s="47" t="str">
        <x:v>Era</x:v>
      </x:c>
      <x:c r="E48" s="47" t="str">
        <x:v>Electoral environment</x:v>
      </x:c>
      <x:c r="F48" s="47" t="str">
        <x:v>Material finding</x:v>
      </x:c>
      <x:c r="G48" s="47" t="str">
        <x:v>Vijayan won Dharmadam in both 2021 and 2026, with a lower share and margin in 2026.</x:v>
      </x:c>
      <x:c r="H48" s="47" t="str">
        <x:v>Constituency survival coexisted with the coalition's loss of government.</x:v>
      </x:c>
      <x:c r="I48" s="47" t="str">
        <x:v>Contemporary Kerala ministers and opposition, and predecessor projects; oversight, policy revision and coalition bargaining.</x:v>
      </x:c>
      <x:c r="J48" s="47" t="str">
        <x:v>ECI records establish both victories; the political result changed his role.</x:v>
      </x:c>
      <x:c r="K48" s="47" t="str">
        <x:v>A falling margin measures the local contest, not all Kerala voters' views of him.</x:v>
      </x:c>
      <x:c r="L48" s="47" t="str">
        <x:v>Cabinet gender allocation and family ties became public issues; motives require separate evidence.</x:v>
      </x:c>
      <x:c r="M48" s="47" t="str">
        <x:v>Recorded fact</x:v>
      </x:c>
      <x:c r="N48" s="47" t="str">
        <x:v>Primary record</x:v>
      </x:c>
      <x:c r="O48" s="48" t="str">
        <x:v>S13; S14; S03</x:v>
      </x:c>
    </x:row>
    <x:row r="49" ht="39" customHeight="1">
      <x:c r="A49" s="49" t="str">
        <x:v>C-P5-04</x:v>
      </x:c>
      <x:c r="B49" s="50" t="str">
        <x:v>P5</x:v>
      </x:c>
      <x:c r="C49" s="50" t="str">
        <x:v>2021–May 2026</x:v>
      </x:c>
      <x:c r="D49" s="50" t="str">
        <x:v>Era</x:v>
      </x:c>
      <x:c r="E49" s="50" t="str">
        <x:v>Economic regime</x:v>
      </x:c>
      <x:c r="F49" s="50" t="str">
        <x:v>Material finding</x:v>
      </x:c>
      <x:c r="G49" s="50" t="str">
        <x:v>Infrastructure finance, targeted welfare and digital connectivity were prominent alongside fiscal pressure.</x:v>
      </x:c>
      <x:c r="H49" s="50" t="str">
        <x:v>Borrowing can accelerate capital works while shifting repayment costs forward.</x:v>
      </x:c>
      <x:c r="I49" s="50" t="str">
        <x:v>Contemporary Kerala ministers and opposition, and predecessor projects; oversight, policy revision and coalition bargaining.</x:v>
      </x:c>
      <x:c r="J49" s="50" t="str">
        <x:v>Government statements stressed development; audited accounts documented deficits and liabilities.</x:v>
      </x:c>
      <x:c r="K49" s="50" t="str">
        <x:v>Output counts and audited fiscal ratios should not be turned into a single success or failure score.</x:v>
      </x:c>
      <x:c r="L49" s="50" t="str">
        <x:v>Cabinet gender allocation and family ties became public issues; motives require separate evidence.</x:v>
      </x:c>
      <x:c r="M49" s="54" t="str">
        <x:v>Analysis</x:v>
      </x:c>
      <x:c r="N49" s="50" t="str">
        <x:v>Primary record</x:v>
      </x:c>
      <x:c r="O49" s="51" t="str">
        <x:v>S29; S25; S32</x:v>
      </x:c>
    </x:row>
    <x:row r="50" ht="39" customHeight="1">
      <x:c r="A50" s="46" t="str">
        <x:v>C-P5-05</x:v>
      </x:c>
      <x:c r="B50" s="47" t="str">
        <x:v>P5</x:v>
      </x:c>
      <x:c r="C50" s="47" t="str">
        <x:v>2021–May 2026</x:v>
      </x:c>
      <x:c r="D50" s="47" t="str">
        <x:v>Era</x:v>
      </x:c>
      <x:c r="E50" s="47" t="str">
        <x:v>International system</x:v>
      </x:c>
      <x:c r="F50" s="47" t="str">
        <x:v>Material finding</x:v>
      </x:c>
      <x:c r="G50" s="47" t="str">
        <x:v>Vizhinjam's opening linked a state project to international shipping, while climate hazards affected Wayanad.</x:v>
      </x:c>
      <x:c r="H50" s="47" t="str">
        <x:v>External trade and environmental exposure created opportunities and risks beyond an individual leader's control.</x:v>
      </x:c>
      <x:c r="I50" s="47" t="str">
        <x:v>Contemporary Kerala ministers and opposition, and predecessor projects; oversight, policy revision and coalition bargaining.</x:v>
      </x:c>
      <x:c r="J50" s="47" t="str">
        <x:v>Government reporting celebrated operations; disaster reporting emphasized wider risk factors.</x:v>
      </x:c>
      <x:c r="K50" s="47" t="str">
        <x:v>Port throughput is not a net welfare estimate, and disaster occurrence alone does not establish negligence.</x:v>
      </x:c>
      <x:c r="L50" s="47" t="str">
        <x:v>Cabinet gender allocation and family ties became public issues; motives require separate evidence.</x:v>
      </x:c>
      <x:c r="M50" s="53" t="str">
        <x:v>Analysis</x:v>
      </x:c>
      <x:c r="N50" s="47" t="str">
        <x:v>Primary record</x:v>
      </x:c>
      <x:c r="O50" s="48" t="str">
        <x:v>S26; S56</x:v>
      </x:c>
    </x:row>
    <x:row r="51" ht="39" customHeight="1">
      <x:c r="A51" s="49" t="str">
        <x:v>C-P5-06</x:v>
      </x:c>
      <x:c r="B51" s="50" t="str">
        <x:v>P5</x:v>
      </x:c>
      <x:c r="C51" s="50" t="str">
        <x:v>2021–May 2026</x:v>
      </x:c>
      <x:c r="D51" s="50" t="str">
        <x:v>Era</x:v>
      </x:c>
      <x:c r="E51" s="50" t="str">
        <x:v>Media and campaign environment</x:v>
      </x:c>
      <x:c r="F51" s="50" t="str">
        <x:v>Material finding</x:v>
      </x:c>
      <x:c r="G51" s="50" t="str">
        <x:v>The government issued a ten-year report card shortly before the 2026 election.</x:v>
      </x:c>
      <x:c r="H51" s="50" t="str">
        <x:v>Campaign presentation compressed completed, ongoing and proposed activity into headline claims.</x:v>
      </x:c>
      <x:c r="I51" s="50" t="str">
        <x:v>Contemporary Kerala ministers and opposition, and predecessor projects; oversight, policy revision and coalition bargaining.</x:v>
      </x:c>
      <x:c r="J51" s="50" t="str">
        <x:v>Vijayan claimed high promise fulfilment; the source included items nearing completion.</x:v>
      </x:c>
      <x:c r="K51" s="50" t="str">
        <x:v>Use independently defined outputs instead of treating campaign completion percentages as audited outcomes.</x:v>
      </x:c>
      <x:c r="L51" s="50" t="str">
        <x:v>Cabinet gender allocation and family ties became public issues; motives require separate evidence.</x:v>
      </x:c>
      <x:c r="M51" s="58" t="str">
        <x:v>Attributed position</x:v>
      </x:c>
      <x:c r="N51" s="50" t="str">
        <x:v>Interested source only</x:v>
      </x:c>
      <x:c r="O51" s="51" t="str">
        <x:v>S24</x:v>
      </x:c>
    </x:row>
    <x:row r="52" ht="39" customHeight="1">
      <x:c r="A52" s="46" t="str">
        <x:v>C-P5-07</x:v>
      </x:c>
      <x:c r="B52" s="47" t="str">
        <x:v>P5</x:v>
      </x:c>
      <x:c r="C52" s="47" t="str">
        <x:v>2021–May 2026</x:v>
      </x:c>
      <x:c r="D52" s="47" t="str">
        <x:v>Era</x:v>
      </x:c>
      <x:c r="E52" s="47" t="str">
        <x:v>Political organization</x:v>
      </x:c>
      <x:c r="F52" s="47" t="str">
        <x:v>Material finding</x:v>
      </x:c>
      <x:c r="G52" s="47" t="str">
        <x:v>Cabinet renewal in 2021 replaced the prior ministers while retaining Vijayan.</x:v>
      </x:c>
      <x:c r="H52" s="47" t="str">
        <x:v>The decision combined continuity at the top with a new ministerial cohort.</x:v>
      </x:c>
      <x:c r="I52" s="47" t="str">
        <x:v>Contemporary Kerala ministers and opposition, and predecessor projects; oversight, policy revision and coalition bargaining.</x:v>
      </x:c>
      <x:c r="J52" s="47" t="str">
        <x:v>He defended the change as leadership development; Shailaja's exclusion attracted criticism.</x:v>
      </x:c>
      <x:c r="K52" s="47" t="str">
        <x:v>The rule and its exception are documented; personal or gendered motives are not established by them alone.</x:v>
      </x:c>
      <x:c r="L52" s="47" t="str">
        <x:v>Cabinet gender allocation and family ties became public issues; motives require separate evidence.</x:v>
      </x:c>
      <x:c r="M52" s="53" t="str">
        <x:v>Analysis</x:v>
      </x:c>
      <x:c r="N52" s="47" t="str">
        <x:v>Primary record</x:v>
      </x:c>
      <x:c r="O52" s="48" t="str">
        <x:v>S18; S19</x:v>
      </x:c>
    </x:row>
    <x:row r="53" ht="52.5" customHeight="1">
      <x:c r="A53" s="49" t="str">
        <x:v>C-P5-08</x:v>
      </x:c>
      <x:c r="B53" s="50" t="str">
        <x:v>P5</x:v>
      </x:c>
      <x:c r="C53" s="50" t="str">
        <x:v>2021–May 2026</x:v>
      </x:c>
      <x:c r="D53" s="50" t="str">
        <x:v>Era</x:v>
      </x:c>
      <x:c r="E53" s="50" t="str">
        <x:v>Social environment</x:v>
      </x:c>
      <x:c r="F53" s="50" t="str">
        <x:v>Material finding</x:v>
      </x:c>
      <x:c r="G53" s="50" t="str">
        <x:v>The Hema report dispute and poverty declaration exposed different questions of gender, deprivation and institutional accountability.</x:v>
      </x:c>
      <x:c r="H53" s="50" t="str">
        <x:v>Disclosure, survivor privacy and targeted welfare require distinct standards of evidence.</x:v>
      </x:c>
      <x:c r="I53" s="50" t="str">
        <x:v>Contemporary Kerala ministers and opposition, and predecessor projects; oversight, policy revision and coalition bargaining.</x:v>
      </x:c>
      <x:c r="J53" s="50" t="str">
        <x:v>The government defended privacy and identified-household rehabilitation; critics questioned delay and completeness.</x:v>
      </x:c>
      <x:c r="K53" s="50" t="str">
        <x:v>Symbolic equality and administrative declarations do not by themselves demonstrate lived improvements.</x:v>
      </x:c>
      <x:c r="L53" s="50" t="str">
        <x:v>Cabinet gender allocation and family ties became public issues; motives require separate evidence.</x:v>
      </x:c>
      <x:c r="M53" s="54" t="str">
        <x:v>Analysis</x:v>
      </x:c>
      <x:c r="N53" s="50" t="str">
        <x:v>Primary record</x:v>
      </x:c>
      <x:c r="O53" s="51" t="str">
        <x:v>S44; S45; S32</x:v>
      </x:c>
    </x:row>
    <x:row r="54" ht="39" customHeight="1">
      <x:c r="A54" s="46" t="str">
        <x:v>C-P5-09</x:v>
      </x:c>
      <x:c r="B54" s="47" t="str">
        <x:v>P5</x:v>
      </x:c>
      <x:c r="C54" s="47" t="str">
        <x:v>2021–May 2026</x:v>
      </x:c>
      <x:c r="D54" s="47" t="str">
        <x:v>Era</x:v>
      </x:c>
      <x:c r="E54" s="47" t="str">
        <x:v>State structure and political geography</x:v>
      </x:c>
      <x:c r="F54" s="47" t="str">
        <x:v>Material finding</x:v>
      </x:c>
      <x:c r="G54" s="47" t="str">
        <x:v>SilverLine/RRTS and port development illustrate state initiatives dependent on other public bodies and project partners.</x:v>
      </x:c>
      <x:c r="H54" s="47" t="str">
        <x:v>Planning authority, finance, land and operational delivery are dispersed among institutions.</x:v>
      </x:c>
      <x:c r="I54" s="47" t="str">
        <x:v>Contemporary Kerala ministers and opposition, and predecessor projects; oversight, policy revision and coalition bargaining.</x:v>
      </x:c>
      <x:c r="J54" s="47" t="str">
        <x:v>The CM said lack of Union approval led to a revised rail proposal.</x:v>
      </x:c>
      <x:c r="K54" s="47" t="str">
        <x:v>A cabinet decision does not prove that approvals, construction or benefits followed.</x:v>
      </x:c>
      <x:c r="L54" s="47" t="str">
        <x:v>Cabinet gender allocation and family ties became public issues; motives require separate evidence.</x:v>
      </x:c>
      <x:c r="M54" s="53" t="str">
        <x:v>Analysis</x:v>
      </x:c>
      <x:c r="N54" s="47" t="str">
        <x:v>Primary record</x:v>
      </x:c>
      <x:c r="O54" s="48" t="str">
        <x:v>S27; S26</x:v>
      </x:c>
    </x:row>
    <x:row r="55" ht="39" customHeight="1">
      <x:c r="A55" s="49" t="str">
        <x:v>C-P5-10</x:v>
      </x:c>
      <x:c r="B55" s="50" t="str">
        <x:v>P5</x:v>
      </x:c>
      <x:c r="C55" s="50" t="str">
        <x:v>2021–May 2026</x:v>
      </x:c>
      <x:c r="D55" s="50" t="str">
        <x:v>Era</x:v>
      </x:c>
      <x:c r="E55" s="50" t="str">
        <x:v>Evidence environment</x:v>
      </x:c>
      <x:c r="F55" s="50" t="str">
        <x:v>Material finding</x:v>
      </x:c>
      <x:c r="G55" s="50" t="str">
        <x:v>The 2024–25 fiscal audit was tabled after Vijayan left the chief-ministership.</x:v>
      </x:c>
      <x:c r="H55" s="50" t="str">
        <x:v>Later publication can illuminate an earlier tenure without making the successor responsible for those accounts.</x:v>
      </x:c>
      <x:c r="I55" s="50" t="str">
        <x:v>Contemporary Kerala ministers and opposition, and predecessor projects; oversight, policy revision and coalition bargaining.</x:v>
      </x:c>
      <x:c r="J55" s="50" t="str">
        <x:v>The 2026 report includes earlier state replies as well as audit conclusions.</x:v>
      </x:c>
      <x:c r="K55" s="50" t="str">
        <x:v>Keep financial year, response date, publication date and research cut-off separate.</x:v>
      </x:c>
      <x:c r="L55" s="50" t="str">
        <x:v>Cabinet gender allocation and family ties became public issues; motives require separate evidence.</x:v>
      </x:c>
      <x:c r="M55" s="50" t="str">
        <x:v>Recorded fact</x:v>
      </x:c>
      <x:c r="N55" s="50" t="str">
        <x:v>Primary record</x:v>
      </x:c>
      <x:c r="O55" s="51" t="str">
        <x:v>S29; S59</x:v>
      </x:c>
    </x:row>
    <x:row r="56" ht="39" customHeight="1">
      <x:c r="A56" s="46" t="str">
        <x:v>C-P6-01</x:v>
      </x:c>
      <x:c r="B56" s="47" t="str">
        <x:v>P6</x:v>
      </x:c>
      <x:c r="C56" s="47" t="str">
        <x:v>May–September 2026</x:v>
      </x:c>
      <x:c r="D56" s="47" t="str">
        <x:v>Era</x:v>
      </x:c>
      <x:c r="E56" s="47" t="str">
        <x:v>Party system</x:v>
      </x:c>
      <x:c r="F56" s="47" t="str">
        <x:v>Material finding</x:v>
      </x:c>
      <x:c r="G56" s="47" t="str">
        <x:v>The UDF took office and CPI(M) selected Vijayan to lead its Assembly opposition.</x:v>
      </x:c>
      <x:c r="H56" s="47" t="str">
        <x:v>Opposition leadership retained a public platform after executive authority ended.</x:v>
      </x:c>
      <x:c r="I56" s="47" t="str">
        <x:v>Kerala legislative opposition leaders after a change of government; scrutiny, party renewal and constituency work.</x:v>
      </x:c>
      <x:c r="J56" s="47" t="str">
        <x:v>His selection signalled organizational continuity after defeat.</x:v>
      </x:c>
      <x:c r="K56" s="47" t="str">
        <x:v>Whether continuity helps party recovery cannot be established within four months.</x:v>
      </x:c>
      <x:c r="L56" s="47" t="str">
        <x:v>Age and patriarchal leadership imagery feature in commentary; systematic comparative evidence is absent.</x:v>
      </x:c>
      <x:c r="M56" s="53" t="str">
        <x:v>Analysis</x:v>
      </x:c>
      <x:c r="N56" s="47" t="str">
        <x:v>Primary record</x:v>
      </x:c>
      <x:c r="O56" s="48" t="str">
        <x:v>S03; S04; S05</x:v>
      </x:c>
    </x:row>
    <x:row r="57" ht="39" customHeight="1">
      <x:c r="A57" s="49" t="str">
        <x:v>C-P6-02</x:v>
      </x:c>
      <x:c r="B57" s="50" t="str">
        <x:v>P6</x:v>
      </x:c>
      <x:c r="C57" s="50" t="str">
        <x:v>May–September 2026</x:v>
      </x:c>
      <x:c r="D57" s="50" t="str">
        <x:v>Era</x:v>
      </x:c>
      <x:c r="E57" s="50" t="str">
        <x:v>Constitutional and institutional environment</x:v>
      </x:c>
      <x:c r="F57" s="50" t="str">
        <x:v>Material finding</x:v>
      </x:c>
      <x:c r="G57" s="50" t="str">
        <x:v>The official Assembly website now identifies him as Leader of Opposition.</x:v>
      </x:c>
      <x:c r="H57" s="50" t="str">
        <x:v>The role concerns scrutiny and representation rather than direction of the government.</x:v>
      </x:c>
      <x:c r="I57" s="50" t="str">
        <x:v>Kerala legislative opposition leaders after a change of government; scrutiny, party renewal and constituency work.</x:v>
      </x:c>
      <x:c r="J57" s="50" t="str">
        <x:v>A separate current CMO page names V. D. Satheesan.</x:v>
      </x:c>
      <x:c r="K57" s="50" t="str">
        <x:v>Do not read stale biographical text or old headlines as proof that Vijayan remains chief minister.</x:v>
      </x:c>
      <x:c r="L57" s="50" t="str">
        <x:v>Age and patriarchal leadership imagery feature in commentary; systematic comparative evidence is absent.</x:v>
      </x:c>
      <x:c r="M57" s="50" t="str">
        <x:v>Recorded fact</x:v>
      </x:c>
      <x:c r="N57" s="50" t="str">
        <x:v>Primary record</x:v>
      </x:c>
      <x:c r="O57" s="51" t="str">
        <x:v>S01; S04</x:v>
      </x:c>
    </x:row>
    <x:row r="58" ht="39" customHeight="1">
      <x:c r="A58" s="46" t="str">
        <x:v>C-P6-03</x:v>
      </x:c>
      <x:c r="B58" s="47" t="str">
        <x:v>P6</x:v>
      </x:c>
      <x:c r="C58" s="47" t="str">
        <x:v>May–September 2026</x:v>
      </x:c>
      <x:c r="D58" s="47" t="str">
        <x:v>Era</x:v>
      </x:c>
      <x:c r="E58" s="47" t="str">
        <x:v>Electoral environment</x:v>
      </x:c>
      <x:c r="F58" s="47" t="str">
        <x:v>Material finding</x:v>
      </x:c>
      <x:c r="G58" s="47" t="str">
        <x:v>The completed 2026 Dharmadam count records a 19,247-vote winning margin.</x:v>
      </x:c>
      <x:c r="H58" s="47" t="str">
        <x:v>His constituency mandate continued despite the state-level change in government.</x:v>
      </x:c>
      <x:c r="I58" s="47" t="str">
        <x:v>Kerala legislative opposition leaders after a change of government; scrutiny, party renewal and constituency work.</x:v>
      </x:c>
      <x:c r="J58" s="47" t="str">
        <x:v>The ECI portal reports all rounds completed.</x:v>
      </x:c>
      <x:c r="K58" s="47" t="str">
        <x:v>The portal itself gives Form 20 final authority; this review did not retrieve the 2026 signed form.</x:v>
      </x:c>
      <x:c r="L58" s="47" t="str">
        <x:v>Age and patriarchal leadership imagery feature in commentary; systematic comparative evidence is absent.</x:v>
      </x:c>
      <x:c r="M58" s="47" t="str">
        <x:v>Recorded fact</x:v>
      </x:c>
      <x:c r="N58" s="47" t="str">
        <x:v>Primary record</x:v>
      </x:c>
      <x:c r="O58" s="48" t="str">
        <x:v>S14</x:v>
      </x:c>
    </x:row>
    <x:row r="59" ht="39" customHeight="1">
      <x:c r="A59" s="49" t="str">
        <x:v>C-P6-04</x:v>
      </x:c>
      <x:c r="B59" s="50" t="str">
        <x:v>P6</x:v>
      </x:c>
      <x:c r="C59" s="50" t="str">
        <x:v>May–September 2026</x:v>
      </x:c>
      <x:c r="D59" s="50" t="str">
        <x:v>Era</x:v>
      </x:c>
      <x:c r="E59" s="50" t="str">
        <x:v>Economic regime</x:v>
      </x:c>
      <x:c r="F59" s="50" t="str">
        <x:v>Material finding</x:v>
      </x:c>
      <x:c r="G59" s="50" t="str">
        <x:v>The successor government announced a SilverLine reversal while the prior fiscal record underwent audit scrutiny.</x:v>
      </x:c>
      <x:c r="H59" s="50" t="str">
        <x:v>Policy continuity and termination now depend on new office-holders.</x:v>
      </x:c>
      <x:c r="I59" s="50" t="str">
        <x:v>Kerala legislative opposition leaders after a change of government; scrutiny, party renewal and constituency work.</x:v>
      </x:c>
      <x:c r="J59" s="50" t="str">
        <x:v>Reports separate the new government's decisions from the earlier government's record.</x:v>
      </x:c>
      <x:c r="K59" s="50" t="str">
        <x:v>Do not attribute successor decisions or later implementation automatically to Vijayan.</x:v>
      </x:c>
      <x:c r="L59" s="50" t="str">
        <x:v>Age and patriarchal leadership imagery feature in commentary; systematic comparative evidence is absent.</x:v>
      </x:c>
      <x:c r="M59" s="54" t="str">
        <x:v>Analysis</x:v>
      </x:c>
      <x:c r="N59" s="50" t="str">
        <x:v>Primary record</x:v>
      </x:c>
      <x:c r="O59" s="51" t="str">
        <x:v>S28; S29</x:v>
      </x:c>
    </x:row>
    <x:row r="60" ht="39" customHeight="1">
      <x:c r="A60" s="46" t="str">
        <x:v>C-P6-05</x:v>
      </x:c>
      <x:c r="B60" s="47" t="str">
        <x:v>P6</x:v>
      </x:c>
      <x:c r="C60" s="47" t="str">
        <x:v>May–September 2026</x:v>
      </x:c>
      <x:c r="D60" s="47" t="str">
        <x:v>Era</x:v>
      </x:c>
      <x:c r="E60" s="47" t="str">
        <x:v>International system</x:v>
      </x:c>
      <x:c r="F60" s="47" t="str">
        <x:v>Not materially relevant</x:v>
      </x:c>
      <x:c r="G60" s="47" t="str">
        <x:v>No distinct international policy function of his new opposition office was established in the selected evidence.</x:v>
      </x:c>
      <x:c r="H60" s="47" t="str">
        <x:v>State opposition provides no general authority over Union foreign policy.</x:v>
      </x:c>
      <x:c r="I60" s="47" t="str">
        <x:v>Kerala legislative opposition leaders after a change of government; scrutiny, party renewal and constituency work.</x:v>
      </x:c>
      <x:c r="J60" s="47" t="str">
        <x:v>Current sources focus on Assembly leadership and domestic accountability.</x:v>
      </x:c>
      <x:c r="K60" s="47" t="str">
        <x:v>This is a role-based scope assessment, not proof of no international contacts or views.</x:v>
      </x:c>
      <x:c r="L60" s="47" t="str">
        <x:v>Age and patriarchal leadership imagery feature in commentary; systematic comparative evidence is absent.</x:v>
      </x:c>
      <x:c r="M60" s="53" t="str">
        <x:v>Analysis</x:v>
      </x:c>
      <x:c r="N60" s="47" t="str">
        <x:v>Unresolved</x:v>
      </x:c>
      <x:c r="O60" s="48" t="str">
        <x:v>S01; S03</x:v>
      </x:c>
    </x:row>
    <x:row r="61" ht="39" customHeight="1">
      <x:c r="A61" s="49" t="str">
        <x:v>C-P6-06</x:v>
      </x:c>
      <x:c r="B61" s="50" t="str">
        <x:v>P6</x:v>
      </x:c>
      <x:c r="C61" s="50" t="str">
        <x:v>May–September 2026</x:v>
      </x:c>
      <x:c r="D61" s="50" t="str">
        <x:v>Era</x:v>
      </x:c>
      <x:c r="E61" s="50" t="str">
        <x:v>Media and campaign environment</x:v>
      </x:c>
      <x:c r="F61" s="50" t="str">
        <x:v>Material finding</x:v>
      </x:c>
      <x:c r="G61" s="50" t="str">
        <x:v>Post-defeat coverage used leadership-decline imagery; September coverage focused on ED allegations and his response.</x:v>
      </x:c>
      <x:c r="H61" s="50" t="str">
        <x:v>Press narratives can influence public interpretation while legal stages remain unresolved.</x:v>
      </x:c>
      <x:c r="I61" s="50" t="str">
        <x:v>Kerala legislative opposition leaders after a change of government; scrutiny, party renewal and constituency work.</x:v>
      </x:c>
      <x:c r="J61" s="50" t="str">
        <x:v>Journalistic framing and reported denials are visible; comparative audience effects are unmeasured.</x:v>
      </x:c>
      <x:c r="K61" s="50" t="str">
        <x:v>Do not substitute a headline's implication for an official office record or legal finding.</x:v>
      </x:c>
      <x:c r="L61" s="50" t="str">
        <x:v>Age and patriarchal leadership imagery feature in commentary; systematic comparative evidence is absent.</x:v>
      </x:c>
      <x:c r="M61" s="54" t="str">
        <x:v>Analysis</x:v>
      </x:c>
      <x:c r="N61" s="50" t="str">
        <x:v>Primary record</x:v>
      </x:c>
      <x:c r="O61" s="51" t="str">
        <x:v>S58; S42; S43</x:v>
      </x:c>
    </x:row>
    <x:row r="62" ht="39" customHeight="1">
      <x:c r="A62" s="46" t="str">
        <x:v>C-P6-07</x:v>
      </x:c>
      <x:c r="B62" s="47" t="str">
        <x:v>P6</x:v>
      </x:c>
      <x:c r="C62" s="47" t="str">
        <x:v>May–September 2026</x:v>
      </x:c>
      <x:c r="D62" s="47" t="str">
        <x:v>Era</x:v>
      </x:c>
      <x:c r="E62" s="47" t="str">
        <x:v>Political organization</x:v>
      </x:c>
      <x:c r="F62" s="47" t="str">
        <x:v>Material finding</x:v>
      </x:c>
      <x:c r="G62" s="47" t="str">
        <x:v>The party retained him as legislative leader after the loss of government.</x:v>
      </x:c>
      <x:c r="H62" s="47" t="str">
        <x:v>This preserved experience and continuity while leaving questions about succession open.</x:v>
      </x:c>
      <x:c r="I62" s="47" t="str">
        <x:v>Kerala legislative opposition leaders after a change of government; scrutiny, party renewal and constituency work.</x:v>
      </x:c>
      <x:c r="J62" s="47" t="str">
        <x:v>Selection is documented; internal alternatives were discussed in reporting.</x:v>
      </x:c>
      <x:c r="K62" s="47" t="str">
        <x:v>An external analyst cannot infer undisclosed votes, coercion or members' motives.</x:v>
      </x:c>
      <x:c r="L62" s="47" t="str">
        <x:v>Age and patriarchal leadership imagery feature in commentary; systematic comparative evidence is absent.</x:v>
      </x:c>
      <x:c r="M62" s="53" t="str">
        <x:v>Analysis</x:v>
      </x:c>
      <x:c r="N62" s="47" t="str">
        <x:v>Single credible source</x:v>
      </x:c>
      <x:c r="O62" s="48" t="str">
        <x:v>S03</x:v>
      </x:c>
    </x:row>
    <x:row r="63" ht="39" customHeight="1">
      <x:c r="A63" s="49" t="str">
        <x:v>C-P6-08</x:v>
      </x:c>
      <x:c r="B63" s="50" t="str">
        <x:v>P6</x:v>
      </x:c>
      <x:c r="C63" s="50" t="str">
        <x:v>May–September 2026</x:v>
      </x:c>
      <x:c r="D63" s="50" t="str">
        <x:v>Era</x:v>
      </x:c>
      <x:c r="E63" s="50" t="str">
        <x:v>Social environment</x:v>
      </x:c>
      <x:c r="F63" s="50" t="str">
        <x:v>Research limitation</x:v>
      </x:c>
      <x:c r="G63" s="50" t="str">
        <x:v>Age and paternal-leader imagery appear in commentary, but no systematic gender or demographic reception study was retrieved.</x:v>
      </x:c>
      <x:c r="H63" s="50" t="str">
        <x:v>Image analysis can identify a framing example without estimating voter response.</x:v>
      </x:c>
      <x:c r="I63" s="50" t="str">
        <x:v>Kerala legislative opposition leaders after a change of government; scrutiny, party renewal and constituency work.</x:v>
      </x:c>
      <x:c r="J63" s="50" t="str">
        <x:v>The 'patriarch' framing is one journalist's interpretation.</x:v>
      </x:c>
      <x:c r="K63" s="50" t="str">
        <x:v>Do not treat one example as proof of differential treatment against comparable leaders.</x:v>
      </x:c>
      <x:c r="L63" s="50" t="str">
        <x:v>Age and patriarchal leadership imagery feature in commentary; systematic comparative evidence is absent.</x:v>
      </x:c>
      <x:c r="M63" s="54" t="str">
        <x:v>Analysis</x:v>
      </x:c>
      <x:c r="N63" s="50" t="str">
        <x:v>Single credible source</x:v>
      </x:c>
      <x:c r="O63" s="51" t="str">
        <x:v>S58</x:v>
      </x:c>
    </x:row>
    <x:row r="64" ht="39" customHeight="1">
      <x:c r="A64" s="46" t="str">
        <x:v>C-P6-09</x:v>
      </x:c>
      <x:c r="B64" s="47" t="str">
        <x:v>P6</x:v>
      </x:c>
      <x:c r="C64" s="47" t="str">
        <x:v>May–September 2026</x:v>
      </x:c>
      <x:c r="D64" s="47" t="str">
        <x:v>Era</x:v>
      </x:c>
      <x:c r="E64" s="47" t="str">
        <x:v>State structure and political geography</x:v>
      </x:c>
      <x:c r="F64" s="47" t="str">
        <x:v>Material finding</x:v>
      </x:c>
      <x:c r="G64" s="47" t="str">
        <x:v>His ongoing elected base remains Dharmadam; his legislative opposition role is statewide.</x:v>
      </x:c>
      <x:c r="H64" s="47" t="str">
        <x:v>Local representation and statewide oversight coexist.</x:v>
      </x:c>
      <x:c r="I64" s="47" t="str">
        <x:v>Kerala legislative opposition leaders after a change of government; scrutiny, party renewal and constituency work.</x:v>
      </x:c>
      <x:c r="J64" s="47" t="str">
        <x:v>Official Assembly and election records support the two distinct roles.</x:v>
      </x:c>
      <x:c r="K64" s="47" t="str">
        <x:v>The party's 14 May selection date is not asserted as the exact date of formal recognition.</x:v>
      </x:c>
      <x:c r="L64" s="47" t="str">
        <x:v>Age and patriarchal leadership imagery feature in commentary; systematic comparative evidence is absent.</x:v>
      </x:c>
      <x:c r="M64" s="47" t="str">
        <x:v>Recorded fact</x:v>
      </x:c>
      <x:c r="N64" s="47" t="str">
        <x:v>Primary record</x:v>
      </x:c>
      <x:c r="O64" s="48" t="str">
        <x:v>S01; S03; S14</x:v>
      </x:c>
    </x:row>
    <x:row r="65" ht="39" customHeight="1">
      <x:c r="A65" s="49" t="str">
        <x:v>C-P6-10</x:v>
      </x:c>
      <x:c r="B65" s="50" t="str">
        <x:v>P6</x:v>
      </x:c>
      <x:c r="C65" s="50" t="str">
        <x:v>May–September 2026</x:v>
      </x:c>
      <x:c r="D65" s="50" t="str">
        <x:v>Era</x:v>
      </x:c>
      <x:c r="E65" s="50" t="str">
        <x:v>Evidence environment</x:v>
      </x:c>
      <x:c r="F65" s="50" t="str">
        <x:v>Research limitation</x:v>
      </x:c>
      <x:c r="G65" s="50" t="str">
        <x:v>Latest verified Exalogic reporting ends with the government's legal scrutiny of an ED recommendation on 10 September 2026.</x:v>
      </x:c>
      <x:c r="H65" s="50" t="str">
        <x:v>A short reporting window and uncollected case files limit claims about later procedural developments.</x:v>
      </x:c>
      <x:c r="I65" s="50" t="str">
        <x:v>Kerala legislative opposition leaders after a change of government; scrutiny, party renewal and constituency work.</x:v>
      </x:c>
      <x:c r="J65" s="50" t="str">
        <x:v>Contemporaneous reporting includes both allegations and denial.</x:v>
      </x:c>
      <x:c r="K65" s="50" t="str">
        <x:v>A recommendation is not a registered FIR, charge or conviction; later developments require a fresh check.</x:v>
      </x:c>
      <x:c r="L65" s="50" t="str">
        <x:v>Age and patriarchal leadership imagery feature in commentary; systematic comparative evidence is absent.</x:v>
      </x:c>
      <x:c r="M65" s="52" t="str">
        <x:v>Disputed/uncertain</x:v>
      </x:c>
      <x:c r="N65" s="50" t="str">
        <x:v>Multiple independent sources</x:v>
      </x:c>
      <x:c r="O65" s="51" t="str">
        <x:v>S42; S43</x:v>
      </x:c>
    </x:row>
    <x:row r="66" ht="39" customHeight="1">
      <x:c r="A66" s="46" t="str">
        <x:v>C-G-01</x:v>
      </x:c>
      <x:c r="B66" s="47" t="str">
        <x:v>P1–P3</x:v>
      </x:c>
      <x:c r="C66" s="47" t="str">
        <x:v>1964–2015</x:v>
      </x:c>
      <x:c r="D66" s="47" t="str">
        <x:v>Gender</x:v>
      </x:c>
      <x:c r="E66" s="47" t="str">
        <x:v>Entry and advancement</x:v>
      </x:c>
      <x:c r="F66" s="47" t="str">
        <x:v>Research limitation</x:v>
      </x:c>
      <x:c r="G66" s="47" t="str">
        <x:v>His entry is documented through student and party organizations; the 1977 Assembly contained only one woman.</x:v>
      </x:c>
      <x:c r="H66" s="47" t="str">
        <x:v>Male dominance supplies a relevant institutional baseline, but his own selection mechanism is not documented.</x:v>
      </x:c>
      <x:c r="I66" s="47" t="str">
        <x:v>Compare CPI(M) student leaders and candidates in the same period; nomination records would be needed.</x:v>
      </x:c>
      <x:c r="J66" s="47" t="str">
        <x:v>Biographies emphasize organizational service, not gender.</x:v>
      </x:c>
      <x:c r="K66" s="47" t="str">
        <x:v>Aggregate underrepresentation cannot establish that any particular nomination resulted from sexism.</x:v>
      </x:c>
      <x:c r="L66" s="47" t="str">
        <x:v>Gender: access/selection question open; region and class narrative evidenced.</x:v>
      </x:c>
      <x:c r="M66" s="53" t="str">
        <x:v>Analysis</x:v>
      </x:c>
      <x:c r="N66" s="47" t="str">
        <x:v>Primary record</x:v>
      </x:c>
      <x:c r="O66" s="48" t="str">
        <x:v>S02; S09</x:v>
      </x:c>
    </x:row>
    <x:row r="67" ht="39" customHeight="1">
      <x:c r="A67" s="49" t="str">
        <x:v>C-G-02</x:v>
      </x:c>
      <x:c r="B67" s="50" t="str">
        <x:v>P4–P5</x:v>
      </x:c>
      <x:c r="C67" s="50" t="str">
        <x:v>2016–2026</x:v>
      </x:c>
      <x:c r="D67" s="50" t="str">
        <x:v>Gender</x:v>
      </x:c>
      <x:c r="E67" s="50" t="str">
        <x:v>Milestones</x:v>
      </x:c>
      <x:c r="F67" s="50" t="str">
        <x:v>Not materially relevant</x:v>
      </x:c>
      <x:c r="G67" s="50" t="str">
        <x:v>His chief-ministerial election and re-election were tenure milestones; no gender-related first was established.</x:v>
      </x:c>
      <x:c r="H67" s="50" t="str">
        <x:v>No evidence makes male identity itself an unusual qualification for this office.</x:v>
      </x:c>
      <x:c r="I67" s="50" t="str">
        <x:v>Contemporary Kerala chief ministers and party leaders are the relevant office comparator.</x:v>
      </x:c>
      <x:c r="J67" s="50" t="str">
        <x:v>Reporting emphasized political continuity and leadership.</x:v>
      </x:c>
      <x:c r="K67" s="50" t="str">
        <x:v>Do not convert an electoral distinction into a gender milestone without evidence.</x:v>
      </x:c>
      <x:c r="L67" s="50" t="str">
        <x:v>Gender: no supported first identified.</x:v>
      </x:c>
      <x:c r="M67" s="54" t="str">
        <x:v>Analysis</x:v>
      </x:c>
      <x:c r="N67" s="50" t="str">
        <x:v>Multiple independent sources</x:v>
      </x:c>
      <x:c r="O67" s="51" t="str">
        <x:v>S55; S18; S37</x:v>
      </x:c>
    </x:row>
    <x:row r="68" ht="39" customHeight="1">
      <x:c r="A68" s="46" t="str">
        <x:v>C-G-03</x:v>
      </x:c>
      <x:c r="B68" s="47" t="str">
        <x:v>P1–P5</x:v>
      </x:c>
      <x:c r="C68" s="47" t="str">
        <x:v>1964–2026</x:v>
      </x:c>
      <x:c r="D68" s="47" t="str">
        <x:v>Gender</x:v>
      </x:c>
      <x:c r="E68" s="47" t="str">
        <x:v>Networks and pathways</x:v>
      </x:c>
      <x:c r="F68" s="47" t="str">
        <x:v>Material finding</x:v>
      </x:c>
      <x:c r="G68" s="47" t="str">
        <x:v>His own entry was organizational; son-in-law P. A. Mohammed Riyas joined the 2021 cabinet.</x:v>
      </x:c>
      <x:c r="H68" s="47" t="str">
        <x:v>Marriage/family ties became relevant to public scrutiny of appointments, distinct from Vijayan's initial recruitment.</x:v>
      </x:c>
      <x:c r="I68" s="47" t="str">
        <x:v>Compare ministers selected by the same party and cabinet process, including non-relatives.</x:v>
      </x:c>
      <x:c r="J68" s="47" t="str">
        <x:v>News reports highlighted the relationship; Vijayan defended broad leadership renewal.</x:v>
      </x:c>
      <x:c r="K68" s="47" t="str">
        <x:v>A family tie establishes a relationship, not favoritism or an improper selection process.</x:v>
      </x:c>
      <x:c r="L68" s="47" t="str">
        <x:v>Gender/family: apply scrutiny to male as well as female relatives.</x:v>
      </x:c>
      <x:c r="M68" s="53" t="str">
        <x:v>Analysis</x:v>
      </x:c>
      <x:c r="N68" s="47" t="str">
        <x:v>Multiple independent sources</x:v>
      </x:c>
      <x:c r="O68" s="48" t="str">
        <x:v>S02; S18; S19</x:v>
      </x:c>
    </x:row>
    <x:row r="69" ht="39" customHeight="1">
      <x:c r="A69" s="49" t="str">
        <x:v>C-G-04</x:v>
      </x:c>
      <x:c r="B69" s="50" t="str">
        <x:v>P2; P4–P5</x:v>
      </x:c>
      <x:c r="C69" s="50" t="str">
        <x:v>1996–1998; 2016–2026</x:v>
      </x:c>
      <x:c r="D69" s="50" t="str">
        <x:v>Gender</x:v>
      </x:c>
      <x:c r="E69" s="50" t="str">
        <x:v>Role and portfolio allocation</x:v>
      </x:c>
      <x:c r="F69" s="50" t="str">
        <x:v>Material finding</x:v>
      </x:c>
      <x:c r="G69" s="50" t="str">
        <x:v>Vijayan held power/cooperation and later the chief-ministership; three women entered the renewed 2021 cabinet.</x:v>
      </x:c>
      <x:c r="H69" s="50" t="str">
        <x:v>Top-level continuity and collective ministerial replacement raised questions about the renewal rule's exception.</x:v>
      </x:c>
      <x:c r="I69" s="50" t="str">
        <x:v>Compare all outgoing 2021 ministers, women and men, and the CM's different office.</x:v>
      </x:c>
      <x:c r="J69" s="50" t="str">
        <x:v>Shailaja's exclusion drew criticism; the stated rationale was developing a new team.</x:v>
      </x:c>
      <x:c r="K69" s="50" t="str">
        <x:v>Replacement of men as well as women does not establish a gender-specific cause; representation alone is not equality.</x:v>
      </x:c>
      <x:c r="L69" s="50" t="str">
        <x:v>Gender: allocation and leadership concentration require separate evaluation.</x:v>
      </x:c>
      <x:c r="M69" s="54" t="str">
        <x:v>Analysis</x:v>
      </x:c>
      <x:c r="N69" s="50" t="str">
        <x:v>Multiple independent sources</x:v>
      </x:c>
      <x:c r="O69" s="51" t="str">
        <x:v>S01; S18; S19</x:v>
      </x:c>
    </x:row>
    <x:row r="70" ht="39" customHeight="1">
      <x:c r="A70" s="46" t="str">
        <x:v>C-G-05</x:v>
      </x:c>
      <x:c r="B70" s="47" t="str">
        <x:v>P5–P6</x:v>
      </x:c>
      <x:c r="C70" s="47" t="str">
        <x:v>2021–2026</x:v>
      </x:c>
      <x:c r="D70" s="47" t="str">
        <x:v>Gender</x:v>
      </x:c>
      <x:c r="E70" s="47" t="str">
        <x:v>Campaign and media treatment</x:v>
      </x:c>
      <x:c r="F70" s="47" t="str">
        <x:v>Material finding</x:v>
      </x:c>
      <x:c r="G70" s="47" t="str">
        <x:v>A 2026 post-election article framed him as a patriarch; a 2025 documentary celebrated his stature.</x:v>
      </x:c>
      <x:c r="H70" s="47" t="str">
        <x:v>Paternal leadership language is a concrete example of gendered political imagery.</x:v>
      </x:c>
      <x:c r="I70" s="47" t="str">
        <x:v>Comparable male and female Kerala leaders in equivalent offices would be needed for a bias claim.</x:v>
      </x:c>
      <x:c r="J70" s="47" t="str">
        <x:v>One article used decline imagery; the CM emphasized the party in his documentary response.</x:v>
      </x:c>
      <x:c r="K70" s="47" t="str">
        <x:v>Examples do not establish prevalence, voter effect or differential treatment.</x:v>
      </x:c>
      <x:c r="L70" s="47" t="str">
        <x:v>Gender: paternal imagery; age and organizational seniority overlap.</x:v>
      </x:c>
      <x:c r="M70" s="53" t="str">
        <x:v>Analysis</x:v>
      </x:c>
      <x:c r="N70" s="47" t="str">
        <x:v>Multiple independent sources</x:v>
      </x:c>
      <x:c r="O70" s="48" t="str">
        <x:v>S58; S36</x:v>
      </x:c>
    </x:row>
    <x:row r="71" ht="39" customHeight="1">
      <x:c r="A71" s="49" t="str">
        <x:v>C-G-06</x:v>
      </x:c>
      <x:c r="B71" s="50" t="str">
        <x:v>P1; P4–P6</x:v>
      </x:c>
      <x:c r="C71" s="50" t="str">
        <x:v>1975–1977; 2016–2026</x:v>
      </x:c>
      <x:c r="D71" s="50" t="str">
        <x:v>Gender</x:v>
      </x:c>
      <x:c r="E71" s="50" t="str">
        <x:v>Threats and security</x:v>
      </x:c>
      <x:c r="F71" s="50" t="str">
        <x:v>Evidence not found</x:v>
      </x:c>
      <x:c r="G71" s="50" t="str">
        <x:v>Emergency detention and torture are recorded; no source established that this treatment was gender-targeted.</x:v>
      </x:c>
      <x:c r="H71" s="50" t="str">
        <x:v>Political repression is relevant to security, but a gender mechanism cannot be inferred.</x:v>
      </x:c>
      <x:c r="I71" s="50" t="str">
        <x:v>Compare similarly situated Emergency detainees, with direct records of treatment.</x:v>
      </x:c>
      <x:c r="J71" s="50" t="str">
        <x:v>The institutional biography presents political persecution.</x:v>
      </x:c>
      <x:c r="K71" s="50" t="str">
        <x:v>Missing evidence of sexualized or gender-targeted threats is not proof that none occurred.</x:v>
      </x:c>
      <x:c r="L71" s="50" t="str">
        <x:v>Gender effect unverified; party affiliation is the documented political context.</x:v>
      </x:c>
      <x:c r="M71" s="52" t="str">
        <x:v>Disputed/uncertain</x:v>
      </x:c>
      <x:c r="N71" s="50" t="str">
        <x:v>Unresolved</x:v>
      </x:c>
      <x:c r="O71" s="51" t="str">
        <x:v>S01; S02</x:v>
      </x:c>
    </x:row>
    <x:row r="72" ht="39" customHeight="1">
      <x:c r="A72" s="46" t="str">
        <x:v>C-G-07</x:v>
      </x:c>
      <x:c r="B72" s="47" t="str">
        <x:v>P4</x:v>
      </x:c>
      <x:c r="C72" s="47" t="str">
        <x:v>2018–2019</x:v>
      </x:c>
      <x:c r="D72" s="47" t="str">
        <x:v>Gender</x:v>
      </x:c>
      <x:c r="E72" s="47" t="str">
        <x:v>Gender-related policy and organizations</x:v>
      </x:c>
      <x:c r="F72" s="47" t="str">
        <x:v>Material finding</x:v>
      </x:c>
      <x:c r="G72" s="47" t="str">
        <x:v>His government backed women's Sabarimala access and the Women's Wall mobilization.</x:v>
      </x:c>
      <x:c r="H72" s="47" t="str">
        <x:v>Government action and community organization linked equality arguments with mass participation.</x:v>
      </x:c>
      <x:c r="I72" s="47" t="str">
        <x:v>Compare stated support, implementation and the experience of affected women within the same dispute.</x:v>
      </x:c>
      <x:c r="J72" s="47" t="str">
        <x:v>Supporters invoked reform; critics objected on religious and political grounds.</x:v>
      </x:c>
      <x:c r="K72" s="47" t="str">
        <x:v>Mobilization is an output; durable equality outcomes need different evidence.</x:v>
      </x:c>
      <x:c r="L72" s="47" t="str">
        <x:v>Gender intersects with religion and community mobilization.</x:v>
      </x:c>
      <x:c r="M72" s="47" t="str">
        <x:v>Recorded fact</x:v>
      </x:c>
      <x:c r="N72" s="47" t="str">
        <x:v>Multiple independent sources</x:v>
      </x:c>
      <x:c r="O72" s="48" t="str">
        <x:v>S46; S47</x:v>
      </x:c>
    </x:row>
    <x:row r="73" ht="39" customHeight="1">
      <x:c r="A73" s="49" t="str">
        <x:v>C-G-08</x:v>
      </x:c>
      <x:c r="B73" s="50" t="str">
        <x:v>P4–P5</x:v>
      </x:c>
      <x:c r="C73" s="50" t="str">
        <x:v>2017–2024</x:v>
      </x:c>
      <x:c r="D73" s="50" t="str">
        <x:v>Gender</x:v>
      </x:c>
      <x:c r="E73" s="50" t="str">
        <x:v>Gender-related policy and organizations</x:v>
      </x:c>
      <x:c r="F73" s="50" t="str">
        <x:v>Material finding</x:v>
      </x:c>
      <x:c r="G73" s="50" t="str">
        <x:v>The government appointed the Hema Committee; publication of its redacted report came years after submission.</x:v>
      </x:c>
      <x:c r="H73" s="50" t="str">
        <x:v>Inquiry creation and disclosure delay represent separate dimensions of institutional response.</x:v>
      </x:c>
      <x:c r="I73" s="50" t="str">
        <x:v>Women's Collective advocacy, industry participants and the responsible government provide relevant perspectives.</x:v>
      </x:c>
      <x:c r="J73" s="50" t="str">
        <x:v>Critics questioned delay; the CM defended privacy protection.</x:v>
      </x:c>
      <x:c r="K73" s="50" t="str">
        <x:v>An inquiry's existence does not demonstrate that recommendations were implemented or harassment ended.</x:v>
      </x:c>
      <x:c r="L73" s="50" t="str">
        <x:v>Gender: workplace power, disclosure and survivor privacy.</x:v>
      </x:c>
      <x:c r="M73" s="50" t="str">
        <x:v>Recorded fact</x:v>
      </x:c>
      <x:c r="N73" s="50" t="str">
        <x:v>Multiple independent sources</x:v>
      </x:c>
      <x:c r="O73" s="51" t="str">
        <x:v>S44; S45</x:v>
      </x:c>
    </x:row>
    <x:row r="74" ht="52.5" customHeight="1">
      <x:c r="A74" s="46" t="str">
        <x:v>C-G-09</x:v>
      </x:c>
      <x:c r="B74" s="47" t="str">
        <x:v>P4–P6</x:v>
      </x:c>
      <x:c r="C74" s="47" t="str">
        <x:v>2018–2026</x:v>
      </x:c>
      <x:c r="D74" s="47" t="str">
        <x:v>Gender</x:v>
      </x:c>
      <x:c r="E74" s="47" t="str">
        <x:v>Political use of identity</x:v>
      </x:c>
      <x:c r="F74" s="47" t="str">
        <x:v>Research limitation</x:v>
      </x:c>
      <x:c r="G74" s="47" t="str">
        <x:v>Equality mobilization is documented, but evidence of deliberate use of his own masculinity as a campaign strategy was not established.</x:v>
      </x:c>
      <x:c r="H74" s="47" t="str">
        <x:v>Public paternal imagery may originate with journalists or supporters rather than the leader.</x:v>
      </x:c>
      <x:c r="I74" s="47" t="str">
        <x:v>Separate his statements from labels used by allies and opponents.</x:v>
      </x:c>
      <x:c r="J74" s="47" t="str">
        <x:v>He emphasized collective party identity when responding to a celebratory documentary.</x:v>
      </x:c>
      <x:c r="K74" s="47" t="str">
        <x:v>Do not infer personal strategic intent from a gendered nickname or headline.</x:v>
      </x:c>
      <x:c r="L74" s="47" t="str">
        <x:v>Gender strategy: personal intention unverified; public identity framing evidenced.</x:v>
      </x:c>
      <x:c r="M74" s="53" t="str">
        <x:v>Analysis</x:v>
      </x:c>
      <x:c r="N74" s="47" t="str">
        <x:v>Unresolved</x:v>
      </x:c>
      <x:c r="O74" s="48" t="str">
        <x:v>S36; S46; S58</x:v>
      </x:c>
    </x:row>
    <x:row r="75" ht="39" customHeight="1">
      <x:c r="A75" s="49" t="str">
        <x:v>C-G-10</x:v>
      </x:c>
      <x:c r="B75" s="50" t="str">
        <x:v>P5</x:v>
      </x:c>
      <x:c r="C75" s="50" t="str">
        <x:v>2021–2024</x:v>
      </x:c>
      <x:c r="D75" s="50" t="str">
        <x:v>Gender</x:v>
      </x:c>
      <x:c r="E75" s="50" t="str">
        <x:v>Representation and effects</x:v>
      </x:c>
      <x:c r="F75" s="50" t="str">
        <x:v>Material finding</x:v>
      </x:c>
      <x:c r="G75" s="50" t="str">
        <x:v>The 2021 cabinet included three women; the Hema controversy concerned institutional treatment of women outside politics.</x:v>
      </x:c>
      <x:c r="H75" s="50" t="str">
        <x:v>Descriptive representation, public symbolism and substantive accountability measure different things.</x:v>
      </x:c>
      <x:c r="I75" s="50" t="str">
        <x:v>Compare cabinet composition with documented implementation, not with symbolic statements alone.</x:v>
      </x:c>
      <x:c r="J75" s="50" t="str">
        <x:v>Appointments and disclosure disputes received distinct public responses.</x:v>
      </x:c>
      <x:c r="K75" s="50" t="str">
        <x:v>Neither the number of women ministers nor a rights stance alone establishes substantive gender equality.</x:v>
      </x:c>
      <x:c r="L75" s="50" t="str">
        <x:v>Gender: representation and outcomes explicitly separated.</x:v>
      </x:c>
      <x:c r="M75" s="54" t="str">
        <x:v>Analysis</x:v>
      </x:c>
      <x:c r="N75" s="50" t="str">
        <x:v>Multiple independent sources</x:v>
      </x:c>
      <x:c r="O75" s="51" t="str">
        <x:v>S18; S44; S45</x:v>
      </x:c>
    </x:row>
    <x:row r="76" ht="39" customHeight="1">
      <x:c r="A76" s="46" t="str">
        <x:v>C-G-11</x:v>
      </x:c>
      <x:c r="B76" s="47" t="str">
        <x:v>P4–P6</x:v>
      </x:c>
      <x:c r="C76" s="47" t="str">
        <x:v>2018–2026</x:v>
      </x:c>
      <x:c r="D76" s="47" t="str">
        <x:v>Gender</x:v>
      </x:c>
      <x:c r="E76" s="47" t="str">
        <x:v>Assessment over time</x:v>
      </x:c>
      <x:c r="F76" s="47" t="str">
        <x:v>Material finding</x:v>
      </x:c>
      <x:c r="G76" s="47" t="str">
        <x:v>Rights-oriented mobilization and later disclosure criticism produce a mixed record on gender-related governance.</x:v>
      </x:c>
      <x:c r="H76" s="47" t="str">
        <x:v>Different episodes reveal priorities and implementation constraints rather than one stable gender score.</x:v>
      </x:c>
      <x:c r="I76" s="47" t="str">
        <x:v>Compare reception at each event with later implementation evidence from the same issue.</x:v>
      </x:c>
      <x:c r="J76" s="47" t="str">
        <x:v>Contemporary praise and criticism were issue-specific.</x:v>
      </x:c>
      <x:c r="K76" s="47" t="str">
        <x:v>No comprehensive feminist reception study or controlled gender-impact evaluation was retrieved.</x:v>
      </x:c>
      <x:c r="L76" s="47" t="str">
        <x:v>Gender legacy remains issue-dependent and incompletely evaluated.</x:v>
      </x:c>
      <x:c r="M76" s="53" t="str">
        <x:v>Analysis</x:v>
      </x:c>
      <x:c r="N76" s="47" t="str">
        <x:v>Multiple independent sources</x:v>
      </x:c>
      <x:c r="O76" s="48" t="str">
        <x:v>S46; S47; S44; S45</x:v>
      </x:c>
    </x:row>
  </x:sheetData>
  <x:pageMargins left="0.7" right="0.7" top="0.75" bottom="0.75" header="0.3" footer="0.3"/>
  <x:tableParts count="1">
    <x:tablePart xmlns:r="http://schemas.openxmlformats.org/officeDocument/2006/relationships" r:id="R686f409241664d96"/>
  </x:tableParts>
</x:worksheet>
</file>

<file path=xl/worksheets/sheet3.xml><?xml version="1.0" encoding="utf-8"?>
<x:worksheet xmlns:x="http://schemas.openxmlformats.org/spreadsheetml/2006/main">
  <x:sheetPr>
    <x:tabColor rgb="FF0D6B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5" hidden="0" customWidth="1"/>
    <x:col min="4" max="4" width="29" hidden="0" customWidth="1"/>
    <x:col min="5" max="5" width="15" hidden="0" customWidth="1"/>
    <x:col min="6" max="6" width="30" hidden="0" customWidth="1"/>
    <x:col min="7" max="7" width="53" hidden="0" customWidth="1"/>
    <x:col min="8" max="8" width="75" hidden="0" customWidth="1"/>
    <x:col min="9" max="9" width="61" hidden="0" customWidth="1"/>
    <x:col min="10" max="10" width="24" hidden="0" customWidth="1"/>
    <x:col min="11" max="11" width="28" hidden="0" customWidth="1"/>
    <x:col min="12" max="12" width="21" hidden="0" customWidth="1"/>
    <x:col min="13" max="13" width="30" hidden="0" customWidth="1"/>
    <x:col min="14" max="14" width="70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.75" customHeight="1">
      <x:c r="A2" s="4" t="str">
        <x:v>Career timeline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8.75" customHeight="1">
      <x:c r="A3" s="6" t="str">
        <x:v>One consequential event per row | Dates retain verified precision | Election counts and legal stages have dedicated tabs.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7.5" customHeight="1">
      <x:c r="A5" s="64" t="str">
        <x:v>Timeline ID</x:v>
      </x:c>
      <x:c r="B5" s="64" t="str">
        <x:v>Start / event date</x:v>
      </x:c>
      <x:c r="C5" s="64" t="str">
        <x:v>End / latest date</x:v>
      </x:c>
      <x:c r="D5" s="64" t="str">
        <x:v>Date precision</x:v>
      </x:c>
      <x:c r="E5" s="64" t="str">
        <x:v>Career phase</x:v>
      </x:c>
      <x:c r="F5" s="64" t="str">
        <x:v>Event type</x:v>
      </x:c>
      <x:c r="G5" s="64" t="str">
        <x:v>Institution / geography</x:v>
      </x:c>
      <x:c r="H5" s="64" t="str">
        <x:v>Event</x:v>
      </x:c>
      <x:c r="I5" s="64" t="str">
        <x:v>Political significance</x:v>
      </x:c>
      <x:c r="J5" s="64" t="str">
        <x:v>Claim type</x:v>
      </x:c>
      <x:c r="K5" s="64" t="str">
        <x:v>Corroboration</x:v>
      </x:c>
      <x:c r="L5" s="64" t="str">
        <x:v>Source IDs</x:v>
      </x:c>
      <x:c r="M5" s="64" t="str">
        <x:v>Context IDs</x:v>
      </x:c>
      <x:c r="N5" s="64" t="str">
        <x:v>Research note</x:v>
      </x:c>
    </x:row>
    <x:row r="6" ht="39" customHeight="1">
      <x:c r="A6" s="46" t="str">
        <x:v>T01</x:v>
      </x:c>
      <x:c r="B6" s="81" t="n">
        <x:v>1964</x:v>
      </x:c>
      <x:c r="C6" s="81" t="str"/>
      <x:c r="D6" s="47" t="str">
        <x:v>Year</x:v>
      </x:c>
      <x:c r="E6" s="47" t="str">
        <x:v>P1</x:v>
      </x:c>
      <x:c r="F6" s="47" t="str">
        <x:v>Entry</x:v>
      </x:c>
      <x:c r="G6" s="47" t="str">
        <x:v>Communist movement / Kerala</x:v>
      </x:c>
      <x:c r="H6" s="47" t="str">
        <x:v>Entered communist politics after student activism.</x:v>
      </x:c>
      <x:c r="I6" s="47" t="str">
        <x:v>Beginning of the documented party career.</x:v>
      </x:c>
      <x:c r="J6" s="47" t="str">
        <x:v>Recorded fact</x:v>
      </x:c>
      <x:c r="K6" s="47" t="str">
        <x:v>Primary record</x:v>
      </x:c>
      <x:c r="L6" s="48" t="str">
        <x:v>S01; S02</x:v>
      </x:c>
      <x:c r="M6" s="47" t="str">
        <x:v>C-P1-01</x:v>
      </x:c>
      <x:c r="N6" s="47" t="str">
        <x:v>Specific joining day not established.</x:v>
      </x:c>
    </x:row>
    <x:row r="7" ht="39" customHeight="1">
      <x:c r="A7" s="49" t="str">
        <x:v>T02</x:v>
      </x:c>
      <x:c r="B7" s="82" t="str">
        <x:v>Before 1970</x:v>
      </x:c>
      <x:c r="C7" s="82" t="str"/>
      <x:c r="D7" s="50" t="str">
        <x:v>Approximate period</x:v>
      </x:c>
      <x:c r="E7" s="50" t="str">
        <x:v>P1</x:v>
      </x:c>
      <x:c r="F7" s="50" t="str">
        <x:v>Formative organization</x:v>
      </x:c>
      <x:c r="G7" s="50" t="str">
        <x:v>Kerala Students Federation; Kerala State Youth Federation</x:v>
      </x:c>
      <x:c r="H7" s="50" t="str">
        <x:v>Held student and youth leadership roles.</x:v>
      </x:c>
      <x:c r="I7" s="50" t="str">
        <x:v>Provides an organizational pathway into elections.</x:v>
      </x:c>
      <x:c r="J7" s="50" t="str">
        <x:v>Recorded fact</x:v>
      </x:c>
      <x:c r="K7" s="50" t="str">
        <x:v>Interested source only</x:v>
      </x:c>
      <x:c r="L7" s="51" t="str">
        <x:v>S02</x:v>
      </x:c>
      <x:c r="M7" s="50" t="str">
        <x:v>C-P1-07; C-G-01</x:v>
      </x:c>
      <x:c r="N7" s="50" t="str">
        <x:v>Exact office dates not verified.</x:v>
      </x:c>
    </x:row>
    <x:row r="8" ht="39" customHeight="1">
      <x:c r="A8" s="46" t="str">
        <x:v>T03</x:v>
      </x:c>
      <x:c r="B8" s="81" t="n">
        <x:v>1970</x:v>
      </x:c>
      <x:c r="C8" s="81" t="str"/>
      <x:c r="D8" s="47" t="str">
        <x:v>Year</x:v>
      </x:c>
      <x:c r="E8" s="47" t="str">
        <x:v>P1</x:v>
      </x:c>
      <x:c r="F8" s="47" t="str">
        <x:v>Election</x:v>
      </x:c>
      <x:c r="G8" s="47" t="str">
        <x:v>Kuthuparamba / Kerala Assembly</x:v>
      </x:c>
      <x:c r="H8" s="47" t="str">
        <x:v>Won the first of seven verified personal Assembly contests.</x:v>
      </x:c>
      <x:c r="I8" s="47" t="str">
        <x:v>Established a constituency mandate.</x:v>
      </x:c>
      <x:c r="J8" s="47" t="str">
        <x:v>Recorded fact</x:v>
      </x:c>
      <x:c r="K8" s="47" t="str">
        <x:v>Primary record</x:v>
      </x:c>
      <x:c r="L8" s="48" t="str">
        <x:v>S08</x:v>
      </x:c>
      <x:c r="M8" s="47" t="str">
        <x:v>C-P1-03</x:v>
      </x:c>
      <x:c r="N8" s="47" t="str">
        <x:v>See E01 for count and denominator.</x:v>
      </x:c>
    </x:row>
    <x:row r="9" ht="39" customHeight="1">
      <x:c r="A9" s="49" t="str">
        <x:v>T04</x:v>
      </x:c>
      <x:c r="B9" s="82" t="n">
        <x:v>1975</x:v>
      </x:c>
      <x:c r="C9" s="82" t="n">
        <x:v>1977</x:v>
      </x:c>
      <x:c r="D9" s="50" t="str">
        <x:v>Period</x:v>
      </x:c>
      <x:c r="E9" s="50" t="str">
        <x:v>P1</x:v>
      </x:c>
      <x:c r="F9" s="50" t="str">
        <x:v>Detention</x:v>
      </x:c>
      <x:c r="G9" s="50" t="str">
        <x:v>Emergency / Kerala</x:v>
      </x:c>
      <x:c r="H9" s="50" t="str">
        <x:v>Legislature and party biographies record imprisonment and torture.</x:v>
      </x:c>
      <x:c r="I9" s="50" t="str">
        <x:v>Political repression became part of his public career narrative.</x:v>
      </x:c>
      <x:c r="J9" s="58" t="str">
        <x:v>Attributed position</x:v>
      </x:c>
      <x:c r="K9" s="50" t="str">
        <x:v>Primary record</x:v>
      </x:c>
      <x:c r="L9" s="51" t="str">
        <x:v>S01; S02</x:v>
      </x:c>
      <x:c r="M9" s="50" t="str">
        <x:v>C-P1-02; C-G-06</x:v>
      </x:c>
      <x:c r="N9" s="50" t="str">
        <x:v>No original custodial record retrieved; exact detention interval not established.</x:v>
      </x:c>
    </x:row>
    <x:row r="10" ht="39" customHeight="1">
      <x:c r="A10" s="46" t="str">
        <x:v>T05</x:v>
      </x:c>
      <x:c r="B10" s="81" t="n">
        <x:v>1977</x:v>
      </x:c>
      <x:c r="C10" s="81" t="str"/>
      <x:c r="D10" s="47" t="str">
        <x:v>Year</x:v>
      </x:c>
      <x:c r="E10" s="47" t="str">
        <x:v>P1</x:v>
      </x:c>
      <x:c r="F10" s="47" t="str">
        <x:v>Election</x:v>
      </x:c>
      <x:c r="G10" s="47" t="str">
        <x:v>Kuthuparamba / Kerala Assembly</x:v>
      </x:c>
      <x:c r="H10" s="47" t="str">
        <x:v>Won re-election.</x:v>
      </x:c>
      <x:c r="I10" s="47" t="str">
        <x:v>Continued early legislative career.</x:v>
      </x:c>
      <x:c r="J10" s="47" t="str">
        <x:v>Recorded fact</x:v>
      </x:c>
      <x:c r="K10" s="47" t="str">
        <x:v>Primary record</x:v>
      </x:c>
      <x:c r="L10" s="48" t="str">
        <x:v>S09</x:v>
      </x:c>
      <x:c r="M10" s="47" t="str">
        <x:v>C-P1-03</x:v>
      </x:c>
      <x:c r="N10" s="47" t="str">
        <x:v>See E02.</x:v>
      </x:c>
    </x:row>
    <x:row r="11" ht="39" customHeight="1">
      <x:c r="A11" s="49" t="str">
        <x:v>T06</x:v>
      </x:c>
      <x:c r="B11" s="82" t="str">
        <x:v>1980s</x:v>
      </x:c>
      <x:c r="C11" s="82" t="n">
        <x:v>1991</x:v>
      </x:c>
      <x:c r="D11" s="50" t="str">
        <x:v>Approximate phase</x:v>
      </x:c>
      <x:c r="E11" s="50" t="str">
        <x:v>P2</x:v>
      </x:c>
      <x:c r="F11" s="50" t="str">
        <x:v>Organization</x:v>
      </x:c>
      <x:c r="G11" s="50" t="str">
        <x:v>CPI(M) / Kerala</x:v>
      </x:c>
      <x:c r="H11" s="50" t="str">
        <x:v>Worked through party organization before returning to the Assembly in 1991.</x:v>
      </x:c>
      <x:c r="I11" s="50" t="str">
        <x:v>Organizational career continued beyond the early MLA phase.</x:v>
      </x:c>
      <x:c r="J11" s="54" t="str">
        <x:v>Analysis</x:v>
      </x:c>
      <x:c r="K11" s="50" t="str">
        <x:v>Multiple independent sources</x:v>
      </x:c>
      <x:c r="L11" s="51" t="str">
        <x:v>S02; S15; S10</x:v>
      </x:c>
      <x:c r="M11" s="50" t="str">
        <x:v>C-P2-07</x:v>
      </x:c>
      <x:c r="N11" s="50" t="str">
        <x:v>Intermediate appointment chronology remains incomplete.</x:v>
      </x:c>
    </x:row>
    <x:row r="12" ht="39" customHeight="1">
      <x:c r="A12" s="46" t="str">
        <x:v>T07</x:v>
      </x:c>
      <x:c r="B12" s="81" t="n">
        <x:v>1991</x:v>
      </x:c>
      <x:c r="C12" s="81" t="str"/>
      <x:c r="D12" s="47" t="str">
        <x:v>Year</x:v>
      </x:c>
      <x:c r="E12" s="47" t="str">
        <x:v>P2</x:v>
      </x:c>
      <x:c r="F12" s="47" t="str">
        <x:v>Election</x:v>
      </x:c>
      <x:c r="G12" s="47" t="str">
        <x:v>Kuthuparamba / Kerala Assembly</x:v>
      </x:c>
      <x:c r="H12" s="47" t="str">
        <x:v>Returned to the Assembly, defeating P. Ramakrishnan.</x:v>
      </x:c>
      <x:c r="I12" s="47" t="str">
        <x:v>Restored a personal legislative mandate.</x:v>
      </x:c>
      <x:c r="J12" s="47" t="str">
        <x:v>Recorded fact</x:v>
      </x:c>
      <x:c r="K12" s="47" t="str">
        <x:v>Primary record</x:v>
      </x:c>
      <x:c r="L12" s="48" t="str">
        <x:v>S10</x:v>
      </x:c>
      <x:c r="M12" s="47" t="str">
        <x:v>C-P2-03</x:v>
      </x:c>
      <x:c r="N12" s="47" t="str">
        <x:v>Margin is 13,060 in the official candidate table.</x:v>
      </x:c>
    </x:row>
    <x:row r="13" ht="39" customHeight="1">
      <x:c r="A13" s="49" t="str">
        <x:v>T08</x:v>
      </x:c>
      <x:c r="B13" s="82" t="n">
        <x:v>1996</x:v>
      </x:c>
      <x:c r="C13" s="82" t="str"/>
      <x:c r="D13" s="50" t="str">
        <x:v>Year</x:v>
      </x:c>
      <x:c r="E13" s="50" t="str">
        <x:v>P2</x:v>
      </x:c>
      <x:c r="F13" s="50" t="str">
        <x:v>Election</x:v>
      </x:c>
      <x:c r="G13" s="50" t="str">
        <x:v>Payyannur / Kerala Assembly</x:v>
      </x:c>
      <x:c r="H13" s="50" t="str">
        <x:v>Won from a different northern Kerala constituency.</x:v>
      </x:c>
      <x:c r="I13" s="50" t="str">
        <x:v>Linked a constituency shift with entry into the ministry.</x:v>
      </x:c>
      <x:c r="J13" s="50" t="str">
        <x:v>Recorded fact</x:v>
      </x:c>
      <x:c r="K13" s="50" t="str">
        <x:v>Primary record</x:v>
      </x:c>
      <x:c r="L13" s="51" t="str">
        <x:v>S11; S01</x:v>
      </x:c>
      <x:c r="M13" s="50" t="str">
        <x:v>C-P2-03</x:v>
      </x:c>
      <x:c r="N13" s="50" t="str">
        <x:v>See E04 for the report's denominator conflict.</x:v>
      </x:c>
    </x:row>
    <x:row r="14" ht="39" customHeight="1">
      <x:c r="A14" s="46" t="str">
        <x:v>T09</x:v>
      </x:c>
      <x:c r="B14" s="81" t="n">
        <x:v>1996</x:v>
      </x:c>
      <x:c r="C14" s="81" t="n">
        <x:v>1998</x:v>
      </x:c>
      <x:c r="D14" s="47" t="str">
        <x:v>Years</x:v>
      </x:c>
      <x:c r="E14" s="47" t="str">
        <x:v>P2</x:v>
      </x:c>
      <x:c r="F14" s="47" t="str">
        <x:v>Ministerial office</x:v>
      </x:c>
      <x:c r="G14" s="47" t="str">
        <x:v>Government of Kerala</x:v>
      </x:c>
      <x:c r="H14" s="47" t="str">
        <x:v>Served as minister for electricity and cooperation.</x:v>
      </x:c>
      <x:c r="I14" s="47" t="str">
        <x:v>First documented executive portfolio at state level.</x:v>
      </x:c>
      <x:c r="J14" s="47" t="str">
        <x:v>Recorded fact</x:v>
      </x:c>
      <x:c r="K14" s="47" t="str">
        <x:v>Primary record</x:v>
      </x:c>
      <x:c r="L14" s="48" t="str">
        <x:v>S01; S02</x:v>
      </x:c>
      <x:c r="M14" s="47" t="str">
        <x:v>C-P2-02</x:v>
      </x:c>
      <x:c r="N14" s="47" t="str">
        <x:v>Precise swearing-in and exit days not asserted.</x:v>
      </x:c>
    </x:row>
    <x:row r="15" ht="39" customHeight="1">
      <x:c r="A15" s="49" t="str">
        <x:v>T10</x:v>
      </x:c>
      <x:c r="B15" s="82" t="n">
        <x:v>1997</x:v>
      </x:c>
      <x:c r="C15" s="82" t="str"/>
      <x:c r="D15" s="50" t="str">
        <x:v>Year</x:v>
      </x:c>
      <x:c r="E15" s="50" t="str">
        <x:v>P2</x:v>
      </x:c>
      <x:c r="F15" s="50" t="str">
        <x:v>Contract decision</x:v>
      </x:c>
      <x:c r="G15" s="50" t="str">
        <x:v>Electricity ministry / SNC-Lavalin</x:v>
      </x:c>
      <x:c r="H15" s="50" t="str">
        <x:v>The power-project agreement entered a consequential contract stage during his ministry.</x:v>
      </x:c>
      <x:c r="I15" s="50" t="str">
        <x:v>Later became the subject of audit, investigation and litigation.</x:v>
      </x:c>
      <x:c r="J15" s="50" t="str">
        <x:v>Recorded fact</x:v>
      </x:c>
      <x:c r="K15" s="50" t="str">
        <x:v>Multiple independent sources</x:v>
      </x:c>
      <x:c r="L15" s="51" t="str">
        <x:v>S39; S40</x:v>
      </x:c>
      <x:c r="M15" s="50" t="str">
        <x:v>C-P2-04</x:v>
      </x:c>
      <x:c r="N15" s="50" t="str">
        <x:v>See V01; the contract's existence does not establish personal criminal liability.</x:v>
      </x:c>
    </x:row>
    <x:row r="16" ht="39" customHeight="1">
      <x:c r="A16" s="46" t="str">
        <x:v>T11</x:v>
      </x:c>
      <x:c r="B16" s="81" t="n">
        <x:v>1998</x:v>
      </x:c>
      <x:c r="C16" s="81" t="n">
        <x:v>2015</x:v>
      </x:c>
      <x:c r="D16" s="47" t="str">
        <x:v>Years</x:v>
      </x:c>
      <x:c r="E16" s="47" t="str">
        <x:v>P3</x:v>
      </x:c>
      <x:c r="F16" s="47" t="str">
        <x:v>Party office</x:v>
      </x:c>
      <x:c r="G16" s="47" t="str">
        <x:v>CPI(M), Kerala State Committee</x:v>
      </x:c>
      <x:c r="H16" s="47" t="str">
        <x:v>Served as state secretary.</x:v>
      </x:c>
      <x:c r="I16" s="47" t="str">
        <x:v>Long statewide organizational tenure.</x:v>
      </x:c>
      <x:c r="J16" s="47" t="str">
        <x:v>Recorded fact</x:v>
      </x:c>
      <x:c r="K16" s="47" t="str">
        <x:v>Multiple independent sources</x:v>
      </x:c>
      <x:c r="L16" s="48" t="str">
        <x:v>S01; S02; S16</x:v>
      </x:c>
      <x:c r="M16" s="47" t="str">
        <x:v>C-P3-07</x:v>
      </x:c>
      <x:c r="N16" s="47" t="str">
        <x:v>Exact transfer dates not verified.</x:v>
      </x:c>
    </x:row>
    <x:row r="17" ht="39" customHeight="1">
      <x:c r="A17" s="49" t="str">
        <x:v>T12</x:v>
      </x:c>
      <x:c r="B17" s="82" t="n">
        <x:v>2002</x:v>
      </x:c>
      <x:c r="C17" s="82" t="str"/>
      <x:c r="D17" s="50" t="str">
        <x:v>Year</x:v>
      </x:c>
      <x:c r="E17" s="50" t="str">
        <x:v>P3</x:v>
      </x:c>
      <x:c r="F17" s="50" t="str">
        <x:v>Party office</x:v>
      </x:c>
      <x:c r="G17" s="50" t="str">
        <x:v>CPI(M) Politburo</x:v>
      </x:c>
      <x:c r="H17" s="50" t="str">
        <x:v>Elected to the Politburo.</x:v>
      </x:c>
      <x:c r="I17" s="50" t="str">
        <x:v>Connected state organization with national party leadership.</x:v>
      </x:c>
      <x:c r="J17" s="50" t="str">
        <x:v>Recorded fact</x:v>
      </x:c>
      <x:c r="K17" s="50" t="str">
        <x:v>Interested source only</x:v>
      </x:c>
      <x:c r="L17" s="51" t="str">
        <x:v>S02</x:v>
      </x:c>
      <x:c r="M17" s="50" t="str">
        <x:v>C-P3-09</x:v>
      </x:c>
      <x:c r="N17" s="50" t="str">
        <x:v>Membership later interrupted in 2007.</x:v>
      </x:c>
    </x:row>
    <x:row r="18" ht="39" customHeight="1">
      <x:c r="A18" s="46" t="str">
        <x:v>T13</x:v>
      </x:c>
      <x:c r="B18" s="83" t="n">
        <x:v>39228</x:v>
      </x:c>
      <x:c r="C18" s="81" t="str"/>
      <x:c r="D18" s="47" t="str">
        <x:v>Day</x:v>
      </x:c>
      <x:c r="E18" s="47" t="str">
        <x:v>P3</x:v>
      </x:c>
      <x:c r="F18" s="47" t="str">
        <x:v>Party discipline</x:v>
      </x:c>
      <x:c r="G18" s="47" t="str">
        <x:v>CPI(M) Politburo</x:v>
      </x:c>
      <x:c r="H18" s="47" t="str">
        <x:v>Vijayan and V. S. Achuthanandan were suspended from the Politburo after public differences.</x:v>
      </x:c>
      <x:c r="I18" s="47" t="str">
        <x:v>Shows national-party constraints on rival state leaders.</x:v>
      </x:c>
      <x:c r="J18" s="47" t="str">
        <x:v>Recorded fact</x:v>
      </x:c>
      <x:c r="K18" s="47" t="str">
        <x:v>Single credible source</x:v>
      </x:c>
      <x:c r="L18" s="48" t="str">
        <x:v>S54</x:v>
      </x:c>
      <x:c r="M18" s="47" t="str">
        <x:v>C-P3-01; C-P3-06</x:v>
      </x:c>
      <x:c r="N18" s="47" t="str">
        <x:v>This was a party sanction; other roles were distinct.</x:v>
      </x:c>
    </x:row>
    <x:row r="19" ht="39" customHeight="1">
      <x:c r="A19" s="49" t="str">
        <x:v>T14</x:v>
      </x:c>
      <x:c r="B19" s="82" t="str">
        <x:v>After May 2007</x:v>
      </x:c>
      <x:c r="C19" s="82" t="str">
        <x:v>By 2009</x:v>
      </x:c>
      <x:c r="D19" s="50" t="str">
        <x:v>Bounded but imprecise</x:v>
      </x:c>
      <x:c r="E19" s="50" t="str">
        <x:v>P3</x:v>
      </x:c>
      <x:c r="F19" s="50" t="str">
        <x:v>Party office</x:v>
      </x:c>
      <x:c r="G19" s="50" t="str">
        <x:v>CPI(M) Politburo</x:v>
      </x:c>
      <x:c r="H19" s="50" t="str">
        <x:v>Resumed Politburo membership after suspension.</x:v>
      </x:c>
      <x:c r="I19" s="50" t="str">
        <x:v>Restoration of national party role.</x:v>
      </x:c>
      <x:c r="J19" s="50" t="str">
        <x:v>Recorded fact</x:v>
      </x:c>
      <x:c r="K19" s="50" t="str">
        <x:v>Multiple independent sources</x:v>
      </x:c>
      <x:c r="L19" s="51" t="str">
        <x:v>S16; S02</x:v>
      </x:c>
      <x:c r="M19" s="50" t="str">
        <x:v>C-P3-07</x:v>
      </x:c>
      <x:c r="N19" s="50" t="str">
        <x:v>Exact reinstatement date not verified.</x:v>
      </x:c>
    </x:row>
    <x:row r="20" ht="39" customHeight="1">
      <x:c r="A20" s="46" t="str">
        <x:v>T33</x:v>
      </x:c>
      <x:c r="B20" s="81" t="n">
        <x:v>2012</x:v>
      </x:c>
      <x:c r="C20" s="81" t="str"/>
      <x:c r="D20" s="47" t="str">
        <x:v>Year</x:v>
      </x:c>
      <x:c r="E20" s="47" t="str">
        <x:v>P3</x:v>
      </x:c>
      <x:c r="F20" s="47" t="str">
        <x:v>Political violence / accountability</x:v>
      </x:c>
      <x:c r="G20" s="47" t="str">
        <x:v>T. P. Chandrasekharan murder / northern Kerala</x:v>
      </x:c>
      <x:c r="H20" s="47" t="str">
        <x:v>Killing of the CPI(M) rebel and RMP founder became a major party-accountability issue.</x:v>
      </x:c>
      <x:c r="I20" s="47" t="str">
        <x:v>Later convictions of others and prison-policy controversy sustained public scrutiny.</x:v>
      </x:c>
      <x:c r="J20" s="47" t="str">
        <x:v>Recorded fact</x:v>
      </x:c>
      <x:c r="K20" s="47" t="str">
        <x:v>Multiple independent sources</x:v>
      </x:c>
      <x:c r="L20" s="48" t="str">
        <x:v>S60; S61</x:v>
      </x:c>
      <x:c r="M20" s="47" t="str">
        <x:v>C-P3-08</x:v>
      </x:c>
      <x:c r="N20" s="47" t="str">
        <x:v>Vijayan was state secretary; no personal conviction or responsibility for the murder is asserted. See V11.</x:v>
      </x:c>
    </x:row>
    <x:row r="21" ht="39" customHeight="1">
      <x:c r="A21" s="49" t="str">
        <x:v>T15</x:v>
      </x:c>
      <x:c r="B21" s="82" t="n">
        <x:v>2013</x:v>
      </x:c>
      <x:c r="C21" s="82" t="str"/>
      <x:c r="D21" s="50" t="str">
        <x:v>Year</x:v>
      </x:c>
      <x:c r="E21" s="50" t="str">
        <x:v>P3</x:v>
      </x:c>
      <x:c r="F21" s="50" t="str">
        <x:v>Judicial disposition</x:v>
      </x:c>
      <x:c r="G21" s="50" t="str">
        <x:v>Special CBI Court / SNC-Lavalin</x:v>
      </x:c>
      <x:c r="H21" s="50" t="str">
        <x:v>Court discharged Vijayan in the SNC-Lavalin matter.</x:v>
      </x:c>
      <x:c r="I21" s="50" t="str">
        <x:v>A procedural/legal outcome distinct from political debate.</x:v>
      </x:c>
      <x:c r="J21" s="50" t="str">
        <x:v>Recorded fact</x:v>
      </x:c>
      <x:c r="K21" s="50" t="str">
        <x:v>Multiple independent sources</x:v>
      </x:c>
      <x:c r="L21" s="51" t="str">
        <x:v>S39; S40</x:v>
      </x:c>
      <x:c r="M21" s="50" t="str">
        <x:v>C-P3-02</x:v>
      </x:c>
      <x:c r="N21" s="50" t="str">
        <x:v>Original order not retrieved; see V01.</x:v>
      </x:c>
    </x:row>
    <x:row r="22" ht="39" customHeight="1">
      <x:c r="A22" s="46" t="str">
        <x:v>T16</x:v>
      </x:c>
      <x:c r="B22" s="81" t="n">
        <x:v>2015</x:v>
      </x:c>
      <x:c r="C22" s="81" t="str"/>
      <x:c r="D22" s="47" t="str">
        <x:v>Year</x:v>
      </x:c>
      <x:c r="E22" s="47" t="str">
        <x:v>P3</x:v>
      </x:c>
      <x:c r="F22" s="47" t="str">
        <x:v>Party transition</x:v>
      </x:c>
      <x:c r="G22" s="47" t="str">
        <x:v>CPI(M), Kerala State Committee</x:v>
      </x:c>
      <x:c r="H22" s="47" t="str">
        <x:v>State-secretary tenure ended.</x:v>
      </x:c>
      <x:c r="I22" s="47" t="str">
        <x:v>Transition away from the long organizational post.</x:v>
      </x:c>
      <x:c r="J22" s="47" t="str">
        <x:v>Recorded fact</x:v>
      </x:c>
      <x:c r="K22" s="47" t="str">
        <x:v>Multiple independent sources</x:v>
      </x:c>
      <x:c r="L22" s="48" t="str">
        <x:v>S01; S16</x:v>
      </x:c>
      <x:c r="M22" s="47" t="str">
        <x:v>C-P3-07</x:v>
      </x:c>
      <x:c r="N22" s="47" t="str">
        <x:v>Successor chronology not reconstructed here.</x:v>
      </x:c>
    </x:row>
    <x:row r="23" ht="39" customHeight="1">
      <x:c r="A23" s="49" t="str">
        <x:v>T17</x:v>
      </x:c>
      <x:c r="B23" s="84" t="n">
        <x:v>42515</x:v>
      </x:c>
      <x:c r="C23" s="82" t="str"/>
      <x:c r="D23" s="50" t="str">
        <x:v>Day</x:v>
      </x:c>
      <x:c r="E23" s="50" t="str">
        <x:v>P4</x:v>
      </x:c>
      <x:c r="F23" s="50" t="str">
        <x:v>Government formation</x:v>
      </x:c>
      <x:c r="G23" s="50" t="str">
        <x:v>Government of Kerala</x:v>
      </x:c>
      <x:c r="H23" s="50" t="str">
        <x:v>Sworn in as chief minister after the LDF's Assembly victory.</x:v>
      </x:c>
      <x:c r="I23" s="50" t="str">
        <x:v>Start of a decade at the head of the state government.</x:v>
      </x:c>
      <x:c r="J23" s="50" t="str">
        <x:v>Recorded fact</x:v>
      </x:c>
      <x:c r="K23" s="50" t="str">
        <x:v>Multiple independent sources</x:v>
      </x:c>
      <x:c r="L23" s="51" t="str">
        <x:v>S55; S12</x:v>
      </x:c>
      <x:c r="M23" s="50" t="str">
        <x:v>C-P4-01</x:v>
      </x:c>
      <x:c r="N23" s="50" t="str">
        <x:v>Personal victory is E05; coalition victory is a separate claim.</x:v>
      </x:c>
    </x:row>
    <x:row r="24" ht="39" customHeight="1">
      <x:c r="A24" s="46" t="str">
        <x:v>T18</x:v>
      </x:c>
      <x:c r="B24" s="81" t="str">
        <x:v>2017-02</x:v>
      </x:c>
      <x:c r="C24" s="81" t="str"/>
      <x:c r="D24" s="47" t="str">
        <x:v>Month</x:v>
      </x:c>
      <x:c r="E24" s="47" t="str">
        <x:v>P4</x:v>
      </x:c>
      <x:c r="F24" s="47" t="str">
        <x:v>Policy launch</x:v>
      </x:c>
      <x:c r="G24" s="47" t="str">
        <x:v>Aardram / National Health Mission</x:v>
      </x:c>
      <x:c r="H24" s="47" t="str">
        <x:v>Aardram began as a primary-care transformation mission.</x:v>
      </x:c>
      <x:c r="I24" s="47" t="str">
        <x:v>Expanded the mission-based approach to public services.</x:v>
      </x:c>
      <x:c r="J24" s="47" t="str">
        <x:v>Recorded fact</x:v>
      </x:c>
      <x:c r="K24" s="47" t="str">
        <x:v>Primary record</x:v>
      </x:c>
      <x:c r="L24" s="48" t="str">
        <x:v>S20</x:v>
      </x:c>
      <x:c r="M24" s="47" t="str">
        <x:v>C-P4-09</x:v>
      </x:c>
      <x:c r="N24" s="47" t="str">
        <x:v>Inherited local-government health responsibilities predate this government.</x:v>
      </x:c>
    </x:row>
    <x:row r="25" ht="39" customHeight="1">
      <x:c r="A25" s="49" t="str">
        <x:v>T19</x:v>
      </x:c>
      <x:c r="B25" s="84" t="n">
        <x:v>42970</x:v>
      </x:c>
      <x:c r="C25" s="82" t="str"/>
      <x:c r="D25" s="50" t="str">
        <x:v>Day</x:v>
      </x:c>
      <x:c r="E25" s="50" t="str">
        <x:v>P4</x:v>
      </x:c>
      <x:c r="F25" s="50" t="str">
        <x:v>Judicial disposition</x:v>
      </x:c>
      <x:c r="G25" s="50" t="str">
        <x:v>Kerala High Court / SNC-Lavalin</x:v>
      </x:c>
      <x:c r="H25" s="50" t="str">
        <x:v>High Court upheld Vijayan's discharge.</x:v>
      </x:c>
      <x:c r="I25" s="50" t="str">
        <x:v>CBI subsequently pursued an appeal.</x:v>
      </x:c>
      <x:c r="J25" s="50" t="str">
        <x:v>Recorded fact</x:v>
      </x:c>
      <x:c r="K25" s="50" t="str">
        <x:v>Multiple independent sources</x:v>
      </x:c>
      <x:c r="L25" s="51" t="str">
        <x:v>S39; S40; S41</x:v>
      </x:c>
      <x:c r="M25" s="50" t="str">
        <x:v>C-P4-02</x:v>
      </x:c>
      <x:c r="N25" s="50" t="str">
        <x:v>Later appeal disposal not verified.</x:v>
      </x:c>
    </x:row>
    <x:row r="26" ht="39" customHeight="1">
      <x:c r="A26" s="46" t="str">
        <x:v>T20</x:v>
      </x:c>
      <x:c r="B26" s="81" t="str">
        <x:v>2018-06</x:v>
      </x:c>
      <x:c r="C26" s="81" t="str">
        <x:v>2018-08</x:v>
      </x:c>
      <x:c r="D26" s="47" t="str">
        <x:v>Months</x:v>
      </x:c>
      <x:c r="E26" s="47" t="str">
        <x:v>P4</x:v>
      </x:c>
      <x:c r="F26" s="47" t="str">
        <x:v>Disaster</x:v>
      </x:c>
      <x:c r="G26" s="47" t="str">
        <x:v>Kerala floods / Government and UN partners</x:v>
      </x:c>
      <x:c r="H26" s="47" t="str">
        <x:v>Severe flooding led to a joint post-disaster needs assessment.</x:v>
      </x:c>
      <x:c r="I26" s="47" t="str">
        <x:v>Recovery demanded coordination across institutions and affected districts.</x:v>
      </x:c>
      <x:c r="J26" s="47" t="str">
        <x:v>Recorded fact</x:v>
      </x:c>
      <x:c r="K26" s="47" t="str">
        <x:v>Primary record</x:v>
      </x:c>
      <x:c r="L26" s="48" t="str">
        <x:v>S22</x:v>
      </x:c>
      <x:c r="M26" s="47" t="str">
        <x:v>C-P4-05; C-P4-09</x:v>
      </x:c>
      <x:c r="N26" s="47" t="str">
        <x:v>Estimated recovery need is not completed expenditure.</x:v>
      </x:c>
    </x:row>
    <x:row r="27" ht="39" customHeight="1">
      <x:c r="A27" s="49" t="str">
        <x:v>T21</x:v>
      </x:c>
      <x:c r="B27" s="84" t="n">
        <x:v>43466</x:v>
      </x:c>
      <x:c r="C27" s="82" t="str"/>
      <x:c r="D27" s="50" t="str">
        <x:v>Day</x:v>
      </x:c>
      <x:c r="E27" s="50" t="str">
        <x:v>P4</x:v>
      </x:c>
      <x:c r="F27" s="50" t="str">
        <x:v>Public mobilization</x:v>
      </x:c>
      <x:c r="G27" s="50" t="str">
        <x:v>Women's Wall / Kerala</x:v>
      </x:c>
      <x:c r="H27" s="50" t="str">
        <x:v>Government-backed equality mobilization accompanied the Sabarimala dispute.</x:v>
      </x:c>
      <x:c r="I27" s="50" t="str">
        <x:v>A major gender-and-religion episode of the first term.</x:v>
      </x:c>
      <x:c r="J27" s="54" t="str">
        <x:v>Recorded fact</x:v>
      </x:c>
      <x:c r="K27" s="50" t="str">
        <x:v>Multiple independent sources</x:v>
      </x:c>
      <x:c r="L27" s="51" t="str">
        <x:v>S46; S47</x:v>
      </x:c>
      <x:c r="M27" s="50" t="str">
        <x:v>C-G-07; C-P4-08</x:v>
      </x:c>
      <x:c r="N27" s="50" t="str">
        <x:v>No independent participant count used.</x:v>
      </x:c>
    </x:row>
    <x:row r="28" ht="39" customHeight="1">
      <x:c r="A28" s="46" t="str">
        <x:v>T22</x:v>
      </x:c>
      <x:c r="B28" s="81" t="n">
        <x:v>2020</x:v>
      </x:c>
      <x:c r="C28" s="81" t="str"/>
      <x:c r="D28" s="47" t="str">
        <x:v>Year</x:v>
      </x:c>
      <x:c r="E28" s="47" t="str">
        <x:v>P4</x:v>
      </x:c>
      <x:c r="F28" s="47" t="str">
        <x:v>Crisis and accountability</x:v>
      </x:c>
      <x:c r="G28" s="47" t="str">
        <x:v>COVID response / Kerala government</x:v>
      </x:c>
      <x:c r="H28" s="47" t="str">
        <x:v>Pandemic administration included contested data-management decisions and public communication.</x:v>
      </x:c>
      <x:c r="I28" s="47" t="str">
        <x:v>Crisis authority faced privacy and oversight questions.</x:v>
      </x:c>
      <x:c r="J28" s="47" t="str">
        <x:v>Analysis</x:v>
      </x:c>
      <x:c r="K28" s="47" t="str">
        <x:v>Multiple independent sources</x:v>
      </x:c>
      <x:c r="L28" s="48" t="str">
        <x:v>S48; S49; S52</x:v>
      </x:c>
      <x:c r="M28" s="47" t="str">
        <x:v>C-P4-02; C-P4-06</x:v>
      </x:c>
      <x:c r="N28" s="47" t="str">
        <x:v>See P03 and V05; health outcomes require separate evaluation.</x:v>
      </x:c>
    </x:row>
    <x:row r="29" ht="39" customHeight="1">
      <x:c r="A29" s="49" t="str">
        <x:v>T23</x:v>
      </x:c>
      <x:c r="B29" s="82" t="n">
        <x:v>2021</x:v>
      </x:c>
      <x:c r="C29" s="82" t="str"/>
      <x:c r="D29" s="50" t="str">
        <x:v>Year</x:v>
      </x:c>
      <x:c r="E29" s="50" t="str">
        <x:v>P5</x:v>
      </x:c>
      <x:c r="F29" s="50" t="str">
        <x:v>Election and government formation</x:v>
      </x:c>
      <x:c r="G29" s="50" t="str">
        <x:v>LDF / Government of Kerala</x:v>
      </x:c>
      <x:c r="H29" s="50" t="str">
        <x:v>Won Dharmadam again; a second government formed with a renewed cabinet.</x:v>
      </x:c>
      <x:c r="I29" s="50" t="str">
        <x:v>Continuity at the top coincided with broad ministerial replacement.</x:v>
      </x:c>
      <x:c r="J29" s="50" t="str">
        <x:v>Recorded fact</x:v>
      </x:c>
      <x:c r="K29" s="50" t="str">
        <x:v>Multiple independent sources</x:v>
      </x:c>
      <x:c r="L29" s="51" t="str">
        <x:v>S13; S18; S19</x:v>
      </x:c>
      <x:c r="M29" s="50" t="str">
        <x:v>C-P5-01; C-P5-07; C-G-04</x:v>
      </x:c>
      <x:c r="N29" s="50" t="str">
        <x:v>Cabinet renewal rationale is attributed, not inferred.</x:v>
      </x:c>
    </x:row>
    <x:row r="30" ht="39" customHeight="1">
      <x:c r="A30" s="46" t="str">
        <x:v>T24</x:v>
      </x:c>
      <x:c r="B30" s="81" t="str">
        <x:v>2024-06</x:v>
      </x:c>
      <x:c r="C30" s="81" t="str"/>
      <x:c r="D30" s="47" t="str">
        <x:v>Month</x:v>
      </x:c>
      <x:c r="E30" s="47" t="str">
        <x:v>P5</x:v>
      </x:c>
      <x:c r="F30" s="47" t="str">
        <x:v>National-election setback</x:v>
      </x:c>
      <x:c r="G30" s="47" t="str">
        <x:v>Kerala Lok Sabha contests</x:v>
      </x:c>
      <x:c r="H30" s="47" t="str">
        <x:v>The LDF suffered a major Lok Sabha setback; Vijayan rejected calls to resign.</x:v>
      </x:c>
      <x:c r="I30" s="47" t="str">
        <x:v>Demonstrated a difference between national and state electoral arenas.</x:v>
      </x:c>
      <x:c r="J30" s="47" t="str">
        <x:v>Recorded fact</x:v>
      </x:c>
      <x:c r="K30" s="47" t="str">
        <x:v>Single credible source</x:v>
      </x:c>
      <x:c r="L30" s="48" t="str">
        <x:v>S38</x:v>
      </x:c>
      <x:c r="M30" s="47" t="str">
        <x:v>C-P5-01</x:v>
      </x:c>
      <x:c r="N30" s="47" t="str">
        <x:v>He was not a personal contestant in these Lok Sabha elections.</x:v>
      </x:c>
    </x:row>
    <x:row r="31" ht="39" customHeight="1">
      <x:c r="A31" s="49" t="str">
        <x:v>T25</x:v>
      </x:c>
      <x:c r="B31" s="84" t="n">
        <x:v>45503</x:v>
      </x:c>
      <x:c r="C31" s="82" t="str"/>
      <x:c r="D31" s="50" t="str">
        <x:v>Day</x:v>
      </x:c>
      <x:c r="E31" s="50" t="str">
        <x:v>P5</x:v>
      </x:c>
      <x:c r="F31" s="50" t="str">
        <x:v>Disaster</x:v>
      </x:c>
      <x:c r="G31" s="50" t="str">
        <x:v>Wayanad / Kerala</x:v>
      </x:c>
      <x:c r="H31" s="50" t="str">
        <x:v>Destructive landslides created another major disaster-response challenge.</x:v>
      </x:c>
      <x:c r="I31" s="50" t="str">
        <x:v>Risk involved environmental exposure as well as state preparedness and recovery duties.</x:v>
      </x:c>
      <x:c r="J31" s="50" t="str">
        <x:v>Recorded fact</x:v>
      </x:c>
      <x:c r="K31" s="50" t="str">
        <x:v>Single credible source</x:v>
      </x:c>
      <x:c r="L31" s="51" t="str">
        <x:v>S56</x:v>
      </x:c>
      <x:c r="M31" s="50" t="str">
        <x:v>C-P5-05</x:v>
      </x:c>
      <x:c r="N31" s="50" t="str">
        <x:v>No isolated personal causal attribution made.</x:v>
      </x:c>
    </x:row>
    <x:row r="32" ht="39" customHeight="1">
      <x:c r="A32" s="46" t="str">
        <x:v>T26</x:v>
      </x:c>
      <x:c r="B32" s="83" t="n">
        <x:v>45523</x:v>
      </x:c>
      <x:c r="C32" s="81" t="str"/>
      <x:c r="D32" s="47" t="str">
        <x:v>Day</x:v>
      </x:c>
      <x:c r="E32" s="47" t="str">
        <x:v>P5</x:v>
      </x:c>
      <x:c r="F32" s="47" t="str">
        <x:v>Disclosure and accountability</x:v>
      </x:c>
      <x:c r="G32" s="47" t="str">
        <x:v>Hema Committee / Kerala government</x:v>
      </x:c>
      <x:c r="H32" s="47" t="str">
        <x:v>Redacted Hema report made public after its 2019 submission.</x:v>
      </x:c>
      <x:c r="I32" s="47" t="str">
        <x:v>Renewed debate over women's safety and governmental delay.</x:v>
      </x:c>
      <x:c r="J32" s="58" t="str">
        <x:v>Recorded fact</x:v>
      </x:c>
      <x:c r="K32" s="47" t="str">
        <x:v>Multiple independent sources</x:v>
      </x:c>
      <x:c r="L32" s="48" t="str">
        <x:v>S44; S45</x:v>
      </x:c>
      <x:c r="M32" s="47" t="str">
        <x:v>C-G-08; C-P5-08</x:v>
      </x:c>
      <x:c r="N32" s="47" t="str">
        <x:v>Disclosure and implementation of recommendations are separate.</x:v>
      </x:c>
    </x:row>
    <x:row r="33" ht="39" customHeight="1">
      <x:c r="A33" s="49" t="str">
        <x:v>T27</x:v>
      </x:c>
      <x:c r="B33" s="84" t="n">
        <x:v>45962</x:v>
      </x:c>
      <x:c r="C33" s="82" t="str"/>
      <x:c r="D33" s="50" t="str">
        <x:v>Day</x:v>
      </x:c>
      <x:c r="E33" s="50" t="str">
        <x:v>P5</x:v>
      </x:c>
      <x:c r="F33" s="50" t="str">
        <x:v>Welfare declaration</x:v>
      </x:c>
      <x:c r="G33" s="50" t="str">
        <x:v>Extreme Poverty Eradication Programme</x:v>
      </x:c>
      <x:c r="H33" s="50" t="str">
        <x:v>Government declared its identified extreme-poverty programme completed.</x:v>
      </x:c>
      <x:c r="I33" s="50" t="str">
        <x:v>The administrative definition and coverage became central to debate.</x:v>
      </x:c>
      <x:c r="J33" s="50" t="str">
        <x:v>Attributed position</x:v>
      </x:c>
      <x:c r="K33" s="50" t="str">
        <x:v>Interested source only</x:v>
      </x:c>
      <x:c r="L33" s="51" t="str">
        <x:v>S32</x:v>
      </x:c>
      <x:c r="M33" s="50" t="str">
        <x:v>C-P5-08</x:v>
      </x:c>
      <x:c r="N33" s="50" t="str">
        <x:v>Not a finding that all monetary or multidimensional poverty ceased.</x:v>
      </x:c>
    </x:row>
    <x:row r="34" ht="39" customHeight="1">
      <x:c r="A34" s="46" t="str">
        <x:v>T28</x:v>
      </x:c>
      <x:c r="B34" s="83" t="n">
        <x:v>46146</x:v>
      </x:c>
      <x:c r="C34" s="81" t="str"/>
      <x:c r="D34" s="47" t="str">
        <x:v>Day</x:v>
      </x:c>
      <x:c r="E34" s="47" t="str">
        <x:v>P5–P6</x:v>
      </x:c>
      <x:c r="F34" s="47" t="str">
        <x:v>Election reversal and resignation</x:v>
      </x:c>
      <x:c r="G34" s="47" t="str">
        <x:v>Government of Kerala</x:v>
      </x:c>
      <x:c r="H34" s="47" t="str">
        <x:v>After the LDF's defeat he tendered resignation; governor requested caretaker continuation.</x:v>
      </x:c>
      <x:c r="I34" s="47" t="str">
        <x:v>Executive transition followed despite his own constituency victory.</x:v>
      </x:c>
      <x:c r="J34" s="47" t="str">
        <x:v>Recorded fact</x:v>
      </x:c>
      <x:c r="K34" s="47" t="str">
        <x:v>Multiple independent sources</x:v>
      </x:c>
      <x:c r="L34" s="48" t="str">
        <x:v>S06; S14; S37</x:v>
      </x:c>
      <x:c r="M34" s="47" t="str">
        <x:v>C-P6-01</x:v>
      </x:c>
      <x:c r="N34" s="47" t="str">
        <x:v>Resignation differs from successor's swearing-in.</x:v>
      </x:c>
    </x:row>
    <x:row r="35" ht="39" customHeight="1">
      <x:c r="A35" s="49" t="str">
        <x:v>T29</x:v>
      </x:c>
      <x:c r="B35" s="84" t="n">
        <x:v>46156</x:v>
      </x:c>
      <x:c r="C35" s="82" t="str"/>
      <x:c r="D35" s="50" t="str">
        <x:v>Day of party selection</x:v>
      </x:c>
      <x:c r="E35" s="50" t="str">
        <x:v>P6</x:v>
      </x:c>
      <x:c r="F35" s="50" t="str">
        <x:v>Opposition leadership</x:v>
      </x:c>
      <x:c r="G35" s="50" t="str">
        <x:v>CPI(M) legislature party</x:v>
      </x:c>
      <x:c r="H35" s="50" t="str">
        <x:v>Selected to lead the party's Assembly opposition.</x:v>
      </x:c>
      <x:c r="I35" s="50" t="str">
        <x:v>Current Assembly record confirms Leader of Opposition.</x:v>
      </x:c>
      <x:c r="J35" s="50" t="str">
        <x:v>Recorded fact</x:v>
      </x:c>
      <x:c r="K35" s="50" t="str">
        <x:v>Multiple independent sources</x:v>
      </x:c>
      <x:c r="L35" s="51" t="str">
        <x:v>S03; S01</x:v>
      </x:c>
      <x:c r="M35" s="50" t="str">
        <x:v>C-P6-02; C-P6-09</x:v>
      </x:c>
      <x:c r="N35" s="50" t="str">
        <x:v>Exact formal recognition date not verified.</x:v>
      </x:c>
    </x:row>
    <x:row r="36" ht="39" customHeight="1">
      <x:c r="A36" s="46" t="str">
        <x:v>T30</x:v>
      </x:c>
      <x:c r="B36" s="83" t="n">
        <x:v>46160</x:v>
      </x:c>
      <x:c r="C36" s="81" t="str"/>
      <x:c r="D36" s="47" t="str">
        <x:v>Day</x:v>
      </x:c>
      <x:c r="E36" s="47" t="str">
        <x:v>P6</x:v>
      </x:c>
      <x:c r="F36" s="47" t="str">
        <x:v>Executive handover</x:v>
      </x:c>
      <x:c r="G36" s="47" t="str">
        <x:v>Government of Kerala</x:v>
      </x:c>
      <x:c r="H36" s="47" t="str">
        <x:v>V. D. Satheesan took office as chief minister.</x:v>
      </x:c>
      <x:c r="I36" s="47" t="str">
        <x:v>End of Vijayan's caretaker continuation.</x:v>
      </x:c>
      <x:c r="J36" s="47" t="str">
        <x:v>Recorded fact</x:v>
      </x:c>
      <x:c r="K36" s="47" t="str">
        <x:v>Multiple independent sources</x:v>
      </x:c>
      <x:c r="L36" s="48" t="str">
        <x:v>S05; S04; S06</x:v>
      </x:c>
      <x:c r="M36" s="47" t="str">
        <x:v>C-P6-02</x:v>
      </x:c>
      <x:c r="N36" s="47" t="str">
        <x:v>Use this handover separately from 4 May resignation.</x:v>
      </x:c>
    </x:row>
    <x:row r="37" ht="39" customHeight="1">
      <x:c r="A37" s="49" t="str">
        <x:v>T31</x:v>
      </x:c>
      <x:c r="B37" s="84" t="n">
        <x:v>46196</x:v>
      </x:c>
      <x:c r="C37" s="82" t="str"/>
      <x:c r="D37" s="50" t="str">
        <x:v>Day</x:v>
      </x:c>
      <x:c r="E37" s="50" t="str">
        <x:v>P6</x:v>
      </x:c>
      <x:c r="F37" s="50" t="str">
        <x:v>Audit publication</x:v>
      </x:c>
      <x:c r="G37" s="50" t="str">
        <x:v>CAG / Kerala Assembly</x:v>
      </x:c>
      <x:c r="H37" s="50" t="str">
        <x:v>FY2024–25 state-finances audit was tabled.</x:v>
      </x:c>
      <x:c r="I37" s="50" t="str">
        <x:v>Later publication assessed accounts from the previous government.</x:v>
      </x:c>
      <x:c r="J37" s="52" t="str">
        <x:v>Recorded fact</x:v>
      </x:c>
      <x:c r="K37" s="50" t="str">
        <x:v>Primary record</x:v>
      </x:c>
      <x:c r="L37" s="51" t="str">
        <x:v>S29; S59</x:v>
      </x:c>
      <x:c r="M37" s="50" t="str">
        <x:v>C-P5-10</x:v>
      </x:c>
      <x:c r="N37" s="50" t="str">
        <x:v>Audit findings are not criminal judgments.</x:v>
      </x:c>
    </x:row>
    <x:row r="38" ht="52.5" customHeight="1">
      <x:c r="A38" s="74" t="str">
        <x:v>T32</x:v>
      </x:c>
      <x:c r="B38" s="85" t="n">
        <x:v>46274</x:v>
      </x:c>
      <x:c r="C38" s="85" t="n">
        <x:v>46275</x:v>
      </x:c>
      <x:c r="D38" s="71" t="str">
        <x:v>Latest verified reporting</x:v>
      </x:c>
      <x:c r="E38" s="71" t="str">
        <x:v>P6</x:v>
      </x:c>
      <x:c r="F38" s="71" t="str">
        <x:v>Investigation-related development</x:v>
      </x:c>
      <x:c r="G38" s="71" t="str">
        <x:v>ED recommendation / Kerala government</x:v>
      </x:c>
      <x:c r="H38" s="71" t="str">
        <x:v>ED sought an FIR in the Exalogic-related matter; the state announced legal scrutiny and Vijayan denied wrongdoing.</x:v>
      </x:c>
      <x:c r="I38" s="71" t="str">
        <x:v>A new accountability development with no later disposition verified here.</x:v>
      </x:c>
      <x:c r="J38" s="71" t="str">
        <x:v>Disputed/uncertain</x:v>
      </x:c>
      <x:c r="K38" s="71" t="str">
        <x:v>Multiple independent sources</x:v>
      </x:c>
      <x:c r="L38" s="76" t="str">
        <x:v>S42; S43</x:v>
      </x:c>
      <x:c r="M38" s="71" t="str">
        <x:v>C-P6-10</x:v>
      </x:c>
      <x:c r="N38" s="71" t="str">
        <x:v>Recommendation must not be reported as an already registered FIR or conviction.</x:v>
      </x:c>
    </x:row>
  </x:sheetData>
  <x:pageMargins left="0.7" right="0.7" top="0.75" bottom="0.75" header="0.3" footer="0.3"/>
  <x:tableParts count="1">
    <x:tablePart xmlns:r="http://schemas.openxmlformats.org/officeDocument/2006/relationships" r:id="R2a8c924e49914276"/>
  </x:tableParts>
</x:worksheet>
</file>

<file path=xl/worksheets/sheet4.xml><?xml version="1.0" encoding="utf-8"?>
<x:worksheet xmlns:x="http://schemas.openxmlformats.org/spreadsheetml/2006/main">
  <x:sheetPr>
    <x:tabColor rgb="FF0D6B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24" hidden="0" customWidth="1"/>
    <x:col min="5" max="5" width="24" hidden="0" customWidth="1"/>
    <x:col min="6" max="6" width="15" hidden="0" customWidth="1"/>
    <x:col min="7" max="7" width="19" hidden="0" customWidth="1"/>
    <x:col min="8" max="8" width="32" hidden="0" customWidth="1"/>
    <x:col min="9" max="9" width="20" hidden="0" customWidth="1"/>
    <x:col min="10" max="10" width="20" hidden="0" customWidth="1"/>
    <x:col min="11" max="11" width="23" hidden="0" customWidth="1"/>
    <x:col min="12" max="12" width="22" hidden="0" customWidth="1"/>
    <x:col min="13" max="13" width="24" hidden="0" customWidth="1"/>
    <x:col min="14" max="14" width="38" hidden="0" customWidth="1"/>
    <x:col min="15" max="15" width="17" hidden="0" customWidth="1"/>
    <x:col min="16" max="16" width="24" hidden="0" customWidth="1"/>
    <x:col min="17" max="17" width="28" hidden="0" customWidth="1"/>
    <x:col min="18" max="18" width="17" hidden="0" customWidth="1"/>
    <x:col min="19" max="19" width="31" hidden="0" customWidth="1"/>
    <x:col min="20" max="20" width="84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.75" customHeight="1">
      <x:c r="A2" s="4" t="str">
        <x:v>Personal Assembly elections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8.75" customHeight="1">
      <x:c r="A3" s="6" t="str">
        <x:v>Direct Kerala Assembly contests only | Votes are official inputs; shares and margins are formulas | Denominators are explicit.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 ht="37.5" customHeight="1">
      <x:c r="A5" s="18" t="str">
        <x:v>Election ID</x:v>
      </x:c>
      <x:c r="B5" s="18" t="str">
        <x:v>Election year</x:v>
      </x:c>
      <x:c r="C5" s="18" t="str">
        <x:v>Constituency as recorded</x:v>
      </x:c>
      <x:c r="D5" s="18" t="str">
        <x:v>Party / alliance</x:v>
      </x:c>
      <x:c r="E5" s="18" t="str">
        <x:v>Candidate status</x:v>
      </x:c>
      <x:c r="F5" s="18" t="str">
        <x:v>Result</x:v>
      </x:c>
      <x:c r="G5" s="18" t="str">
        <x:v>Vijayan votes</x:v>
      </x:c>
      <x:c r="H5" s="18" t="str">
        <x:v>Principal opponent</x:v>
      </x:c>
      <x:c r="I5" s="18" t="str">
        <x:v>Opponent party</x:v>
      </x:c>
      <x:c r="J5" s="18" t="str">
        <x:v>Opponent votes</x:v>
      </x:c>
      <x:c r="K5" s="18" t="str">
        <x:v>Share denominator</x:v>
      </x:c>
      <x:c r="L5" s="18" t="str">
        <x:v>Vijayan vote share</x:v>
      </x:c>
      <x:c r="M5" s="18" t="str">
        <x:v>Winning margin (votes)</x:v>
      </x:c>
      <x:c r="N5" s="18" t="str">
        <x:v>Denominator convention</x:v>
      </x:c>
      <x:c r="O5" s="18" t="str">
        <x:v>Career phase</x:v>
      </x:c>
      <x:c r="P5" s="18" t="str">
        <x:v>Claim type</x:v>
      </x:c>
      <x:c r="Q5" s="18" t="str">
        <x:v>Corroboration</x:v>
      </x:c>
      <x:c r="R5" s="18" t="str">
        <x:v>Source IDs</x:v>
      </x:c>
      <x:c r="S5" s="18" t="str">
        <x:v>Context IDs</x:v>
      </x:c>
      <x:c r="T5" s="18" t="str">
        <x:v>Record / comparability note</x:v>
      </x:c>
    </x:row>
    <x:row r="6" ht="39" customHeight="1">
      <x:c r="A6" s="19" t="str">
        <x:v>E01</x:v>
      </x:c>
      <x:c r="B6" s="26" t="n">
        <x:v>1970</x:v>
      </x:c>
      <x:c r="C6" s="9" t="str">
        <x:v>KUTHUPARAMBA (11)</x:v>
      </x:c>
      <x:c r="D6" s="9" t="str">
        <x:v>CPI(M)</x:v>
      </x:c>
      <x:c r="E6" s="9" t="str">
        <x:v>Personal contestant</x:v>
      </x:c>
      <x:c r="F6" s="9" t="str">
        <x:v>Won</x:v>
      </x:c>
      <x:c r="G6" s="38" t="n">
        <x:v>28281</x:v>
      </x:c>
      <x:c r="H6" s="9" t="str">
        <x:v>Thayath Raghavan</x:v>
      </x:c>
      <x:c r="I6" s="9" t="str">
        <x:v>PSP</x:v>
      </x:c>
      <x:c r="J6" s="38" t="n">
        <x:v>27538</x:v>
      </x:c>
      <x:c r="K6" s="38" t="n">
        <x:v>60538</x:v>
      </x:c>
      <x:c r="L6" s="40" t="n">
        <x:f>G6/K6</x:f>
        <x:v>0.46716112193993853</x:v>
      </x:c>
      <x:c r="M6" s="42" t="n">
        <x:f>G6-J6</x:f>
        <x:v>743</x:v>
      </x:c>
      <x:c r="N6" s="9" t="str">
        <x:v>Candidates; no NOTA</x:v>
      </x:c>
      <x:c r="O6" s="9" t="str">
        <x:v>P1</x:v>
      </x:c>
      <x:c r="P6" s="9" t="str">
        <x:v>Recorded fact</x:v>
      </x:c>
      <x:c r="Q6" s="9" t="str">
        <x:v>Primary record</x:v>
      </x:c>
      <x:c r="R6" s="21" t="str">
        <x:v>S08</x:v>
      </x:c>
      <x:c r="S6" s="9" t="str">
        <x:v>C-P1-03; C-G-01</x:v>
      </x:c>
      <x:c r="T6" s="9" t="str">
        <x:v>Historical spelling and seat number preserved; poll 18 September 1970.</x:v>
      </x:c>
    </x:row>
    <x:row r="7" ht="39" customHeight="1">
      <x:c r="A7" s="20" t="str">
        <x:v>E02</x:v>
      </x:c>
      <x:c r="B7" s="27" t="n">
        <x:v>1977</x:v>
      </x:c>
      <x:c r="C7" s="8" t="str">
        <x:v>KUTHUPARAMBA (14)</x:v>
      </x:c>
      <x:c r="D7" s="8" t="str">
        <x:v>CPI(M)</x:v>
      </x:c>
      <x:c r="E7" s="8" t="str">
        <x:v>Personal contestant</x:v>
      </x:c>
      <x:c r="F7" s="8" t="str">
        <x:v>Won</x:v>
      </x:c>
      <x:c r="G7" s="39" t="n">
        <x:v>34465</x:v>
      </x:c>
      <x:c r="H7" s="8" t="str">
        <x:v>Abdulkadar</x:v>
      </x:c>
      <x:c r="I7" s="8" t="str">
        <x:v>RSP</x:v>
      </x:c>
      <x:c r="J7" s="39" t="n">
        <x:v>30064</x:v>
      </x:c>
      <x:c r="K7" s="39" t="n">
        <x:v>65518</x:v>
      </x:c>
      <x:c r="L7" s="41" t="n">
        <x:f>G7/K7</x:f>
        <x:v>0.526038645868311</x:v>
      </x:c>
      <x:c r="M7" s="43" t="n">
        <x:f>G7-J7</x:f>
        <x:v>4401</x:v>
      </x:c>
      <x:c r="N7" s="8" t="str">
        <x:v>Candidates; no NOTA</x:v>
      </x:c>
      <x:c r="O7" s="8" t="str">
        <x:v>P1</x:v>
      </x:c>
      <x:c r="P7" s="8" t="str">
        <x:v>Recorded fact</x:v>
      </x:c>
      <x:c r="Q7" s="8" t="str">
        <x:v>Primary record</x:v>
      </x:c>
      <x:c r="R7" s="22" t="str">
        <x:v>S09</x:v>
      </x:c>
      <x:c r="S7" s="8" t="str">
        <x:v>C-P1-03; C-G-01</x:v>
      </x:c>
      <x:c r="T7" s="8" t="str">
        <x:v>Official report spelling ABDULKADAR; poll 19 March 1977.</x:v>
      </x:c>
    </x:row>
    <x:row r="8" ht="39" customHeight="1">
      <x:c r="A8" s="19" t="str">
        <x:v>E03</x:v>
      </x:c>
      <x:c r="B8" s="26" t="n">
        <x:v>1991</x:v>
      </x:c>
      <x:c r="C8" s="9" t="str">
        <x:v>KUTHUPARAMBA (14)</x:v>
      </x:c>
      <x:c r="D8" s="9" t="str">
        <x:v>CPI(M)</x:v>
      </x:c>
      <x:c r="E8" s="9" t="str">
        <x:v>Personal contestant</x:v>
      </x:c>
      <x:c r="F8" s="9" t="str">
        <x:v>Won</x:v>
      </x:c>
      <x:c r="G8" s="38" t="n">
        <x:v>58842</x:v>
      </x:c>
      <x:c r="H8" s="9" t="str">
        <x:v>P. Ramakrishnan</x:v>
      </x:c>
      <x:c r="I8" s="9" t="str">
        <x:v>INC</x:v>
      </x:c>
      <x:c r="J8" s="38" t="n">
        <x:v>45782</x:v>
      </x:c>
      <x:c r="K8" s="38" t="n">
        <x:v>110129</x:v>
      </x:c>
      <x:c r="L8" s="40" t="n">
        <x:f>G8/K8</x:f>
        <x:v>0.5343006837436097</x:v>
      </x:c>
      <x:c r="M8" s="42" t="n">
        <x:f>G8-J8</x:f>
        <x:v>13060</x:v>
      </x:c>
      <x:c r="N8" s="9" t="str">
        <x:v>Candidates; no NOTA</x:v>
      </x:c>
      <x:c r="O8" s="9" t="str">
        <x:v>P2</x:v>
      </x:c>
      <x:c r="P8" s="9" t="str">
        <x:v>Recorded fact</x:v>
      </x:c>
      <x:c r="Q8" s="9" t="str">
        <x:v>Primary record</x:v>
      </x:c>
      <x:c r="R8" s="21" t="str">
        <x:v>S10</x:v>
      </x:c>
      <x:c r="S8" s="9" t="str">
        <x:v>C-P2-03</x:v>
      </x:c>
      <x:c r="T8" s="9" t="str">
        <x:v>Official margin is 13,060; some summaries give 12,960. Candidate recorded as PINARAY VIJAYAN.</x:v>
      </x:c>
    </x:row>
    <x:row r="9" ht="39" customHeight="1">
      <x:c r="A9" s="20" t="str">
        <x:v>E04</x:v>
      </x:c>
      <x:c r="B9" s="27" t="n">
        <x:v>1996</x:v>
      </x:c>
      <x:c r="C9" s="8" t="str">
        <x:v>PAYYANNUR (7)</x:v>
      </x:c>
      <x:c r="D9" s="8" t="str">
        <x:v>CPI(M)</x:v>
      </x:c>
      <x:c r="E9" s="8" t="str">
        <x:v>Personal contestant</x:v>
      </x:c>
      <x:c r="F9" s="8" t="str">
        <x:v>Won</x:v>
      </x:c>
      <x:c r="G9" s="39" t="n">
        <x:v>70870</x:v>
      </x:c>
      <x:c r="H9" s="8" t="str">
        <x:v>K. N. Kannoth</x:v>
      </x:c>
      <x:c r="I9" s="8" t="str">
        <x:v>INC</x:v>
      </x:c>
      <x:c r="J9" s="39" t="n">
        <x:v>42792</x:v>
      </x:c>
      <x:c r="K9" s="39" t="n">
        <x:v>119264</x:v>
      </x:c>
      <x:c r="L9" s="41" t="n">
        <x:f>G9/K9</x:f>
        <x:v>0.5942279313120472</x:v>
      </x:c>
      <x:c r="M9" s="43" t="n">
        <x:f>G9-J9</x:f>
        <x:v>28078</x:v>
      </x:c>
      <x:c r="N9" s="8" t="str">
        <x:v>Sum of detailed candidates</x:v>
      </x:c>
      <x:c r="O9" s="8" t="str">
        <x:v>P2</x:v>
      </x:c>
      <x:c r="P9" s="8" t="str">
        <x:v>Recorded fact</x:v>
      </x:c>
      <x:c r="Q9" s="8" t="str">
        <x:v>Primary record</x:v>
      </x:c>
      <x:c r="R9" s="22" t="str">
        <x:v>S11</x:v>
      </x:c>
      <x:c r="S9" s="8" t="str">
        <x:v>C-P2-03; C-P2-10</x:v>
      </x:c>
      <x:c r="T9" s="8" t="str">
        <x:v>Detailed candidates sum to 119,264; summary reports 118,487. Share uses detailed count; disputed turnout omitted.</x:v>
      </x:c>
    </x:row>
    <x:row r="10" ht="39" customHeight="1">
      <x:c r="A10" s="19" t="str">
        <x:v>E05</x:v>
      </x:c>
      <x:c r="B10" s="26" t="n">
        <x:v>2016</x:v>
      </x:c>
      <x:c r="C10" s="9" t="str">
        <x:v>DHARMADAM (12)</x:v>
      </x:c>
      <x:c r="D10" s="9" t="str">
        <x:v>CPI(M) / LDF</x:v>
      </x:c>
      <x:c r="E10" s="9" t="str">
        <x:v>Personal contestant</x:v>
      </x:c>
      <x:c r="F10" s="9" t="str">
        <x:v>Won</x:v>
      </x:c>
      <x:c r="G10" s="38" t="n">
        <x:v>87329</x:v>
      </x:c>
      <x:c r="H10" s="9" t="str">
        <x:v>Mambaram Divakaran</x:v>
      </x:c>
      <x:c r="I10" s="9" t="str">
        <x:v>INC</x:v>
      </x:c>
      <x:c r="J10" s="38" t="n">
        <x:v>50424</x:v>
      </x:c>
      <x:c r="K10" s="38" t="n">
        <x:v>153627</x:v>
      </x:c>
      <x:c r="L10" s="40" t="n">
        <x:f>G10/K10</x:f>
        <x:v>0.5684482545385903</x:v>
      </x:c>
      <x:c r="M10" s="42" t="n">
        <x:f>G10-J10</x:f>
        <x:v>36905</x:v>
      </x:c>
      <x:c r="N10" s="9" t="str">
        <x:v>Candidates + NOTA; no rejected</x:v>
      </x:c>
      <x:c r="O10" s="9" t="str">
        <x:v>P4</x:v>
      </x:c>
      <x:c r="P10" s="9" t="str">
        <x:v>Recorded fact</x:v>
      </x:c>
      <x:c r="Q10" s="9" t="str">
        <x:v>Primary record</x:v>
      </x:c>
      <x:c r="R10" s="21" t="str">
        <x:v>S12</x:v>
      </x:c>
      <x:c r="S10" s="9" t="str">
        <x:v>C-P4-01; C-P4-03</x:v>
      </x:c>
      <x:c r="T10" s="9" t="str">
        <x:v>NOTA 615. Candidate votes 153,012; 53 rejected votes excluded. Became chief minister.</x:v>
      </x:c>
    </x:row>
    <x:row r="11" ht="39" customHeight="1">
      <x:c r="A11" s="20" t="str">
        <x:v>E06</x:v>
      </x:c>
      <x:c r="B11" s="27" t="n">
        <x:v>2021</x:v>
      </x:c>
      <x:c r="C11" s="8" t="str">
        <x:v>DHARMADAM (12)</x:v>
      </x:c>
      <x:c r="D11" s="8" t="str">
        <x:v>CPI(M) / LDF</x:v>
      </x:c>
      <x:c r="E11" s="8" t="str">
        <x:v>Personal contestant</x:v>
      </x:c>
      <x:c r="F11" s="8" t="str">
        <x:v>Won</x:v>
      </x:c>
      <x:c r="G11" s="39" t="n">
        <x:v>95522</x:v>
      </x:c>
      <x:c r="H11" s="8" t="str">
        <x:v>C. Raghunathan</x:v>
      </x:c>
      <x:c r="I11" s="8" t="str">
        <x:v>INC</x:v>
      </x:c>
      <x:c r="J11" s="39" t="n">
        <x:v>45399</x:v>
      </x:c>
      <x:c r="K11" s="39" t="n">
        <x:v>160247</x:v>
      </x:c>
      <x:c r="L11" s="41" t="n">
        <x:f>G11/K11</x:f>
        <x:v>0.5960922825388307</x:v>
      </x:c>
      <x:c r="M11" s="43" t="n">
        <x:f>G11-J11</x:f>
        <x:v>50123</x:v>
      </x:c>
      <x:c r="N11" s="8" t="str">
        <x:v>Candidates + NOTA; no rejected</x:v>
      </x:c>
      <x:c r="O11" s="8" t="str">
        <x:v>P5</x:v>
      </x:c>
      <x:c r="P11" s="8" t="str">
        <x:v>Recorded fact</x:v>
      </x:c>
      <x:c r="Q11" s="8" t="str">
        <x:v>Primary record</x:v>
      </x:c>
      <x:c r="R11" s="22" t="str">
        <x:v>S13</x:v>
      </x:c>
      <x:c r="S11" s="8" t="str">
        <x:v>C-P5-01; C-P5-03</x:v>
      </x:c>
      <x:c r="T11" s="8" t="str">
        <x:v>NOTA 400. Candidate votes 159,847; 985 rejected votes excluded. Returned as chief minister.</x:v>
      </x:c>
    </x:row>
    <x:row r="12" ht="39" customHeight="1">
      <x:c r="A12" s="19" t="str">
        <x:v>E07</x:v>
      </x:c>
      <x:c r="B12" s="26" t="n">
        <x:v>2026</x:v>
      </x:c>
      <x:c r="C12" s="9" t="str">
        <x:v>DHARMADAM (12)</x:v>
      </x:c>
      <x:c r="D12" s="9" t="str">
        <x:v>CPI(M) / LDF</x:v>
      </x:c>
      <x:c r="E12" s="9" t="str">
        <x:v>Personal contestant</x:v>
      </x:c>
      <x:c r="F12" s="9" t="str">
        <x:v>Won</x:v>
      </x:c>
      <x:c r="G12" s="38" t="n">
        <x:v>85614</x:v>
      </x:c>
      <x:c r="H12" s="9" t="str">
        <x:v>Adv. V. P. Abdul Rasheed</x:v>
      </x:c>
      <x:c r="I12" s="9" t="str">
        <x:v>INC</x:v>
      </x:c>
      <x:c r="J12" s="38" t="n">
        <x:v>66367</x:v>
      </x:c>
      <x:c r="K12" s="38" t="n">
        <x:v>171659</x:v>
      </x:c>
      <x:c r="L12" s="40" t="n">
        <x:f>G12/K12</x:f>
        <x:v>0.49874460412795135</x:v>
      </x:c>
      <x:c r="M12" s="42" t="n">
        <x:f>G12-J12</x:f>
        <x:v>19247</x:v>
      </x:c>
      <x:c r="N12" s="9" t="str">
        <x:v>Candidates + NOTA</x:v>
      </x:c>
      <x:c r="O12" s="9" t="str">
        <x:v>P5–P6</x:v>
      </x:c>
      <x:c r="P12" s="9" t="str">
        <x:v>Recorded fact</x:v>
      </x:c>
      <x:c r="Q12" s="9" t="str">
        <x:v>Primary record</x:v>
      </x:c>
      <x:c r="R12" s="21" t="str">
        <x:v>S14</x:v>
      </x:c>
      <x:c r="S12" s="9" t="str">
        <x:v>C-P5-03; C-P6-03</x:v>
      </x:c>
      <x:c r="T12" s="9" t="str">
        <x:v>NOTA 813; all 15 rounds complete. Portal total used, signed Form 20 not retrieved. LDF lost government.</x:v>
      </x:c>
    </x:row>
  </x:sheetData>
  <x:pageMargins left="0.7" right="0.7" top="0.75" bottom="0.75" header="0.3" footer="0.3"/>
  <x:tableParts count="1">
    <x:tablePart xmlns:r="http://schemas.openxmlformats.org/officeDocument/2006/relationships" r:id="R94d5b323fe194786"/>
  </x:tableParts>
</x:worksheet>
</file>

<file path=xl/worksheets/sheet5.xml><?xml version="1.0" encoding="utf-8"?>
<x:worksheet xmlns:x="http://schemas.openxmlformats.org/spreadsheetml/2006/main">
  <x:sheetPr>
    <x:tabColor rgb="FF0D6B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43" hidden="0" customWidth="1"/>
    <x:col min="4" max="4" width="47" hidden="0" customWidth="1"/>
    <x:col min="5" max="5" width="28" hidden="0" customWidth="1"/>
    <x:col min="6" max="6" width="28" hidden="0" customWidth="1"/>
    <x:col min="7" max="7" width="33" hidden="0" customWidth="1"/>
    <x:col min="8" max="8" width="52" hidden="0" customWidth="1"/>
    <x:col min="9" max="9" width="67" hidden="0" customWidth="1"/>
    <x:col min="10" max="10" width="49" hidden="0" customWidth="1"/>
    <x:col min="11" max="11" width="26" hidden="0" customWidth="1"/>
    <x:col min="12" max="12" width="24" hidden="0" customWidth="1"/>
    <x:col min="13" max="13" width="28" hidden="0" customWidth="1"/>
    <x:col min="14" max="14" width="21" hidden="0" customWidth="1"/>
    <x:col min="15" max="15" width="29" hidden="0" customWidth="1"/>
    <x:col min="16" max="16" width="78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.75" customHeight="1">
      <x:c r="A2" s="4" t="str">
        <x:v>Offices &amp; party roles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18.75" customHeight="1">
      <x:c r="A3" s="6" t="str">
        <x:v>Non-consecutive terms and the 2007 Politburo interruption are separate | Caretaker continuation is not a third government.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7.5" customHeight="1">
      <x:c r="A5" s="64" t="str">
        <x:v>Position ID</x:v>
      </x:c>
      <x:c r="B5" s="64" t="str">
        <x:v>Position category</x:v>
      </x:c>
      <x:c r="C5" s="64" t="str">
        <x:v>Exact title / role</x:v>
      </x:c>
      <x:c r="D5" s="64" t="str">
        <x:v>Institution / constituency</x:v>
      </x:c>
      <x:c r="E5" s="64" t="str">
        <x:v>Start</x:v>
      </x:c>
      <x:c r="F5" s="64" t="str">
        <x:v>End</x:v>
      </x:c>
      <x:c r="G5" s="64" t="str">
        <x:v>Date precision</x:v>
      </x:c>
      <x:c r="H5" s="64" t="str">
        <x:v>Selection route</x:v>
      </x:c>
      <x:c r="I5" s="64" t="str">
        <x:v>Function / concurrent authority</x:v>
      </x:c>
      <x:c r="J5" s="64" t="str">
        <x:v>Exit / current status</x:v>
      </x:c>
      <x:c r="K5" s="64" t="str">
        <x:v>Career phase</x:v>
      </x:c>
      <x:c r="L5" s="64" t="str">
        <x:v>Claim type</x:v>
      </x:c>
      <x:c r="M5" s="64" t="str">
        <x:v>Corroboration</x:v>
      </x:c>
      <x:c r="N5" s="64" t="str">
        <x:v>Source IDs</x:v>
      </x:c>
      <x:c r="O5" s="64" t="str">
        <x:v>Context IDs</x:v>
      </x:c>
      <x:c r="P5" s="64" t="str">
        <x:v>Research note</x:v>
      </x:c>
    </x:row>
    <x:row r="6" ht="39" customHeight="1">
      <x:c r="A6" s="46" t="str">
        <x:v>O01</x:v>
      </x:c>
      <x:c r="B6" s="47" t="str">
        <x:v>Movement</x:v>
      </x:c>
      <x:c r="C6" s="47" t="str">
        <x:v>Student and youth organization leader</x:v>
      </x:c>
      <x:c r="D6" s="47" t="str">
        <x:v>Kerala Students Federation; Kerala State Youth Federation</x:v>
      </x:c>
      <x:c r="E6" s="81" t="str">
        <x:v>Before 1970</x:v>
      </x:c>
      <x:c r="F6" s="81" t="str">
        <x:v>Not verified</x:v>
      </x:c>
      <x:c r="G6" s="47" t="str">
        <x:v>Approximate; dates unavailable</x:v>
      </x:c>
      <x:c r="H6" s="47" t="str">
        <x:v>Organization selection</x:v>
      </x:c>
      <x:c r="I6" s="47" t="str">
        <x:v>Student/youth mobilization</x:v>
      </x:c>
      <x:c r="J6" s="47" t="str">
        <x:v>Not established</x:v>
      </x:c>
      <x:c r="K6" s="47" t="str">
        <x:v>P1</x:v>
      </x:c>
      <x:c r="L6" s="47" t="str">
        <x:v>Recorded fact</x:v>
      </x:c>
      <x:c r="M6" s="47" t="str">
        <x:v>Interested source only</x:v>
      </x:c>
      <x:c r="N6" s="48" t="str">
        <x:v>S02</x:v>
      </x:c>
      <x:c r="O6" s="47" t="str">
        <x:v>C-P1-07</x:v>
      </x:c>
      <x:c r="P6" s="47" t="str">
        <x:v>Offices are documented; separate exact tenures could not be reconstructed.</x:v>
      </x:c>
    </x:row>
    <x:row r="7" ht="39" customHeight="1">
      <x:c r="A7" s="49" t="str">
        <x:v>O02</x:v>
      </x:c>
      <x:c r="B7" s="50" t="str">
        <x:v>Elected</x:v>
      </x:c>
      <x:c r="C7" s="50" t="str">
        <x:v>Member of Legislative Assembly</x:v>
      </x:c>
      <x:c r="D7" s="50" t="str">
        <x:v>Kerala Assembly / Kuthuparamba</x:v>
      </x:c>
      <x:c r="E7" s="82" t="n">
        <x:v>1970</x:v>
      </x:c>
      <x:c r="F7" s="82" t="n">
        <x:v>1977</x:v>
      </x:c>
      <x:c r="G7" s="50" t="str">
        <x:v>Years</x:v>
      </x:c>
      <x:c r="H7" s="50" t="str">
        <x:v>Direct election</x:v>
      </x:c>
      <x:c r="I7" s="50" t="str">
        <x:v>Constituency representation</x:v>
      </x:c>
      <x:c r="J7" s="50" t="str">
        <x:v>Next election</x:v>
      </x:c>
      <x:c r="K7" s="50" t="str">
        <x:v>P1</x:v>
      </x:c>
      <x:c r="L7" s="50" t="str">
        <x:v>Recorded fact</x:v>
      </x:c>
      <x:c r="M7" s="50" t="str">
        <x:v>Primary record</x:v>
      </x:c>
      <x:c r="N7" s="51" t="str">
        <x:v>S08; S09</x:v>
      </x:c>
      <x:c r="O7" s="50" t="str">
        <x:v>C-P1-03</x:v>
      </x:c>
      <x:c r="P7" s="50" t="str">
        <x:v>Term boundaries shown at year precision.</x:v>
      </x:c>
    </x:row>
    <x:row r="8" ht="39" customHeight="1">
      <x:c r="A8" s="46" t="str">
        <x:v>O03</x:v>
      </x:c>
      <x:c r="B8" s="47" t="str">
        <x:v>Elected</x:v>
      </x:c>
      <x:c r="C8" s="47" t="str">
        <x:v>Member of Legislative Assembly</x:v>
      </x:c>
      <x:c r="D8" s="47" t="str">
        <x:v>Kerala Assembly / Kuthuparamba</x:v>
      </x:c>
      <x:c r="E8" s="81" t="n">
        <x:v>1977</x:v>
      </x:c>
      <x:c r="F8" s="81" t="str">
        <x:v>Not independently verified</x:v>
      </x:c>
      <x:c r="G8" s="47" t="str">
        <x:v>Election year; end unavailable</x:v>
      </x:c>
      <x:c r="H8" s="47" t="str">
        <x:v>Direct election</x:v>
      </x:c>
      <x:c r="I8" s="47" t="str">
        <x:v>Constituency representation</x:v>
      </x:c>
      <x:c r="J8" s="47" t="str">
        <x:v>Formal term-end record not retrieved</x:v>
      </x:c>
      <x:c r="K8" s="47" t="str">
        <x:v>P1</x:v>
      </x:c>
      <x:c r="L8" s="47" t="str">
        <x:v>Recorded fact</x:v>
      </x:c>
      <x:c r="M8" s="47" t="str">
        <x:v>Primary record</x:v>
      </x:c>
      <x:c r="N8" s="48" t="str">
        <x:v>S09</x:v>
      </x:c>
      <x:c r="O8" s="47" t="str">
        <x:v>C-P1-03</x:v>
      </x:c>
      <x:c r="P8" s="47" t="str">
        <x:v>Election and constituency verified; an individual term-end record was not retrieved. No unsupported end day or year assigned.</x:v>
      </x:c>
    </x:row>
    <x:row r="9" ht="39" customHeight="1">
      <x:c r="A9" s="49" t="str">
        <x:v>O04</x:v>
      </x:c>
      <x:c r="B9" s="50" t="str">
        <x:v>Elected</x:v>
      </x:c>
      <x:c r="C9" s="50" t="str">
        <x:v>Member of Legislative Assembly</x:v>
      </x:c>
      <x:c r="D9" s="50" t="str">
        <x:v>Kerala Assembly / Kuthuparamba</x:v>
      </x:c>
      <x:c r="E9" s="82" t="n">
        <x:v>1991</x:v>
      </x:c>
      <x:c r="F9" s="82" t="n">
        <x:v>1996</x:v>
      </x:c>
      <x:c r="G9" s="50" t="str">
        <x:v>Years</x:v>
      </x:c>
      <x:c r="H9" s="50" t="str">
        <x:v>Direct election</x:v>
      </x:c>
      <x:c r="I9" s="50" t="str">
        <x:v>Constituency representation</x:v>
      </x:c>
      <x:c r="J9" s="50" t="str">
        <x:v>Contested Payyannur in next election</x:v>
      </x:c>
      <x:c r="K9" s="50" t="str">
        <x:v>P2</x:v>
      </x:c>
      <x:c r="L9" s="50" t="str">
        <x:v>Recorded fact</x:v>
      </x:c>
      <x:c r="M9" s="50" t="str">
        <x:v>Primary record</x:v>
      </x:c>
      <x:c r="N9" s="51" t="str">
        <x:v>S10; S11</x:v>
      </x:c>
      <x:c r="O9" s="50" t="str">
        <x:v>C-P2-03</x:v>
      </x:c>
      <x:c r="P9" s="50" t="str"/>
    </x:row>
    <x:row r="10" ht="39" customHeight="1">
      <x:c r="A10" s="46" t="str">
        <x:v>O05</x:v>
      </x:c>
      <x:c r="B10" s="47" t="str">
        <x:v>Elected</x:v>
      </x:c>
      <x:c r="C10" s="47" t="str">
        <x:v>Member of Legislative Assembly</x:v>
      </x:c>
      <x:c r="D10" s="47" t="str">
        <x:v>Kerala Assembly / Payyannur</x:v>
      </x:c>
      <x:c r="E10" s="81" t="n">
        <x:v>1996</x:v>
      </x:c>
      <x:c r="F10" s="81" t="str">
        <x:v>Not independently verified</x:v>
      </x:c>
      <x:c r="G10" s="47" t="str">
        <x:v>Election year; end unavailable</x:v>
      </x:c>
      <x:c r="H10" s="47" t="str">
        <x:v>Direct election</x:v>
      </x:c>
      <x:c r="I10" s="47" t="str">
        <x:v>Constituency representation; concurrent ministry 1996–98</x:v>
      </x:c>
      <x:c r="J10" s="47" t="str">
        <x:v>Formal term-end record not retrieved</x:v>
      </x:c>
      <x:c r="K10" s="47" t="str">
        <x:v>P2–P3</x:v>
      </x:c>
      <x:c r="L10" s="47" t="str">
        <x:v>Recorded fact</x:v>
      </x:c>
      <x:c r="M10" s="47" t="str">
        <x:v>Primary record</x:v>
      </x:c>
      <x:c r="N10" s="48" t="str">
        <x:v>S11</x:v>
      </x:c>
      <x:c r="O10" s="47" t="str">
        <x:v>C-P2-03</x:v>
      </x:c>
      <x:c r="P10" s="47" t="str">
        <x:v>Election and constituency verified; an individual term-end record was not retrieved. No unsupported end day or year assigned.</x:v>
      </x:c>
    </x:row>
    <x:row r="11" ht="39" customHeight="1">
      <x:c r="A11" s="49" t="str">
        <x:v>O06</x:v>
      </x:c>
      <x:c r="B11" s="50" t="str">
        <x:v>Ministerial</x:v>
      </x:c>
      <x:c r="C11" s="50" t="str">
        <x:v>Minister for Electricity and Cooperation</x:v>
      </x:c>
      <x:c r="D11" s="50" t="str">
        <x:v>Government of Kerala</x:v>
      </x:c>
      <x:c r="E11" s="82" t="n">
        <x:v>1996</x:v>
      </x:c>
      <x:c r="F11" s="82" t="n">
        <x:v>1998</x:v>
      </x:c>
      <x:c r="G11" s="50" t="str">
        <x:v>Years</x:v>
      </x:c>
      <x:c r="H11" s="50" t="str">
        <x:v>Cabinet appointment</x:v>
      </x:c>
      <x:c r="I11" s="50" t="str">
        <x:v>Power-sector and cooperative administration</x:v>
      </x:c>
      <x:c r="J11" s="50" t="str">
        <x:v>Moved to state party secretary role</x:v>
      </x:c>
      <x:c r="K11" s="50" t="str">
        <x:v>P2</x:v>
      </x:c>
      <x:c r="L11" s="50" t="str">
        <x:v>Recorded fact</x:v>
      </x:c>
      <x:c r="M11" s="50" t="str">
        <x:v>Primary record</x:v>
      </x:c>
      <x:c r="N11" s="51" t="str">
        <x:v>S01; S02</x:v>
      </x:c>
      <x:c r="O11" s="50" t="str">
        <x:v>C-P2-02; C-G-04</x:v>
      </x:c>
      <x:c r="P11" s="50" t="str"/>
    </x:row>
    <x:row r="12" ht="39" customHeight="1">
      <x:c r="A12" s="46" t="str">
        <x:v>O07</x:v>
      </x:c>
      <x:c r="B12" s="47" t="str">
        <x:v>Party</x:v>
      </x:c>
      <x:c r="C12" s="47" t="str">
        <x:v>Secretary, Kerala State Committee</x:v>
      </x:c>
      <x:c r="D12" s="47" t="str">
        <x:v>CPI(M)</x:v>
      </x:c>
      <x:c r="E12" s="81" t="n">
        <x:v>1998</x:v>
      </x:c>
      <x:c r="F12" s="81" t="n">
        <x:v>2015</x:v>
      </x:c>
      <x:c r="G12" s="47" t="str">
        <x:v>Years</x:v>
      </x:c>
      <x:c r="H12" s="47" t="str">
        <x:v>Party selection</x:v>
      </x:c>
      <x:c r="I12" s="47" t="str">
        <x:v>Statewide party organization and strategy</x:v>
      </x:c>
      <x:c r="J12" s="47" t="str">
        <x:v>Leadership transition</x:v>
      </x:c>
      <x:c r="K12" s="47" t="str">
        <x:v>P3</x:v>
      </x:c>
      <x:c r="L12" s="47" t="str">
        <x:v>Recorded fact</x:v>
      </x:c>
      <x:c r="M12" s="47" t="str">
        <x:v>Primary record</x:v>
      </x:c>
      <x:c r="N12" s="48" t="str">
        <x:v>S01; S16</x:v>
      </x:c>
      <x:c r="O12" s="47" t="str">
        <x:v>C-P3-07</x:v>
      </x:c>
      <x:c r="P12" s="47" t="str">
        <x:v>Continuous state-secretary tenure; the separate Politburo suspension did not end this office.</x:v>
      </x:c>
    </x:row>
    <x:row r="13" ht="39" customHeight="1">
      <x:c r="A13" s="49" t="str">
        <x:v>O08</x:v>
      </x:c>
      <x:c r="B13" s="50" t="str">
        <x:v>Party</x:v>
      </x:c>
      <x:c r="C13" s="50" t="str">
        <x:v>Politburo member</x:v>
      </x:c>
      <x:c r="D13" s="50" t="str">
        <x:v>CPI(M)</x:v>
      </x:c>
      <x:c r="E13" s="82" t="n">
        <x:v>2002</x:v>
      </x:c>
      <x:c r="F13" s="84" t="n">
        <x:v>39228</x:v>
      </x:c>
      <x:c r="G13" s="50" t="str">
        <x:v>Start year; end day</x:v>
      </x:c>
      <x:c r="H13" s="50" t="str">
        <x:v>Party election</x:v>
      </x:c>
      <x:c r="I13" s="50" t="str">
        <x:v>National party leadership</x:v>
      </x:c>
      <x:c r="J13" s="50" t="str">
        <x:v>Suspended after public dispute</x:v>
      </x:c>
      <x:c r="K13" s="50" t="str">
        <x:v>P3</x:v>
      </x:c>
      <x:c r="L13" s="50" t="str">
        <x:v>Recorded fact</x:v>
      </x:c>
      <x:c r="M13" s="50" t="str">
        <x:v>Primary record</x:v>
      </x:c>
      <x:c r="N13" s="51" t="str">
        <x:v>S02; S54</x:v>
      </x:c>
      <x:c r="O13" s="50" t="str">
        <x:v>C-P3-02; C-P3-07</x:v>
      </x:c>
      <x:c r="P13" s="50" t="str">
        <x:v>Do not confuse the 2007 headline's 'Kerala CM' with Vijayan, who was state secretary.</x:v>
      </x:c>
    </x:row>
    <x:row r="14" ht="39" customHeight="1">
      <x:c r="A14" s="46" t="str">
        <x:v>O09</x:v>
      </x:c>
      <x:c r="B14" s="47" t="str">
        <x:v>Party</x:v>
      </x:c>
      <x:c r="C14" s="47" t="str">
        <x:v>Politburo member, resumed</x:v>
      </x:c>
      <x:c r="D14" s="47" t="str">
        <x:v>CPI(M)</x:v>
      </x:c>
      <x:c r="E14" s="81" t="str">
        <x:v>After May 2007; by 2009</x:v>
      </x:c>
      <x:c r="F14" s="81" t="str">
        <x:v>Ongoing at cut-off</x:v>
      </x:c>
      <x:c r="G14" s="47" t="str">
        <x:v>Reinstatement date uncertain</x:v>
      </x:c>
      <x:c r="H14" s="47" t="str">
        <x:v>Party reinstatement</x:v>
      </x:c>
      <x:c r="I14" s="47" t="str">
        <x:v>National party leadership; concurrent state and later legislative roles</x:v>
      </x:c>
      <x:c r="J14" s="47" t="str">
        <x:v>Ongoing</x:v>
      </x:c>
      <x:c r="K14" s="47" t="str">
        <x:v>P3–P6</x:v>
      </x:c>
      <x:c r="L14" s="47" t="str">
        <x:v>Recorded fact</x:v>
      </x:c>
      <x:c r="M14" s="47" t="str">
        <x:v>Primary record</x:v>
      </x:c>
      <x:c r="N14" s="48" t="str">
        <x:v>S02; S16; S01</x:v>
      </x:c>
      <x:c r="O14" s="47" t="str">
        <x:v>C-P3-07</x:v>
      </x:c>
      <x:c r="P14" s="47" t="str">
        <x:v>Current official profile lists membership; exact reinstatement date not verified.</x:v>
      </x:c>
    </x:row>
    <x:row r="15" ht="39" customHeight="1">
      <x:c r="A15" s="49" t="str">
        <x:v>O10</x:v>
      </x:c>
      <x:c r="B15" s="50" t="str">
        <x:v>Elected</x:v>
      </x:c>
      <x:c r="C15" s="50" t="str">
        <x:v>Member of Legislative Assembly</x:v>
      </x:c>
      <x:c r="D15" s="50" t="str">
        <x:v>Kerala Assembly / Dharmadam</x:v>
      </x:c>
      <x:c r="E15" s="82" t="n">
        <x:v>2016</x:v>
      </x:c>
      <x:c r="F15" s="82" t="n">
        <x:v>2021</x:v>
      </x:c>
      <x:c r="G15" s="50" t="str">
        <x:v>Years</x:v>
      </x:c>
      <x:c r="H15" s="50" t="str">
        <x:v>Direct election</x:v>
      </x:c>
      <x:c r="I15" s="50" t="str">
        <x:v>Constituency representation; concurrent chief minister</x:v>
      </x:c>
      <x:c r="J15" s="50" t="str">
        <x:v>Next election</x:v>
      </x:c>
      <x:c r="K15" s="50" t="str">
        <x:v>P4</x:v>
      </x:c>
      <x:c r="L15" s="50" t="str">
        <x:v>Recorded fact</x:v>
      </x:c>
      <x:c r="M15" s="50" t="str">
        <x:v>Primary record</x:v>
      </x:c>
      <x:c r="N15" s="51" t="str">
        <x:v>S12; S13</x:v>
      </x:c>
      <x:c r="O15" s="50" t="str">
        <x:v>C-P4-03</x:v>
      </x:c>
      <x:c r="P15" s="50" t="str"/>
    </x:row>
    <x:row r="16" ht="39" customHeight="1">
      <x:c r="A16" s="46" t="str">
        <x:v>O11</x:v>
      </x:c>
      <x:c r="B16" s="47" t="str">
        <x:v>Executive</x:v>
      </x:c>
      <x:c r="C16" s="47" t="str">
        <x:v>Chief Minister, first government</x:v>
      </x:c>
      <x:c r="D16" s="47" t="str">
        <x:v>Government of Kerala</x:v>
      </x:c>
      <x:c r="E16" s="83" t="n">
        <x:v>42515</x:v>
      </x:c>
      <x:c r="F16" s="81" t="n">
        <x:v>2021</x:v>
      </x:c>
      <x:c r="G16" s="47" t="str">
        <x:v>Start day; end year</x:v>
      </x:c>
      <x:c r="H16" s="47" t="str">
        <x:v>LDF legislative majority and gubernatorial appointment</x:v>
      </x:c>
      <x:c r="I16" s="47" t="str">
        <x:v>Head of state government; cabinet leadership</x:v>
      </x:c>
      <x:c r="J16" s="47" t="str">
        <x:v>Second government formed after re-election</x:v>
      </x:c>
      <x:c r="K16" s="47" t="str">
        <x:v>P4</x:v>
      </x:c>
      <x:c r="L16" s="47" t="str">
        <x:v>Recorded fact</x:v>
      </x:c>
      <x:c r="M16" s="47" t="str">
        <x:v>Multiple independent sources</x:v>
      </x:c>
      <x:c r="N16" s="48" t="str">
        <x:v>S55; S18; S19</x:v>
      </x:c>
      <x:c r="O16" s="47" t="str">
        <x:v>C-P4-01</x:v>
      </x:c>
      <x:c r="P16" s="47" t="str">
        <x:v>Formal 2021 resignation/caretaker boundary not reconstructed; no day-level tenure calculation used.</x:v>
      </x:c>
    </x:row>
    <x:row r="17" ht="39" customHeight="1">
      <x:c r="A17" s="49" t="str">
        <x:v>O12</x:v>
      </x:c>
      <x:c r="B17" s="50" t="str">
        <x:v>Elected</x:v>
      </x:c>
      <x:c r="C17" s="50" t="str">
        <x:v>Member of Legislative Assembly</x:v>
      </x:c>
      <x:c r="D17" s="50" t="str">
        <x:v>Kerala Assembly / Dharmadam</x:v>
      </x:c>
      <x:c r="E17" s="82" t="n">
        <x:v>2021</x:v>
      </x:c>
      <x:c r="F17" s="82" t="n">
        <x:v>2026</x:v>
      </x:c>
      <x:c r="G17" s="50" t="str">
        <x:v>Years</x:v>
      </x:c>
      <x:c r="H17" s="50" t="str">
        <x:v>Direct election</x:v>
      </x:c>
      <x:c r="I17" s="50" t="str">
        <x:v>Constituency representation; concurrent chief minister</x:v>
      </x:c>
      <x:c r="J17" s="50" t="str">
        <x:v>Next election</x:v>
      </x:c>
      <x:c r="K17" s="50" t="str">
        <x:v>P5</x:v>
      </x:c>
      <x:c r="L17" s="50" t="str">
        <x:v>Recorded fact</x:v>
      </x:c>
      <x:c r="M17" s="50" t="str">
        <x:v>Primary record</x:v>
      </x:c>
      <x:c r="N17" s="51" t="str">
        <x:v>S13; S14</x:v>
      </x:c>
      <x:c r="O17" s="50" t="str">
        <x:v>C-P5-03</x:v>
      </x:c>
      <x:c r="P17" s="50" t="str"/>
    </x:row>
    <x:row r="18" ht="39" customHeight="1">
      <x:c r="A18" s="46" t="str">
        <x:v>O13</x:v>
      </x:c>
      <x:c r="B18" s="47" t="str">
        <x:v>Executive</x:v>
      </x:c>
      <x:c r="C18" s="47" t="str">
        <x:v>Chief Minister, second government</x:v>
      </x:c>
      <x:c r="D18" s="47" t="str">
        <x:v>Government of Kerala</x:v>
      </x:c>
      <x:c r="E18" s="81" t="n">
        <x:v>2021</x:v>
      </x:c>
      <x:c r="F18" s="83" t="n">
        <x:v>46146</x:v>
      </x:c>
      <x:c r="G18" s="47" t="str">
        <x:v>Start year; resignation day</x:v>
      </x:c>
      <x:c r="H18" s="47" t="str">
        <x:v>Returned LDF majority and gubernatorial appointment</x:v>
      </x:c>
      <x:c r="I18" s="47" t="str">
        <x:v>Head of state government; cabinet leadership</x:v>
      </x:c>
      <x:c r="J18" s="47" t="str">
        <x:v>Resigned following LDF defeat</x:v>
      </x:c>
      <x:c r="K18" s="47" t="str">
        <x:v>P5</x:v>
      </x:c>
      <x:c r="L18" s="47" t="str">
        <x:v>Recorded fact</x:v>
      </x:c>
      <x:c r="M18" s="47" t="str">
        <x:v>Multiple independent sources</x:v>
      </x:c>
      <x:c r="N18" s="48" t="str">
        <x:v>S18; S19; S06; S37</x:v>
      </x:c>
      <x:c r="O18" s="47" t="str">
        <x:v>C-P5-01; C-P5-02</x:v>
      </x:c>
      <x:c r="P18" s="47" t="str">
        <x:v>Caretaker continuation is a separate row.</x:v>
      </x:c>
    </x:row>
    <x:row r="19" ht="39" customHeight="1">
      <x:c r="A19" s="49" t="str">
        <x:v>O14</x:v>
      </x:c>
      <x:c r="B19" s="50" t="str">
        <x:v>Executive / caretaker</x:v>
      </x:c>
      <x:c r="C19" s="50" t="str">
        <x:v>Chief Minister, caretaker continuation</x:v>
      </x:c>
      <x:c r="D19" s="50" t="str">
        <x:v>Government of Kerala</x:v>
      </x:c>
      <x:c r="E19" s="84" t="n">
        <x:v>46146</x:v>
      </x:c>
      <x:c r="F19" s="84" t="n">
        <x:v>46160</x:v>
      </x:c>
      <x:c r="G19" s="50" t="str">
        <x:v>Days</x:v>
      </x:c>
      <x:c r="H19" s="50" t="str">
        <x:v>Governor requested continuation after resignation</x:v>
      </x:c>
      <x:c r="I19" s="50" t="str">
        <x:v>Maintained government until successor took office</x:v>
      </x:c>
      <x:c r="J19" s="50" t="str">
        <x:v>V. D. Satheesan sworn in</x:v>
      </x:c>
      <x:c r="K19" s="50" t="str">
        <x:v>P5–P6</x:v>
      </x:c>
      <x:c r="L19" s="50" t="str">
        <x:v>Recorded fact</x:v>
      </x:c>
      <x:c r="M19" s="50" t="str">
        <x:v>Multiple independent sources</x:v>
      </x:c>
      <x:c r="N19" s="51" t="str">
        <x:v>S06; S05; S04</x:v>
      </x:c>
      <x:c r="O19" s="50" t="str">
        <x:v>C-P6-02</x:v>
      </x:c>
      <x:c r="P19" s="50" t="str">
        <x:v>Transition dates are event boundaries, not double-counted days of tenure.</x:v>
      </x:c>
    </x:row>
    <x:row r="20" ht="39" customHeight="1">
      <x:c r="A20" s="46" t="str">
        <x:v>O15</x:v>
      </x:c>
      <x:c r="B20" s="47" t="str">
        <x:v>Elected</x:v>
      </x:c>
      <x:c r="C20" s="47" t="str">
        <x:v>Member of Legislative Assembly</x:v>
      </x:c>
      <x:c r="D20" s="47" t="str">
        <x:v>Kerala Assembly / Dharmadam</x:v>
      </x:c>
      <x:c r="E20" s="81" t="n">
        <x:v>2026</x:v>
      </x:c>
      <x:c r="F20" s="81" t="str">
        <x:v>Ongoing at cut-off</x:v>
      </x:c>
      <x:c r="G20" s="47" t="str">
        <x:v>Election year</x:v>
      </x:c>
      <x:c r="H20" s="47" t="str">
        <x:v>Direct election</x:v>
      </x:c>
      <x:c r="I20" s="47" t="str">
        <x:v>Constituency representation</x:v>
      </x:c>
      <x:c r="J20" s="47" t="str">
        <x:v>Ongoing</x:v>
      </x:c>
      <x:c r="K20" s="47" t="str">
        <x:v>P6</x:v>
      </x:c>
      <x:c r="L20" s="47" t="str">
        <x:v>Recorded fact</x:v>
      </x:c>
      <x:c r="M20" s="47" t="str">
        <x:v>Primary record</x:v>
      </x:c>
      <x:c r="N20" s="48" t="str">
        <x:v>S14; S01</x:v>
      </x:c>
      <x:c r="O20" s="47" t="str">
        <x:v>C-P6-03; C-P6-09</x:v>
      </x:c>
      <x:c r="P20" s="47" t="str">
        <x:v>Election result date is not asserted as oath/term-start date.</x:v>
      </x:c>
    </x:row>
    <x:row r="21" ht="39" customHeight="1">
      <x:c r="A21" s="49" t="str">
        <x:v>O16</x:v>
      </x:c>
      <x:c r="B21" s="50" t="str">
        <x:v>Legislative</x:v>
      </x:c>
      <x:c r="C21" s="50" t="str">
        <x:v>Leader of Opposition</x:v>
      </x:c>
      <x:c r="D21" s="50" t="str">
        <x:v>Kerala Legislative Assembly</x:v>
      </x:c>
      <x:c r="E21" s="82" t="str">
        <x:v>May 2026</x:v>
      </x:c>
      <x:c r="F21" s="82" t="str">
        <x:v>Ongoing at cut-off</x:v>
      </x:c>
      <x:c r="G21" s="50" t="str">
        <x:v>Month; party selection 14 May</x:v>
      </x:c>
      <x:c r="H21" s="50" t="str">
        <x:v>Party legislative leadership followed by Assembly recognition</x:v>
      </x:c>
      <x:c r="I21" s="50" t="str">
        <x:v>Statewide legislative opposition and government scrutiny</x:v>
      </x:c>
      <x:c r="J21" s="50" t="str">
        <x:v>Ongoing</x:v>
      </x:c>
      <x:c r="K21" s="50" t="str">
        <x:v>P6</x:v>
      </x:c>
      <x:c r="L21" s="50" t="str">
        <x:v>Recorded fact</x:v>
      </x:c>
      <x:c r="M21" s="50" t="str">
        <x:v>Primary record</x:v>
      </x:c>
      <x:c r="N21" s="51" t="str">
        <x:v>S01; S03</x:v>
      </x:c>
      <x:c r="O21" s="50" t="str">
        <x:v>C-P6-02; C-P6-07</x:v>
      </x:c>
      <x:c r="P21" s="50" t="str">
        <x:v>Exact formal recognition date not verified; current office confirmed.</x:v>
      </x:c>
    </x:row>
    <x:row r="22" ht="39" customHeight="1">
      <x:c r="A22" s="46" t="str">
        <x:v>O17</x:v>
      </x:c>
      <x:c r="B22" s="47" t="str">
        <x:v>Cooperative</x:v>
      </x:c>
      <x:c r="C22" s="47" t="str">
        <x:v>President</x:v>
      </x:c>
      <x:c r="D22" s="47" t="str">
        <x:v>Kerala State Cooperative Bank</x:v>
      </x:c>
      <x:c r="E22" s="81" t="str">
        <x:v>Not verified</x:v>
      </x:c>
      <x:c r="F22" s="81" t="str">
        <x:v>Not verified</x:v>
      </x:c>
      <x:c r="G22" s="47" t="str">
        <x:v>Dates unavailable</x:v>
      </x:c>
      <x:c r="H22" s="47" t="str">
        <x:v>Selection route not verified</x:v>
      </x:c>
      <x:c r="I22" s="47" t="str">
        <x:v>Cooperative-sector leadership</x:v>
      </x:c>
      <x:c r="J22" s="47" t="str">
        <x:v>Not established</x:v>
      </x:c>
      <x:c r="K22" s="47" t="str">
        <x:v>P1–P3; exact phase unresolved</x:v>
      </x:c>
      <x:c r="L22" s="47" t="str">
        <x:v>Recorded fact</x:v>
      </x:c>
      <x:c r="M22" s="47" t="str">
        <x:v>Interested source only</x:v>
      </x:c>
      <x:c r="N22" s="48" t="str">
        <x:v>S02</x:v>
      </x:c>
      <x:c r="O22" s="47" t="str">
        <x:v>C-P2-07</x:v>
      </x:c>
      <x:c r="P22" s="47" t="str">
        <x:v>Listed in party biography, with no dependable start/end dates located.</x:v>
      </x:c>
    </x:row>
  </x:sheetData>
  <x:pageMargins left="0.7" right="0.7" top="0.75" bottom="0.75" header="0.3" footer="0.3"/>
  <x:tableParts count="1">
    <x:tablePart xmlns:r="http://schemas.openxmlformats.org/officeDocument/2006/relationships" r:id="R7fd9424f1de248d7"/>
  </x:tableParts>
</x:worksheet>
</file>

<file path=xl/worksheets/sheet6.xml><?xml version="1.0" encoding="utf-8"?>
<x:worksheet xmlns:x="http://schemas.openxmlformats.org/spreadsheetml/2006/main">
  <x:sheetPr>
    <x:tabColor rgb="FF0D6B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50" hidden="0" customWidth="1"/>
    <x:col min="4" max="4" width="32" hidden="0" customWidth="1"/>
    <x:col min="5" max="5" width="15" hidden="0" customWidth="1"/>
    <x:col min="6" max="6" width="78" hidden="0" customWidth="1"/>
    <x:col min="7" max="7" width="77" hidden="0" customWidth="1"/>
    <x:col min="8" max="8" width="66" hidden="0" customWidth="1"/>
    <x:col min="9" max="9" width="79" hidden="0" customWidth="1"/>
    <x:col min="10" max="10" width="78" hidden="0" customWidth="1"/>
    <x:col min="11" max="11" width="77" hidden="0" customWidth="1"/>
    <x:col min="12" max="12" width="74" hidden="0" customWidth="1"/>
    <x:col min="13" max="13" width="73" hidden="0" customWidth="1"/>
    <x:col min="14" max="14" width="24" hidden="0" customWidth="1"/>
    <x:col min="15" max="15" width="28" hidden="0" customWidth="1"/>
    <x:col min="16" max="16" width="21" hidden="0" customWidth="1"/>
    <x:col min="17" max="17" width="29" hidden="0" customWidth="1"/>
    <x:col min="18" max="18" width="76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4.75" customHeight="1">
      <x:c r="A2" s="4" t="str">
        <x:v>Policy &amp; governance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8.75" customHeight="1">
      <x:c r="A3" s="6" t="str">
        <x:v>Proposal → adoption → output → outcome → attribution | Administrative claims are labelled; gaps are not scored as success.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37.5" customHeight="1">
      <x:c r="A5" s="18" t="str">
        <x:v>Policy ID</x:v>
      </x:c>
      <x:c r="B5" s="18" t="str">
        <x:v>Domain</x:v>
      </x:c>
      <x:c r="C5" s="18" t="str">
        <x:v>Initiative / decision</x:v>
      </x:c>
      <x:c r="D5" s="18" t="str">
        <x:v>Evidence period</x:v>
      </x:c>
      <x:c r="E5" s="18" t="str">
        <x:v>Career phase</x:v>
      </x:c>
      <x:c r="F5" s="18" t="str">
        <x:v>Documented role / role strength</x:v>
      </x:c>
      <x:c r="G5" s="18" t="str">
        <x:v>Objective / mechanism</x:v>
      </x:c>
      <x:c r="H5" s="18" t="str">
        <x:v>Adoption / implementation stage</x:v>
      </x:c>
      <x:c r="I5" s="18" t="str">
        <x:v>Administrative output / implementation evidence</x:v>
      </x:c>
      <x:c r="J5" s="18" t="str">
        <x:v>Outcome / indicator limits</x:v>
      </x:c>
      <x:c r="K5" s="18" t="str">
        <x:v>Attribution assessment</x:v>
      </x:c>
      <x:c r="L5" s="18" t="str">
        <x:v>Affected groups / trade-offs</x:v>
      </x:c>
      <x:c r="M5" s="18" t="str">
        <x:v>Current / final status</x:v>
      </x:c>
      <x:c r="N5" s="18" t="str">
        <x:v>Claim type</x:v>
      </x:c>
      <x:c r="O5" s="18" t="str">
        <x:v>Corroboration</x:v>
      </x:c>
      <x:c r="P5" s="18" t="str">
        <x:v>Source IDs</x:v>
      </x:c>
      <x:c r="Q5" s="18" t="str">
        <x:v>Context IDs</x:v>
      </x:c>
      <x:c r="R5" s="18" t="str">
        <x:v>Research note</x:v>
      </x:c>
    </x:row>
    <x:row r="6" ht="39" customHeight="1">
      <x:c r="A6" s="19" t="str">
        <x:v>P01</x:v>
      </x:c>
      <x:c r="B6" s="9" t="str">
        <x:v>Public health</x:v>
      </x:c>
      <x:c r="C6" s="9" t="str">
        <x:v>Aardram Mission</x:v>
      </x:c>
      <x:c r="D6" s="9" t="str">
        <x:v>2017–2026</x:v>
      </x:c>
      <x:c r="E6" s="9" t="str">
        <x:v>P4–P5</x:v>
      </x:c>
      <x:c r="F6" s="9" t="str">
        <x:v>Led government adopting the mission; delivery by NHM, local bodies and health staff.</x:v>
      </x:c>
      <x:c r="G6" s="9" t="str">
        <x:v>Convert primary health centres to family health centres; improve service access, staffing and prevention.</x:v>
      </x:c>
      <x:c r="H6" s="9" t="str">
        <x:v>Launched February 2017.</x:v>
      </x:c>
      <x:c r="I6" s="9" t="str">
        <x:v>Official programme describes facility transformation and broader service packages.</x:v>
      </x:c>
      <x:c r="J6" s="9" t="str">
        <x:v>2026 review reports favourable trends but persistent equity and financial-protection gaps.</x:v>
      </x:c>
      <x:c r="K6" s="9" t="str">
        <x:v>A single-group interrupted time series cannot establish causation; Kerala's prior health capacity and local devolution matter.</x:v>
      </x:c>
      <x:c r="L6" s="9" t="str">
        <x:v>Patients and primary-care teams; uneven access and household costs remain relevant.</x:v>
      </x:c>
      <x:c r="M6" s="9" t="str">
        <x:v>Implemented; long-term independent attribution remains limited.</x:v>
      </x:c>
      <x:c r="N6" s="12" t="str">
        <x:v>Analysis</x:v>
      </x:c>
      <x:c r="O6" s="9" t="str">
        <x:v>Primary record</x:v>
      </x:c>
      <x:c r="P6" s="21" t="str">
        <x:v>S20; S21</x:v>
      </x:c>
      <x:c r="Q6" s="9" t="str">
        <x:v>C-P2-09; C-P4-09</x:v>
      </x:c>
      <x:c r="R6" s="9" t="str">
        <x:v>Study covers 2010–2024. No individual effect size assigned to Vijayan.</x:v>
      </x:c>
    </x:row>
    <x:row r="7" ht="39" customHeight="1">
      <x:c r="A7" s="20" t="str">
        <x:v>P02</x:v>
      </x:c>
      <x:c r="B7" s="8" t="str">
        <x:v>Disaster recovery</x:v>
      </x:c>
      <x:c r="C7" s="8" t="str">
        <x:v>2018 flood recovery and needs assessment</x:v>
      </x:c>
      <x:c r="D7" s="8" t="str">
        <x:v>2018 onward</x:v>
      </x:c>
      <x:c r="E7" s="8" t="str">
        <x:v>P4</x:v>
      </x:c>
      <x:c r="F7" s="8" t="str">
        <x:v>Led the state government under which the joint assessment was undertaken.</x:v>
      </x:c>
      <x:c r="G7" s="8" t="str">
        <x:v>Assess damage and prioritize recovery across sectors and affected districts.</x:v>
      </x:c>
      <x:c r="H7" s="8" t="str">
        <x:v>Government-led assessment with UN partners published in December 2018.</x:v>
      </x:c>
      <x:c r="I7" s="8" t="str">
        <x:v>PDNA estimated recovery needs at approximately US$4.4 billion.</x:v>
      </x:c>
      <x:c r="J7" s="8" t="str">
        <x:v>A needs estimate measures required recovery resources, not rebuilding achieved.</x:v>
      </x:c>
      <x:c r="K7" s="8" t="str">
        <x:v>Coordination was institutional and multi-level; no single-leader causal estimate.</x:v>
      </x:c>
      <x:c r="L7" s="8" t="str">
        <x:v>Affected households, workers and local governments; recovery distribution and resilience require follow-up.</x:v>
      </x:c>
      <x:c r="M7" s="8" t="str">
        <x:v>Assessment completed; comprehensive completion audit not established in this review.</x:v>
      </x:c>
      <x:c r="N7" s="8" t="str">
        <x:v>Recorded fact</x:v>
      </x:c>
      <x:c r="O7" s="8" t="str">
        <x:v>Primary record</x:v>
      </x:c>
      <x:c r="P7" s="22" t="str">
        <x:v>S22</x:v>
      </x:c>
      <x:c r="Q7" s="8" t="str">
        <x:v>C-P4-05; C-P4-09</x:v>
      </x:c>
      <x:c r="R7" s="8" t="str">
        <x:v>Dollar estimate is at report-period prices; not converted to present rupees.</x:v>
      </x:c>
    </x:row>
    <x:row r="8" ht="39" customHeight="1">
      <x:c r="A8" s="19" t="str">
        <x:v>P03</x:v>
      </x:c>
      <x:c r="B8" s="9" t="str">
        <x:v>Digital public administration</x:v>
      </x:c>
      <x:c r="C8" s="9" t="str">
        <x:v>Pandemic data management / Sprinklr</x:v>
      </x:c>
      <x:c r="D8" s="9" t="str">
        <x:v>2020</x:v>
      </x:c>
      <x:c r="E8" s="9" t="str">
        <x:v>P4</x:v>
      </x:c>
      <x:c r="F8" s="9" t="str">
        <x:v>Government implemented a data-processing arrangement; CM defended urgency and court-guided continuation.</x:v>
      </x:c>
      <x:c r="G8" s="9" t="str">
        <x:v>Manage pandemic-related information through an external platform.</x:v>
      </x:c>
      <x:c r="H8" s="9" t="str">
        <x:v>Contract subject to High Court scrutiny and interim safeguards.</x:v>
      </x:c>
      <x:c r="I8" s="9" t="str">
        <x:v>Government told the High Court that C-DIT would manage data in May 2020.</x:v>
      </x:c>
      <x:c r="J8" s="9" t="str">
        <x:v>No independently established health-outcome gain or final privacy judgment retrieved.</x:v>
      </x:c>
      <x:c r="K8" s="9" t="str">
        <x:v>Separate emergency data capacity from health outcomes and legality of particular transfers.</x:v>
      </x:c>
      <x:c r="L8" s="9" t="str">
        <x:v>Residents whose sensitive data were handled; consent, security and public oversight.</x:v>
      </x:c>
      <x:c r="M8" s="9" t="str">
        <x:v>Later management arrangement reported; final merits disposition not verified.</x:v>
      </x:c>
      <x:c r="N8" s="12" t="str">
        <x:v>Analysis</x:v>
      </x:c>
      <x:c r="O8" s="9" t="str">
        <x:v>Multiple independent sources</x:v>
      </x:c>
      <x:c r="P8" s="21" t="str">
        <x:v>S48; S49; S50</x:v>
      </x:c>
      <x:c r="Q8" s="9" t="str">
        <x:v>C-P4-02; C-P4-06</x:v>
      </x:c>
      <x:c r="R8" s="9" t="str">
        <x:v>See V05. The later-management statement is narrowly sourced to S50.</x:v>
      </x:c>
    </x:row>
    <x:row r="9" ht="39" customHeight="1">
      <x:c r="A9" s="20" t="str">
        <x:v>P04</x:v>
      </x:c>
      <x:c r="B9" s="8" t="str">
        <x:v>Housing</x:v>
      </x:c>
      <x:c r="C9" s="8" t="str">
        <x:v>LIFE Mission</x:v>
      </x:c>
      <x:c r="D9" s="8" t="str">
        <x:v>2017–2026</x:v>
      </x:c>
      <x:c r="E9" s="8" t="str">
        <x:v>P4–P5</x:v>
      </x:c>
      <x:c r="F9" s="8" t="str">
        <x:v>Led government implementing a housing mission; minister/local bodies and funding partners delivered it.</x:v>
      </x:c>
      <x:c r="G9" s="8" t="str">
        <x:v>Housing assistance to eligible homeless or inadequately housed families.</x:v>
      </x:c>
      <x:c r="H9" s="8" t="str">
        <x:v>Launched in 2017, according to the ministerial account.</x:v>
      </x:c>
      <x:c r="I9" s="8" t="str">
        <x:v>2025 Assembly reply reported 462,412 completed houses and 133,124 under construction.</x:v>
      </x:c>
      <x:c r="J9" s="8" t="str">
        <x:v>Completed units are administrative outputs; durable housing quality and exclusion need beneficiary-level review.</x:v>
      </x:c>
      <x:c r="K9" s="8" t="str">
        <x:v>State, local, central and loan funding complicate allocation of personal credit.</x:v>
      </x:c>
      <x:c r="L9" s="8" t="str">
        <x:v>Eligible households; funding delays and the adequacy of the unit grant were debated.</x:v>
      </x:c>
      <x:c r="M9" s="8" t="str">
        <x:v>Continuing implementation reported in 2025; 2026 campaign totals use a later claim date.</x:v>
      </x:c>
      <x:c r="N9" s="24" t="str">
        <x:v>Attributed position</x:v>
      </x:c>
      <x:c r="O9" s="8" t="str">
        <x:v>Interested source only</x:v>
      </x:c>
      <x:c r="P9" s="22" t="str">
        <x:v>S23; S24</x:v>
      </x:c>
      <x:c r="Q9" s="8" t="str">
        <x:v>C-P4-04; C-P5-04</x:v>
      </x:c>
      <x:c r="R9" s="8" t="str">
        <x:v>Do not combine completed and under-construction houses into completed homes.</x:v>
      </x:c>
    </x:row>
    <x:row r="10" ht="39" customHeight="1">
      <x:c r="A10" s="19" t="str">
        <x:v>P05</x:v>
      </x:c>
      <x:c r="B10" s="9" t="str">
        <x:v>Digital access</x:v>
      </x:c>
      <x:c r="C10" s="9" t="str">
        <x:v>Kerala Fibre Optic Network (KFON)</x:v>
      </x:c>
      <x:c r="D10" s="9" t="str">
        <x:v>2023–2025 evidence</x:v>
      </x:c>
      <x:c r="E10" s="9" t="str">
        <x:v>P5</x:v>
      </x:c>
      <x:c r="F10" s="9" t="str">
        <x:v>Government promoted and implemented connectivity expansion.</x:v>
      </x:c>
      <x:c r="G10" s="9" t="str">
        <x:v>Expand broadband availability, including free connections for eligible low-income households.</x:v>
      </x:c>
      <x:c r="H10" s="9" t="str">
        <x:v>Operational expansion documented.</x:v>
      </x:c>
      <x:c r="I10" s="9" t="str">
        <x:v>Reported total reached 100,098 connections by 21 May 2025.</x:v>
      </x:c>
      <x:c r="J10" s="9" t="str">
        <x:v>Total connections include different categories; they do not measure universal household coverage or all free beneficiaries.</x:v>
      </x:c>
      <x:c r="K10" s="9" t="str">
        <x:v>Implementing institutions, existing networks and household take-up share responsibility.</x:v>
      </x:c>
      <x:c r="L10" s="9" t="str">
        <x:v>Low-income households, offices and commercial users; affordability and actual use differ from network availability.</x:v>
      </x:c>
      <x:c r="M10" s="9" t="str">
        <x:v>Operational; later statewide total not verified.</x:v>
      </x:c>
      <x:c r="N10" s="24" t="str">
        <x:v>Attributed position</x:v>
      </x:c>
      <x:c r="O10" s="9" t="str">
        <x:v>Interested source only</x:v>
      </x:c>
      <x:c r="P10" s="21" t="str">
        <x:v>S25</x:v>
      </x:c>
      <x:c r="Q10" s="9" t="str">
        <x:v>C-P5-04; C-P5-10</x:v>
      </x:c>
      <x:c r="R10" s="9" t="str">
        <x:v>BPL sub-count omitted because the article's phase figures differ by one connection.</x:v>
      </x:c>
    </x:row>
    <x:row r="11" ht="39" customHeight="1">
      <x:c r="A11" s="20" t="str">
        <x:v>P06</x:v>
      </x:c>
      <x:c r="B11" s="8" t="str">
        <x:v>Ports and logistics</x:v>
      </x:c>
      <x:c r="C11" s="8" t="str">
        <x:v>Vizhinjam port operations</x:v>
      </x:c>
      <x:c r="D11" s="8" t="str">
        <x:v>2024–2025 evidence</x:v>
      </x:c>
      <x:c r="E11" s="8" t="str">
        <x:v>P5</x:v>
      </x:c>
      <x:c r="F11" s="8" t="str">
        <x:v>Led state government during opening and operating transition; project involved other public and private actors.</x:v>
      </x:c>
      <x:c r="G11" s="8" t="str">
        <x:v>Develop maritime logistics and port capacity.</x:v>
      </x:c>
      <x:c r="H11" s="8" t="str">
        <x:v>First ship in July 2024; commercial operations reported from December 2024.</x:v>
      </x:c>
      <x:c r="I11" s="8" t="str">
        <x:v>July 2025 report cited 393 ships and about 830,000 containers over the first year.</x:v>
      </x:c>
      <x:c r="J11" s="8" t="str">
        <x:v>Throughput shows use; net jobs, fiscal returns and ecological/social effects require separate evaluation.</x:v>
      </x:c>
      <x:c r="K11" s="8" t="str">
        <x:v>Opening during his tenure does not make a multi-actor project an exclusively personal creation.</x:v>
      </x:c>
      <x:c r="L11" s="8" t="str">
        <x:v>Port users and surrounding communities; land, environment and benefit distribution require scrutiny.</x:v>
      </x:c>
      <x:c r="M11" s="8" t="str">
        <x:v>Operating by 2025.</x:v>
      </x:c>
      <x:c r="N11" s="8" t="str">
        <x:v>Recorded fact</x:v>
      </x:c>
      <x:c r="O11" s="8" t="str">
        <x:v>Single credible source</x:v>
      </x:c>
      <x:c r="P11" s="22" t="str">
        <x:v>S26</x:v>
      </x:c>
      <x:c r="Q11" s="8" t="str">
        <x:v>C-P5-05; C-P5-09</x:v>
      </x:c>
      <x:c r="R11" s="8" t="str">
        <x:v>Containers are reported as such, not relabelled TEUs; no unverified benefit multiplier used.</x:v>
      </x:c>
    </x:row>
    <x:row r="12" ht="39" customHeight="1">
      <x:c r="A12" s="19" t="str">
        <x:v>P07</x:v>
      </x:c>
      <x:c r="B12" s="9" t="str">
        <x:v>Infrastructure finance</x:v>
      </x:c>
      <x:c r="C12" s="9" t="str">
        <x:v>KIIFB development financing</x:v>
      </x:c>
      <x:c r="D12" s="9" t="str">
        <x:v>2016–2026</x:v>
      </x:c>
      <x:c r="E12" s="9" t="str">
        <x:v>P4–P5</x:v>
      </x:c>
      <x:c r="F12" s="9" t="str">
        <x:v>Government supported financing through KIIFB; finance ministers and statutory bodies implemented it.</x:v>
      </x:c>
      <x:c r="G12" s="9" t="str">
        <x:v>Finance capital projects through borrowing and budget-backed transfers.</x:v>
      </x:c>
      <x:c r="H12" s="9" t="str">
        <x:v>Financing mechanism used; audit classification disputed.</x:v>
      </x:c>
      <x:c r="I12" s="9" t="str">
        <x:v>CAG discusses debt servicing from the state budget for KIIFB and KSSPL.</x:v>
      </x:c>
      <x:c r="J12" s="9" t="str">
        <x:v>Future obligations accompany investment; project benefits require project-level evaluation.</x:v>
      </x:c>
      <x:c r="K12" s="9" t="str">
        <x:v>The financing architecture is institutional; neither all benefits nor all liabilities are attributable to one person.</x:v>
      </x:c>
      <x:c r="L12" s="9" t="str">
        <x:v>Infrastructure users and future budgets; transparency and fiscal room are central trade-offs.</x:v>
      </x:c>
      <x:c r="M12" s="9" t="str">
        <x:v>Audit/state disagreement documented through FY2024–25 report.</x:v>
      </x:c>
      <x:c r="N12" s="12" t="str">
        <x:v>Analysis</x:v>
      </x:c>
      <x:c r="O12" s="9" t="str">
        <x:v>Primary record</x:v>
      </x:c>
      <x:c r="P12" s="21" t="str">
        <x:v>S29; S30; S31</x:v>
      </x:c>
      <x:c r="Q12" s="9" t="str">
        <x:v>C-P4-04; C-P5-02</x:v>
      </x:c>
      <x:c r="R12" s="9" t="str">
        <x:v>See V07. KSSPL is a separate social-security pension financing body, not KIIFB.</x:v>
      </x:c>
    </x:row>
    <x:row r="13" ht="39" customHeight="1">
      <x:c r="A13" s="20" t="str">
        <x:v>P08</x:v>
      </x:c>
      <x:c r="B13" s="8" t="str">
        <x:v>Public finance</x:v>
      </x:c>
      <x:c r="C13" s="8" t="str">
        <x:v>FY2024–25 fiscal position</x:v>
      </x:c>
      <x:c r="D13" s="8" t="str">
        <x:v>Financial year ended 31 March 2025</x:v>
      </x:c>
      <x:c r="E13" s="8" t="str">
        <x:v>P5</x:v>
      </x:c>
      <x:c r="F13" s="8" t="str">
        <x:v>Head of government; budgets and financial administration shared with finance ministry and legislature.</x:v>
      </x:c>
      <x:c r="G13" s="8" t="str">
        <x:v>Fund public services and investment within fiscal constraints.</x:v>
      </x:c>
      <x:c r="H13" s="8" t="str">
        <x:v>Audited annual accounts.</x:v>
      </x:c>
      <x:c r="I13" s="8" t="str">
        <x:v>Revenue deficit ₹31,327.63 crore; fiscal deficit ₹48,510.20 crore.</x:v>
      </x:c>
      <x:c r="J13" s="8" t="str">
        <x:v>CAG ratios: 2.51% and 3.89% of GSDP respectively; liabilities 35.74% of GSDP.</x:v>
      </x:c>
      <x:c r="K13" s="8" t="str">
        <x:v>Macroeconomy, inherited obligations and Union-state arrangements affect results; no isolated leader effect.</x:v>
      </x:c>
      <x:c r="L13" s="8" t="str">
        <x:v>Residents and future budgets; service provision must be weighed against repayment and fiscal space.</x:v>
      </x:c>
      <x:c r="M13" s="8" t="str">
        <x:v>Audited report tabled June 2026, after change of government.</x:v>
      </x:c>
      <x:c r="N13" s="8" t="str">
        <x:v>Recorded fact</x:v>
      </x:c>
      <x:c r="O13" s="8" t="str">
        <x:v>Primary record</x:v>
      </x:c>
      <x:c r="P13" s="22" t="str">
        <x:v>S29; S59; S57</x:v>
      </x:c>
      <x:c r="Q13" s="8" t="str">
        <x:v>C-P5-02; C-P5-10</x:v>
      </x:c>
      <x:c r="R13" s="8" t="str">
        <x:v>Audited actuals must not be substituted with earlier ministerial projections.</x:v>
      </x:c>
    </x:row>
    <x:row r="14" ht="39" customHeight="1">
      <x:c r="A14" s="19" t="str">
        <x:v>P09</x:v>
      </x:c>
      <x:c r="B14" s="9" t="str">
        <x:v>Public education</x:v>
      </x:c>
      <x:c r="C14" s="9" t="str">
        <x:v>School infrastructure review / Vidyakiranam</x:v>
      </x:c>
      <x:c r="D14" s="9" t="str">
        <x:v>May 2025 district review</x:v>
      </x:c>
      <x:c r="E14" s="9" t="str">
        <x:v>P5</x:v>
      </x:c>
      <x:c r="F14" s="9" t="str">
        <x:v>CM chaired a review of development programmes.</x:v>
      </x:c>
      <x:c r="G14" s="9" t="str">
        <x:v>Upgrade public-school facilities through departmental and local implementation.</x:v>
      </x:c>
      <x:c r="H14" s="9" t="str">
        <x:v>Projects at different stages.</x:v>
      </x:c>
      <x:c r="I14" s="9" t="str">
        <x:v>Thiruvananthapuram review reported 47 school upgrades completed and 79 ongoing.</x:v>
      </x:c>
      <x:c r="J14" s="9" t="str">
        <x:v>Building completion is not a learning-outcome measure.</x:v>
      </x:c>
      <x:c r="K14" s="9" t="str">
        <x:v>District officials, schools and funding institutions deliver works; no state-wide causal claim.</x:v>
      </x:c>
      <x:c r="L14" s="9" t="str">
        <x:v>Students and teachers; quality and equitable access need separate evidence.</x:v>
      </x:c>
      <x:c r="M14" s="9" t="str">
        <x:v>Mixed completed and ongoing district projects.</x:v>
      </x:c>
      <x:c r="N14" s="24" t="str">
        <x:v>Attributed position</x:v>
      </x:c>
      <x:c r="O14" s="9" t="str">
        <x:v>Interested source only</x:v>
      </x:c>
      <x:c r="P14" s="21" t="str">
        <x:v>S33</x:v>
      </x:c>
      <x:c r="Q14" s="9" t="str">
        <x:v>C-P5-09; C-P5-10</x:v>
      </x:c>
      <x:c r="R14" s="9" t="str">
        <x:v>The geography is Thiruvananthapuram district, not all Kerala.</x:v>
      </x:c>
    </x:row>
    <x:row r="15" ht="39" customHeight="1">
      <x:c r="A15" s="20" t="str">
        <x:v>P10</x:v>
      </x:c>
      <x:c r="B15" s="8" t="str">
        <x:v>Environment and local services</x:v>
      </x:c>
      <x:c r="C15" s="8" t="str">
        <x:v>Waste-management and Haritha Kerala review</x:v>
      </x:c>
      <x:c r="D15" s="8" t="str">
        <x:v>May 2025 district review</x:v>
      </x:c>
      <x:c r="E15" s="8" t="str">
        <x:v>P5</x:v>
      </x:c>
      <x:c r="F15" s="8" t="str">
        <x:v>CM reviewed programme implementation.</x:v>
      </x:c>
      <x:c r="G15" s="8" t="str">
        <x:v>Expand local waste collection and environmental service provision.</x:v>
      </x:c>
      <x:c r="H15" s="8" t="str">
        <x:v>Local implementation reported.</x:v>
      </x:c>
      <x:c r="I15" s="8" t="str">
        <x:v>District review reported 80.84% waste-collection coverage.</x:v>
      </x:c>
      <x:c r="J15" s="8" t="str">
        <x:v>Coverage alone does not establish safe treatment, reduced pollution or health gains.</x:v>
      </x:c>
      <x:c r="K15" s="8" t="str">
        <x:v>Local bodies and service workers determine delivery; reported coverage lacks independent audit here.</x:v>
      </x:c>
      <x:c r="L15" s="8" t="str">
        <x:v>Households and service workers; disposal quality and occupational conditions need evaluation.</x:v>
      </x:c>
      <x:c r="M15" s="8" t="str">
        <x:v>Ongoing service programme.</x:v>
      </x:c>
      <x:c r="N15" s="24" t="str">
        <x:v>Attributed position</x:v>
      </x:c>
      <x:c r="O15" s="8" t="str">
        <x:v>Interested source only</x:v>
      </x:c>
      <x:c r="P15" s="22" t="str">
        <x:v>S33</x:v>
      </x:c>
      <x:c r="Q15" s="8" t="str">
        <x:v>C-P5-09; C-P5-10</x:v>
      </x:c>
      <x:c r="R15" s="8" t="str">
        <x:v>Retain district/report-date scope; no extrapolation to statewide performance.</x:v>
      </x:c>
    </x:row>
    <x:row r="16" ht="39" customHeight="1">
      <x:c r="A16" s="19" t="str">
        <x:v>P11</x:v>
      </x:c>
      <x:c r="B16" s="9" t="str">
        <x:v>Poverty and welfare</x:v>
      </x:c>
      <x:c r="C16" s="9" t="str">
        <x:v>Extreme Poverty Eradication Programme</x:v>
      </x:c>
      <x:c r="D16" s="9" t="str">
        <x:v>2021–2026</x:v>
      </x:c>
      <x:c r="E16" s="9" t="str">
        <x:v>P5</x:v>
      </x:c>
      <x:c r="F16" s="9" t="str">
        <x:v>Government led targeted household identification and support; CM announced completion and defended the definition.</x:v>
      </x:c>
      <x:c r="G16" s="9" t="str">
        <x:v>Address extreme deprivation among 64,006 administratively identified households; EPEP 2.0 addresses further cases/relapse.</x:v>
      </x:c>
      <x:c r="H16" s="9" t="str">
        <x:v>Declaration made 1 November 2025.</x:v>
      </x:c>
      <x:c r="I16" s="9" t="str">
        <x:v>Government presented the identified-household programme as completed.</x:v>
      </x:c>
      <x:c r="J16" s="9" t="str">
        <x:v>Administrative rehabilitation is distinct from eliminating all monetary or multidimensional poverty.</x:v>
      </x:c>
      <x:c r="K16" s="9" t="str">
        <x:v>Verification requires household follow-up, coverage assessment and consideration of prior welfare systems.</x:v>
      </x:c>
      <x:c r="L16" s="9" t="str">
        <x:v>Identified families; omitted households and risk of relapse affect the claim's scope.</x:v>
      </x:c>
      <x:c r="M16" s="9" t="str">
        <x:v>CM defended declaration in January 2026; no independent all-poverty elimination finding adopted.</x:v>
      </x:c>
      <x:c r="N16" s="24" t="str">
        <x:v>Attributed position</x:v>
      </x:c>
      <x:c r="O16" s="9" t="str">
        <x:v>Interested source only</x:v>
      </x:c>
      <x:c r="P16" s="21" t="str">
        <x:v>S32</x:v>
      </x:c>
      <x:c r="Q16" s="9" t="str">
        <x:v>C-P5-08; C-P5-04</x:v>
      </x:c>
      <x:c r="R16" s="9" t="str">
        <x:v>The target group is not a universal poverty census.</x:v>
      </x:c>
    </x:row>
    <x:row r="17" ht="39" customHeight="1">
      <x:c r="A17" s="20" t="str">
        <x:v>P12</x:v>
      </x:c>
      <x:c r="B17" s="8" t="str">
        <x:v>Transport planning</x:v>
      </x:c>
      <x:c r="C17" s="8" t="str">
        <x:v>SilverLine and proposed RRTS alternative</x:v>
      </x:c>
      <x:c r="D17" s="8" t="str">
        <x:v>To May 2026</x:v>
      </x:c>
      <x:c r="E17" s="8" t="str">
        <x:v>P4–P6</x:v>
      </x:c>
      <x:c r="F17" s="8" t="str">
        <x:v>Government sponsored SilverLine; cabinet later approved an RRTS proposal.</x:v>
      </x:c>
      <x:c r="G17" s="8" t="str">
        <x:v>Proposed faster intercity travel along Kerala's corridor.</x:v>
      </x:c>
      <x:c r="H17" s="8" t="str">
        <x:v>Vijayan said lack of Union approval led to the revised January 2026 proposal.</x:v>
      </x:c>
      <x:c r="I17" s="8" t="str">
        <x:v>Proposal approvals and debate documented; no completed line attributed.</x:v>
      </x:c>
      <x:c r="J17" s="8" t="str">
        <x:v>No realised passenger-time or economic benefits established.</x:v>
      </x:c>
      <x:c r="K17" s="8" t="str">
        <x:v>Union approvals, finance and implementation arrangements constrain state decisions.</x:v>
      </x:c>
      <x:c r="L17" s="8" t="str">
        <x:v>Potential passengers and landholders; costs, acquisition and feasibility require project-specific review.</x:v>
      </x:c>
      <x:c r="M17" s="8" t="str">
        <x:v>Successor government announced plans to scrap SilverLine in May 2026.</x:v>
      </x:c>
      <x:c r="N17" s="8" t="str">
        <x:v>Recorded fact</x:v>
      </x:c>
      <x:c r="O17" s="8" t="str">
        <x:v>Multiple independent sources</x:v>
      </x:c>
      <x:c r="P17" s="22" t="str">
        <x:v>S27; S28</x:v>
      </x:c>
      <x:c r="Q17" s="8" t="str">
        <x:v>C-P5-09; C-P6-04</x:v>
      </x:c>
      <x:c r="R17" s="8" t="str">
        <x:v>Announcement of cancellation is distinguished from verification of every formal order.</x:v>
      </x:c>
    </x:row>
    <x:row r="18" ht="39" customHeight="1">
      <x:c r="A18" s="19" t="str">
        <x:v>P13</x:v>
      </x:c>
      <x:c r="B18" s="9" t="str">
        <x:v>Gender and workplace accountability</x:v>
      </x:c>
      <x:c r="C18" s="9" t="str">
        <x:v>Hema Committee</x:v>
      </x:c>
      <x:c r="D18" s="9" t="str">
        <x:v>2017–2024 and follow-up</x:v>
      </x:c>
      <x:c r="E18" s="9" t="str">
        <x:v>P4–P5</x:v>
      </x:c>
      <x:c r="F18" s="9" t="str">
        <x:v>Government appointed inquiry and controlled report disclosure.</x:v>
      </x:c>
      <x:c r="G18" s="9" t="str">
        <x:v>Investigate conditions facing women in Malayalam cinema.</x:v>
      </x:c>
      <x:c r="H18" s="9" t="str">
        <x:v>Committee appointed 2017; submitted report December 2019.</x:v>
      </x:c>
      <x:c r="I18" s="9" t="str">
        <x:v>Redacted report released 19 August 2024.</x:v>
      </x:c>
      <x:c r="J18" s="9" t="str">
        <x:v>Public disclosure exposed institutional issues; recommendation implementation and survivor outcomes remain incompletely established.</x:v>
      </x:c>
      <x:c r="K18" s="9" t="str">
        <x:v>Women in Cinema Collective advocacy and committee work are distinct contributions.</x:v>
      </x:c>
      <x:c r="L18" s="9" t="str">
        <x:v>Women film workers; privacy, public accountability and remedies must be considered together.</x:v>
      </x:c>
      <x:c r="M18" s="9" t="str">
        <x:v>Disclosure completed; comprehensive implementation status not verified.</x:v>
      </x:c>
      <x:c r="N18" s="12" t="str">
        <x:v>Analysis</x:v>
      </x:c>
      <x:c r="O18" s="9" t="str">
        <x:v>Multiple independent sources</x:v>
      </x:c>
      <x:c r="P18" s="21" t="str">
        <x:v>S44; S45</x:v>
      </x:c>
      <x:c r="Q18" s="9" t="str">
        <x:v>C-G-08; C-G-10</x:v>
      </x:c>
      <x:c r="R18" s="9" t="str">
        <x:v>See V03; report creation does not resolve criticism of delayed publication.</x:v>
      </x:c>
    </x:row>
    <x:row r="19" ht="39" customHeight="1">
      <x:c r="A19" s="20" t="str">
        <x:v>P14</x:v>
      </x:c>
      <x:c r="B19" s="8" t="str">
        <x:v>Gender equality and religious practice</x:v>
      </x:c>
      <x:c r="C19" s="8" t="str">
        <x:v>Sabarimala response and Women's Wall</x:v>
      </x:c>
      <x:c r="D19" s="8" t="str">
        <x:v>2018–2019</x:v>
      </x:c>
      <x:c r="E19" s="8" t="str">
        <x:v>P4</x:v>
      </x:c>
      <x:c r="F19" s="8" t="str">
        <x:v>Backed implementation of the 2018 court ruling and supported public equality mobilization.</x:v>
      </x:c>
      <x:c r="G19" s="8" t="str">
        <x:v>Advance equality while responding to a contested temple-access ruling.</x:v>
      </x:c>
      <x:c r="H19" s="8" t="str">
        <x:v>Government/community mobilization implemented.</x:v>
      </x:c>
      <x:c r="I19" s="8" t="str">
        <x:v>Women's Wall held on 1 January 2019.</x:v>
      </x:c>
      <x:c r="J19" s="8" t="str">
        <x:v>Demonstrates mobilization and an equality position; durable social change not quantified.</x:v>
      </x:c>
      <x:c r="K19" s="8" t="str">
        <x:v>Court, women activists, community organizations and police had separate roles.</x:v>
      </x:c>
      <x:c r="L19" s="8" t="str">
        <x:v>Women and religious communities; rights, belief and public order were contested.</x:v>
      </x:c>
      <x:c r="M19" s="8" t="str">
        <x:v>Historic event verified; later review litigation not resolved in this workbook.</x:v>
      </x:c>
      <x:c r="N19" s="8" t="str">
        <x:v>Recorded fact</x:v>
      </x:c>
      <x:c r="O19" s="8" t="str">
        <x:v>Multiple independent sources</x:v>
      </x:c>
      <x:c r="P19" s="22" t="str">
        <x:v>S46; S47</x:v>
      </x:c>
      <x:c r="Q19" s="8" t="str">
        <x:v>C-G-07; C-P4-08</x:v>
      </x:c>
      <x:c r="R19" s="8" t="str">
        <x:v>Do not assume all women or religious participants held a single position.</x:v>
      </x:c>
    </x:row>
    <x:row r="20" ht="39" customHeight="1">
      <x:c r="A20" s="19" t="str">
        <x:v>P15</x:v>
      </x:c>
      <x:c r="B20" s="9" t="str">
        <x:v>Disaster governance</x:v>
      </x:c>
      <x:c r="C20" s="9" t="str">
        <x:v>Wayanad landslide response: assessment boundary</x:v>
      </x:c>
      <x:c r="D20" s="9" t="str">
        <x:v>2024 onward</x:v>
      </x:c>
      <x:c r="E20" s="9" t="str">
        <x:v>P5</x:v>
      </x:c>
      <x:c r="F20" s="9" t="str">
        <x:v>Head of government during the disaster; detailed recovery actions not reconstructed in selected sources.</x:v>
      </x:c>
      <x:c r="G20" s="9" t="str">
        <x:v>Emergency relief and longer-term risk reduction were governance responsibilities.</x:v>
      </x:c>
      <x:c r="H20" s="9" t="str">
        <x:v>Disaster and wider risk context documented.</x:v>
      </x:c>
      <x:c r="I20" s="9" t="str">
        <x:v>No verified full recovery-output series assembled.</x:v>
      </x:c>
      <x:c r="J20" s="9" t="str">
        <x:v>No defensible personal performance score from event reporting alone.</x:v>
      </x:c>
      <x:c r="K20" s="9" t="str">
        <x:v>Rainfall, exposure, land use and multiple institutions require separate examination.</x:v>
      </x:c>
      <x:c r="L20" s="9" t="str">
        <x:v>Affected hill communities; relief, resettlement and risk distribution need targeted follow-up.</x:v>
      </x:c>
      <x:c r="M20" s="9" t="str">
        <x:v>Research gap on complete implementation and recovery outcomes.</x:v>
      </x:c>
      <x:c r="N20" s="12" t="str">
        <x:v>Analysis</x:v>
      </x:c>
      <x:c r="O20" s="9" t="str">
        <x:v>Single credible source</x:v>
      </x:c>
      <x:c r="P20" s="21" t="str">
        <x:v>S56</x:v>
      </x:c>
      <x:c r="Q20" s="9" t="str">
        <x:v>C-P5-05</x:v>
      </x:c>
      <x:c r="R20" s="9" t="str">
        <x:v>This row records a consequential crisis and an evidence gap, not an achievement claim.</x:v>
      </x:c>
    </x:row>
    <x:row r="21" ht="39" customHeight="1">
      <x:c r="A21" s="20" t="str">
        <x:v>P16</x:v>
      </x:c>
      <x:c r="B21" s="8" t="str">
        <x:v>Electricity and cooperation</x:v>
      </x:c>
      <x:c r="C21" s="8" t="str">
        <x:v>Power-sector modernization decisions</x:v>
      </x:c>
      <x:c r="D21" s="8" t="str">
        <x:v>1996–1998</x:v>
      </x:c>
      <x:c r="E21" s="8" t="str">
        <x:v>P2</x:v>
      </x:c>
      <x:c r="F21" s="8" t="str">
        <x:v>Minister responsible for electricity and cooperation.</x:v>
      </x:c>
      <x:c r="G21" s="8" t="str">
        <x:v>Modernize hydropower facilities through contracted work.</x:v>
      </x:c>
      <x:c r="H21" s="8" t="str">
        <x:v>SNC-Lavalin contract decisions made during ministerial period.</x:v>
      </x:c>
      <x:c r="I21" s="8" t="str">
        <x:v>Contract record later subjected to audit and investigation.</x:v>
      </x:c>
      <x:c r="J21" s="8" t="str">
        <x:v>No independently reconstructed project-level outcome measure included.</x:v>
      </x:c>
      <x:c r="K21" s="8" t="str">
        <x:v>Earlier agreements, other officials and contractor performance must be separated from individual responsibility.</x:v>
      </x:c>
      <x:c r="L21" s="8" t="str">
        <x:v>Electricity users and public finances; procurement and value-for-money questions arose.</x:v>
      </x:c>
      <x:c r="M21" s="8" t="str">
        <x:v>Vijayan discharged; High Court upheld discharge; later appeal disposition not verified.</x:v>
      </x:c>
      <x:c r="N21" s="8" t="str">
        <x:v>Recorded fact</x:v>
      </x:c>
      <x:c r="O21" s="8" t="str">
        <x:v>Multiple independent sources</x:v>
      </x:c>
      <x:c r="P21" s="22" t="str">
        <x:v>S01; S39; S40; S41</x:v>
      </x:c>
      <x:c r="Q21" s="8" t="str">
        <x:v>C-P2-02; C-P2-04</x:v>
      </x:c>
      <x:c r="R21" s="8" t="str">
        <x:v>Detailed accountability chronology in V01.</x:v>
      </x:c>
    </x:row>
  </x:sheetData>
  <x:pageMargins left="0.7" right="0.7" top="0.75" bottom="0.75" header="0.3" footer="0.3"/>
  <x:tableParts count="1">
    <x:tablePart xmlns:r="http://schemas.openxmlformats.org/officeDocument/2006/relationships" r:id="Rf6ca77f41622485e"/>
  </x:tableParts>
</x:worksheet>
</file>

<file path=xl/worksheets/sheet7.xml><?xml version="1.0" encoding="utf-8"?>
<x:worksheet xmlns:x="http://schemas.openxmlformats.org/spreadsheetml/2006/main">
  <x:sheetPr>
    <x:tabColor rgb="FF0D6B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50" hidden="0" customWidth="1"/>
    <x:col min="4" max="4" width="29" hidden="0" customWidth="1"/>
    <x:col min="5" max="5" width="15" hidden="0" customWidth="1"/>
    <x:col min="6" max="6" width="79" hidden="0" customWidth="1"/>
    <x:col min="7" max="7" width="62" hidden="0" customWidth="1"/>
    <x:col min="8" max="8" width="68" hidden="0" customWidth="1"/>
    <x:col min="9" max="9" width="53" hidden="0" customWidth="1"/>
    <x:col min="10" max="10" width="77" hidden="0" customWidth="1"/>
    <x:col min="11" max="11" width="24" hidden="0" customWidth="1"/>
    <x:col min="12" max="12" width="28" hidden="0" customWidth="1"/>
    <x:col min="13" max="13" width="21" hidden="0" customWidth="1"/>
    <x:col min="14" max="14" width="32" hidden="0" customWidth="1"/>
    <x:col min="15" max="15" width="79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.75" customHeight="1">
      <x:c r="A2" s="4" t="str">
        <x:v>Ideas &amp; political method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18.75" customHeight="1">
      <x:c r="A3" s="6" t="str">
        <x:v>Documented positions and organizational choices | Motives are analysis unless expressly evidenced.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7.5" customHeight="1">
      <x:c r="A5" s="18" t="str">
        <x:v>Idea ID</x:v>
      </x:c>
      <x:c r="B5" s="18" t="str">
        <x:v>Category</x:v>
      </x:c>
      <x:c r="C5" s="18" t="str">
        <x:v>Topic</x:v>
      </x:c>
      <x:c r="D5" s="18" t="str">
        <x:v>Period</x:v>
      </x:c>
      <x:c r="E5" s="18" t="str">
        <x:v>Career phase</x:v>
      </x:c>
      <x:c r="F5" s="18" t="str">
        <x:v>Position / method</x:v>
      </x:c>
      <x:c r="G5" s="18" t="str">
        <x:v>Evidence type / basis</x:v>
      </x:c>
      <x:c r="H5" s="18" t="str">
        <x:v>Change over time</x:v>
      </x:c>
      <x:c r="I5" s="18" t="str">
        <x:v>Actors / institutions</x:v>
      </x:c>
      <x:c r="J5" s="18" t="str">
        <x:v>Interpretation / consequence</x:v>
      </x:c>
      <x:c r="K5" s="18" t="str">
        <x:v>Claim type</x:v>
      </x:c>
      <x:c r="L5" s="18" t="str">
        <x:v>Corroboration</x:v>
      </x:c>
      <x:c r="M5" s="18" t="str">
        <x:v>Source IDs</x:v>
      </x:c>
      <x:c r="N5" s="18" t="str">
        <x:v>Context IDs</x:v>
      </x:c>
      <x:c r="O5" s="18" t="str">
        <x:v>Research note</x:v>
      </x:c>
    </x:row>
    <x:row r="6" ht="39" customHeight="1">
      <x:c r="A6" s="19" t="str">
        <x:v>I01</x:v>
      </x:c>
      <x:c r="B6" s="9" t="str">
        <x:v>Ideology</x:v>
      </x:c>
      <x:c r="C6" s="9" t="str">
        <x:v>Communist organizational identity</x:v>
      </x:c>
      <x:c r="D6" s="9" t="str">
        <x:v>1964–2026</x:v>
      </x:c>
      <x:c r="E6" s="9" t="str">
        <x:v>P1–P6</x:v>
      </x:c>
      <x:c r="F6" s="9" t="str">
        <x:v>CPI(M) affiliation and long party service are central to his documented public identity.</x:v>
      </x:c>
      <x:c r="G6" s="9" t="str">
        <x:v>Membership, organizational posts and party programme.</x:v>
      </x:c>
      <x:c r="H6" s="9" t="str">
        <x:v>Shift from student/youth organization to party leadership, executive office and opposition.</x:v>
      </x:c>
      <x:c r="I6" s="9" t="str">
        <x:v>CPI(M) and its mass organizations.</x:v>
      </x:c>
      <x:c r="J6" s="9" t="str">
        <x:v>Party institutions supply a stronger evidence base than guesses about private ideological motives.</x:v>
      </x:c>
      <x:c r="K6" s="12" t="str">
        <x:v>Analysis</x:v>
      </x:c>
      <x:c r="L6" s="9" t="str">
        <x:v>Primary record</x:v>
      </x:c>
      <x:c r="M6" s="21" t="str">
        <x:v>S01; S02; S17</x:v>
      </x:c>
      <x:c r="N6" s="9" t="str">
        <x:v>C-P1-01; C-P3-07</x:v>
      </x:c>
      <x:c r="O6" s="9" t="str">
        <x:v>The programme is collective party doctrine; it is not evidence that every policy followed it.</x:v>
      </x:c>
    </x:row>
    <x:row r="7" ht="39" customHeight="1">
      <x:c r="A7" s="20" t="str">
        <x:v>I02</x:v>
      </x:c>
      <x:c r="B7" s="8" t="str">
        <x:v>Organization</x:v>
      </x:c>
      <x:c r="C7" s="8" t="str">
        <x:v>Discipline and centralized leadership</x:v>
      </x:c>
      <x:c r="D7" s="8" t="str">
        <x:v>1998–2026</x:v>
      </x:c>
      <x:c r="E7" s="8" t="str">
        <x:v>P3–P6</x:v>
      </x:c>
      <x:c r="F7" s="8" t="str">
        <x:v>Profiles describe a forceful organizer; public rivalry and party discipline reveal limits to personal authority.</x:v>
      </x:c>
      <x:c r="G7" s="8" t="str">
        <x:v>Career profiles and 2007 suspension.</x:v>
      </x:c>
      <x:c r="H7" s="8" t="str">
        <x:v>Long state-secretary tenure preceded a more visible chief-ministerial role.</x:v>
      </x:c>
      <x:c r="I7" s="8" t="str">
        <x:v>V. S. Achuthanandan, Politburo and state party committees.</x:v>
      </x:c>
      <x:c r="J7" s="8" t="str">
        <x:v>Organizational consolidation can support coordinated action while narrowing internal debate.</x:v>
      </x:c>
      <x:c r="K7" s="13" t="str">
        <x:v>Analysis</x:v>
      </x:c>
      <x:c r="L7" s="8" t="str">
        <x:v>Multiple independent sources</x:v>
      </x:c>
      <x:c r="M7" s="22" t="str">
        <x:v>S15; S16; S54</x:v>
      </x:c>
      <x:c r="N7" s="8" t="str">
        <x:v>C-P3-01; C-P3-07</x:v>
      </x:c>
      <x:c r="O7" s="8" t="str">
        <x:v>The coordination/debate trade-off is workbook analysis, not a measured causal result.</x:v>
      </x:c>
    </x:row>
    <x:row r="8" ht="39" customHeight="1">
      <x:c r="A8" s="19" t="str">
        <x:v>I03</x:v>
      </x:c>
      <x:c r="B8" s="9" t="str">
        <x:v>Welfare and economy</x:v>
      </x:c>
      <x:c r="C8" s="9" t="str">
        <x:v>Public provision plus infrastructure finance</x:v>
      </x:c>
      <x:c r="D8" s="9" t="str">
        <x:v>2016–2026</x:v>
      </x:c>
      <x:c r="E8" s="9" t="str">
        <x:v>P4–P5</x:v>
      </x:c>
      <x:c r="F8" s="9" t="str">
        <x:v>Governance combined public-service missions with borrowing-backed infrastructure development.</x:v>
      </x:c>
      <x:c r="G8" s="9" t="str">
        <x:v>Aardram design and KIIFB audit record.</x:v>
      </x:c>
      <x:c r="H8" s="9" t="str">
        <x:v>Expanded delivery and financing were followed by fiscal scrutiny.</x:v>
      </x:c>
      <x:c r="I8" s="9" t="str">
        <x:v>Cabinet, finance ministry, local bodies and statutory entities.</x:v>
      </x:c>
      <x:c r="J8" s="9" t="str">
        <x:v>Policy breadth should be evaluated against outputs, distribution and future liabilities separately.</x:v>
      </x:c>
      <x:c r="K8" s="12" t="str">
        <x:v>Analysis</x:v>
      </x:c>
      <x:c r="L8" s="9" t="str">
        <x:v>Primary record</x:v>
      </x:c>
      <x:c r="M8" s="21" t="str">
        <x:v>S20; S29; S31</x:v>
      </x:c>
      <x:c r="N8" s="9" t="str">
        <x:v>C-P4-04; C-P5-04</x:v>
      </x:c>
      <x:c r="O8" s="9" t="str">
        <x:v>No overall success score assigned.</x:v>
      </x:c>
    </x:row>
    <x:row r="9" ht="39" customHeight="1">
      <x:c r="A9" s="20" t="str">
        <x:v>I04</x:v>
      </x:c>
      <x:c r="B9" s="8" t="str">
        <x:v>Federalism</x:v>
      </x:c>
      <x:c r="C9" s="8" t="str">
        <x:v>State autonomy and fiscal demands</x:v>
      </x:c>
      <x:c r="D9" s="8" t="str">
        <x:v>2025–2026</x:v>
      </x:c>
      <x:c r="E9" s="8" t="str">
        <x:v>P5</x:v>
      </x:c>
      <x:c r="F9" s="8" t="str">
        <x:v>He criticized Union interference, centralized finance and language imposition.</x:v>
      </x:c>
      <x:c r="G9" s="8" t="str">
        <x:v>Public speech and Assembly resolution.</x:v>
      </x:c>
      <x:c r="H9" s="8" t="str">
        <x:v>Continuity of autonomy claims while seeking approvals and central support.</x:v>
      </x:c>
      <x:c r="I9" s="8" t="str">
        <x:v>Union government, state legislature and opposition.</x:v>
      </x:c>
      <x:c r="J9" s="8" t="str">
        <x:v>The stance is documented; validity of each discrimination allegation requires its own record.</x:v>
      </x:c>
      <x:c r="K9" s="24" t="str">
        <x:v>Attributed position</x:v>
      </x:c>
      <x:c r="L9" s="8" t="str">
        <x:v>Multiple independent sources</x:v>
      </x:c>
      <x:c r="M9" s="22" t="str">
        <x:v>S34; S35</x:v>
      </x:c>
      <x:c r="N9" s="8" t="str">
        <x:v>C-P5-02</x:v>
      </x:c>
      <x:c r="O9" s="8" t="str">
        <x:v>Speech/reporting establishes what was argued, not proof of all underlying allegations.</x:v>
      </x:c>
    </x:row>
    <x:row r="10" ht="39" customHeight="1">
      <x:c r="A10" s="19" t="str">
        <x:v>I05</x:v>
      </x:c>
      <x:c r="B10" s="9" t="str">
        <x:v>Secularism and social policy</x:v>
      </x:c>
      <x:c r="C10" s="9" t="str">
        <x:v>Equality amid religious contestation</x:v>
      </x:c>
      <x:c r="D10" s="9" t="str">
        <x:v>2018–2025</x:v>
      </x:c>
      <x:c r="E10" s="9" t="str">
        <x:v>P4–P5</x:v>
      </x:c>
      <x:c r="F10" s="9" t="str">
        <x:v>Supported women's equality mobilization and publicly defended secularism.</x:v>
      </x:c>
      <x:c r="G10" s="9" t="str">
        <x:v>Sabarimala-related organizing and later speech.</x:v>
      </x:c>
      <x:c r="H10" s="9" t="str">
        <x:v>Rights commitments encountered contestation in practical implementation.</x:v>
      </x:c>
      <x:c r="I10" s="9" t="str">
        <x:v>Women's organizations, community groups and religious participants.</x:v>
      </x:c>
      <x:c r="J10" s="9" t="str">
        <x:v>A stated secular/equality position does not settle every policy's effects.</x:v>
      </x:c>
      <x:c r="K10" s="12" t="str">
        <x:v>Analysis</x:v>
      </x:c>
      <x:c r="L10" s="9" t="str">
        <x:v>Multiple independent sources</x:v>
      </x:c>
      <x:c r="M10" s="21" t="str">
        <x:v>S46; S47; S34</x:v>
      </x:c>
      <x:c r="N10" s="9" t="str">
        <x:v>C-G-07; C-P4-08</x:v>
      </x:c>
      <x:c r="O10" s="9" t="str">
        <x:v>Avoid attributing a uniform view to whole communities.</x:v>
      </x:c>
    </x:row>
    <x:row r="11" ht="39" customHeight="1">
      <x:c r="A11" s="20" t="str">
        <x:v>I06</x:v>
      </x:c>
      <x:c r="B11" s="8" t="str">
        <x:v>Communication</x:v>
      </x:c>
      <x:c r="C11" s="8" t="str">
        <x:v>Public briefings and campaign report cards</x:v>
      </x:c>
      <x:c r="D11" s="8" t="str">
        <x:v>2020–2026</x:v>
      </x:c>
      <x:c r="E11" s="8" t="str">
        <x:v>P4–P5</x:v>
      </x:c>
      <x:c r="F11" s="8" t="str">
        <x:v>Used public responses to allegations and a ten-year government report card.</x:v>
      </x:c>
      <x:c r="G11" s="8" t="str">
        <x:v>Press briefing coverage and report-card launch.</x:v>
      </x:c>
      <x:c r="H11" s="8" t="str">
        <x:v>Crisis communication and electoral performance presentation served different functions.</x:v>
      </x:c>
      <x:c r="I11" s="8" t="str">
        <x:v>News media, opponents and residents.</x:v>
      </x:c>
      <x:c r="J11" s="8" t="str">
        <x:v>Visibility can enable scrutiny, but communications claims need independent verification.</x:v>
      </x:c>
      <x:c r="K11" s="13" t="str">
        <x:v>Analysis</x:v>
      </x:c>
      <x:c r="L11" s="8" t="str">
        <x:v>Multiple independent sources</x:v>
      </x:c>
      <x:c r="M11" s="22" t="str">
        <x:v>S52; S24</x:v>
      </x:c>
      <x:c r="N11" s="8" t="str">
        <x:v>C-P4-06; C-P5-06</x:v>
      </x:c>
      <x:c r="O11" s="8" t="str">
        <x:v>Completion rhetoric is not an audited completion measure.</x:v>
      </x:c>
    </x:row>
    <x:row r="12" ht="39" customHeight="1">
      <x:c r="A12" s="19" t="str">
        <x:v>I07</x:v>
      </x:c>
      <x:c r="B12" s="9" t="str">
        <x:v>Leadership renewal</x:v>
      </x:c>
      <x:c r="C12" s="9" t="str">
        <x:v>Cabinet replacement with continuity at the top</x:v>
      </x:c>
      <x:c r="D12" s="9" t="str">
        <x:v>2021</x:v>
      </x:c>
      <x:c r="E12" s="9" t="str">
        <x:v>P5</x:v>
      </x:c>
      <x:c r="F12" s="9" t="str">
        <x:v>Defended replacing the previous ministerial team as development of future leadership.</x:v>
      </x:c>
      <x:c r="G12" s="9" t="str">
        <x:v>Interview and cabinet-selection reports.</x:v>
      </x:c>
      <x:c r="H12" s="9" t="str">
        <x:v>New ministers entered while the chief minister continued.</x:v>
      </x:c>
      <x:c r="I12" s="9" t="str">
        <x:v>K. K. Shailaja, incoming ministers including P. A. Mohammed Riyas, and party leadership.</x:v>
      </x:c>
      <x:c r="J12" s="9" t="str">
        <x:v>The decision is concrete; motives and comparative competence are not established by composition alone.</x:v>
      </x:c>
      <x:c r="K12" s="24" t="str">
        <x:v>Attributed position</x:v>
      </x:c>
      <x:c r="L12" s="9" t="str">
        <x:v>Multiple independent sources</x:v>
      </x:c>
      <x:c r="M12" s="21" t="str">
        <x:v>S18; S19</x:v>
      </x:c>
      <x:c r="N12" s="9" t="str">
        <x:v>C-P5-07; C-G-03; C-G-04</x:v>
      </x:c>
      <x:c r="O12" s="9" t="str">
        <x:v>Family relationship is relevant to scrutiny, not proof of improper appointment.</x:v>
      </x:c>
    </x:row>
    <x:row r="13" ht="39" customHeight="1">
      <x:c r="A13" s="20" t="str">
        <x:v>I08</x:v>
      </x:c>
      <x:c r="B13" s="8" t="str">
        <x:v>Electoral strategy</x:v>
      </x:c>
      <x:c r="C13" s="8" t="str">
        <x:v>Local mandate versus coalition fortunes</x:v>
      </x:c>
      <x:c r="D13" s="8" t="str">
        <x:v>2016–2026</x:v>
      </x:c>
      <x:c r="E13" s="8" t="str">
        <x:v>P4–P6</x:v>
      </x:c>
      <x:c r="F13" s="8" t="str">
        <x:v>Retained Dharmadam through both government terms and the 2026 defeat.</x:v>
      </x:c>
      <x:c r="G13" s="8" t="str">
        <x:v>Three official constituency results and opposition selection.</x:v>
      </x:c>
      <x:c r="H13" s="8" t="str">
        <x:v>Personal victory persisted as governing status changed.</x:v>
      </x:c>
      <x:c r="I13" s="8" t="str">
        <x:v>Dharmadam voters, LDF and UDF.</x:v>
      </x:c>
      <x:c r="J13" s="8" t="str">
        <x:v>Separate personal electoral resilience from state-level political support.</x:v>
      </x:c>
      <x:c r="K13" s="13" t="str">
        <x:v>Analysis</x:v>
      </x:c>
      <x:c r="L13" s="8" t="str">
        <x:v>Primary record</x:v>
      </x:c>
      <x:c r="M13" s="22" t="str">
        <x:v>S12; S13; S14; S03</x:v>
      </x:c>
      <x:c r="N13" s="8" t="str">
        <x:v>C-P5-03; C-P6-03</x:v>
      </x:c>
      <x:c r="O13" s="8" t="str">
        <x:v>Declining margin is descriptive; the cause is not identified.</x:v>
      </x:c>
    </x:row>
    <x:row r="14" ht="39" customHeight="1">
      <x:c r="A14" s="19" t="str">
        <x:v>I09</x:v>
      </x:c>
      <x:c r="B14" s="9" t="str">
        <x:v>Public memory</x:v>
      </x:c>
      <x:c r="C14" s="9" t="str">
        <x:v>Individual stature and collective-party language</x:v>
      </x:c>
      <x:c r="D14" s="9" t="str">
        <x:v>2025–2026</x:v>
      </x:c>
      <x:c r="E14" s="9" t="str">
        <x:v>P5–P6</x:v>
      </x:c>
      <x:c r="F14" s="9" t="str">
        <x:v>A celebratory documentary foregrounded him; he responded by emphasizing formation through the party.</x:v>
      </x:c>
      <x:c r="G14" s="9" t="str">
        <x:v>Documentary-release report and later leadership commentary.</x:v>
      </x:c>
      <x:c r="H14" s="9" t="str">
        <x:v>Admiring public-memory framing was followed by defeat-focused commentary.</x:v>
      </x:c>
      <x:c r="I14" s="9" t="str">
        <x:v>Supporter organizations, journalists and party colleagues.</x:v>
      </x:c>
      <x:c r="J14" s="9" t="str">
        <x:v>Public image can contain both personal authority and collective-legitimacy claims.</x:v>
      </x:c>
      <x:c r="K14" s="12" t="str">
        <x:v>Analysis</x:v>
      </x:c>
      <x:c r="L14" s="9" t="str">
        <x:v>Multiple independent sources</x:v>
      </x:c>
      <x:c r="M14" s="21" t="str">
        <x:v>S36; S58</x:v>
      </x:c>
      <x:c r="N14" s="9" t="str">
        <x:v>C-G-05; C-G-09</x:v>
      </x:c>
      <x:c r="O14" s="9" t="str">
        <x:v>No inference of an intentional masculinity strategy or a measured personality cult.</x:v>
      </x:c>
    </x:row>
    <x:row r="15" ht="39" customHeight="1">
      <x:c r="A15" s="20" t="str">
        <x:v>I10</x:v>
      </x:c>
      <x:c r="B15" s="8" t="str">
        <x:v>Opposition method</x:v>
      </x:c>
      <x:c r="C15" s="8" t="str">
        <x:v>Continuity after executive defeat</x:v>
      </x:c>
      <x:c r="D15" s="8" t="str">
        <x:v>May–September 2026</x:v>
      </x:c>
      <x:c r="E15" s="8" t="str">
        <x:v>P6</x:v>
      </x:c>
      <x:c r="F15" s="8" t="str">
        <x:v>Accepted legislative opposition leadership after the LDF's electoral loss.</x:v>
      </x:c>
      <x:c r="G15" s="8" t="str">
        <x:v>Party selection and current Assembly record.</x:v>
      </x:c>
      <x:c r="H15" s="8" t="str">
        <x:v>Role changed from directing government to scrutinizing it.</x:v>
      </x:c>
      <x:c r="I15" s="8" t="str">
        <x:v>CPI(M) legislature party and Satheesan government.</x:v>
      </x:c>
      <x:c r="J15" s="8" t="str">
        <x:v>Whether experience supports renewal or prolongs concentration of leadership remains open.</x:v>
      </x:c>
      <x:c r="K15" s="13" t="str">
        <x:v>Analysis</x:v>
      </x:c>
      <x:c r="L15" s="8" t="str">
        <x:v>Multiple independent sources</x:v>
      </x:c>
      <x:c r="M15" s="22" t="str">
        <x:v>S03; S01; S04</x:v>
      </x:c>
      <x:c r="N15" s="8" t="str">
        <x:v>C-P6-01; C-P6-07</x:v>
      </x:c>
      <x:c r="O15" s="8" t="str">
        <x:v>Assessment is provisional because the new phase is short.</x:v>
      </x:c>
    </x:row>
  </x:sheetData>
  <x:pageMargins left="0.7" right="0.7" top="0.75" bottom="0.75" header="0.3" footer="0.3"/>
  <x:tableParts count="1">
    <x:tablePart xmlns:r="http://schemas.openxmlformats.org/officeDocument/2006/relationships" r:id="R81e25899f57c46df"/>
  </x:tableParts>
</x:worksheet>
</file>

<file path=xl/worksheets/sheet8.xml><?xml version="1.0" encoding="utf-8"?>
<x:worksheet xmlns:x="http://schemas.openxmlformats.org/spreadsheetml/2006/main">
  <x:sheetPr>
    <x:tabColor rgb="FFA16A3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54" hidden="0" customWidth="1"/>
    <x:col min="3" max="3" width="17" hidden="0" customWidth="1"/>
    <x:col min="4" max="4" width="29" hidden="0" customWidth="1"/>
    <x:col min="5" max="5" width="18" hidden="0" customWidth="1"/>
    <x:col min="6" max="6" width="40" hidden="0" customWidth="1"/>
    <x:col min="7" max="7" width="81" hidden="0" customWidth="1"/>
    <x:col min="8" max="8" width="80" hidden="0" customWidth="1"/>
    <x:col min="9" max="9" width="57" hidden="0" customWidth="1"/>
    <x:col min="10" max="10" width="84" hidden="0" customWidth="1"/>
    <x:col min="11" max="11" width="65" hidden="0" customWidth="1"/>
    <x:col min="12" max="12" width="91" hidden="0" customWidth="1"/>
    <x:col min="13" max="13" width="89" hidden="0" customWidth="1"/>
    <x:col min="14" max="14" width="67" hidden="0" customWidth="1"/>
    <x:col min="15" max="15" width="24" hidden="0" customWidth="1"/>
    <x:col min="16" max="16" width="28" hidden="0" customWidth="1"/>
    <x:col min="17" max="17" width="25" hidden="0" customWidth="1"/>
    <x:col min="18" max="18" width="34" hidden="0" customWidth="1"/>
    <x:col min="19" max="19" width="87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.75" customHeight="1">
      <x:c r="A2" s="4" t="str">
        <x:v>Controversies &amp; accountability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18.75" customHeight="1">
      <x:c r="A3" s="6" t="str">
        <x:v>Allegation, response and finding remain separate | Latest verified status date is matter-specific; cut-off is 15 September 2026.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7.5" customHeight="1">
      <x:c r="A5" s="64" t="str">
        <x:v>Matter ID</x:v>
      </x:c>
      <x:c r="B5" s="64" t="str">
        <x:v>Matter</x:v>
      </x:c>
      <x:c r="C5" s="64" t="str">
        <x:v>Start</x:v>
      </x:c>
      <x:c r="D5" s="64" t="str">
        <x:v>Latest verified status date</x:v>
      </x:c>
      <x:c r="E5" s="64" t="str">
        <x:v>Career phase</x:v>
      </x:c>
      <x:c r="F5" s="64" t="str">
        <x:v>Category</x:v>
      </x:c>
      <x:c r="G5" s="64" t="str">
        <x:v>Neutral description</x:v>
      </x:c>
      <x:c r="H5" s="64" t="str">
        <x:v>Allegation / criticism</x:v>
      </x:c>
      <x:c r="I5" s="64" t="str">
        <x:v>Who alleged / reviewed</x:v>
      </x:c>
      <x:c r="J5" s="64" t="str">
        <x:v>Subject / government response</x:v>
      </x:c>
      <x:c r="K5" s="64" t="str">
        <x:v>Authority / forum</x:v>
      </x:c>
      <x:c r="L5" s="64" t="str">
        <x:v>Procedural status</x:v>
      </x:c>
      <x:c r="M5" s="64" t="str">
        <x:v>Finding / disposition / remaining uncertainty</x:v>
      </x:c>
      <x:c r="N5" s="64" t="str">
        <x:v>Political / institutional consequence</x:v>
      </x:c>
      <x:c r="O5" s="64" t="str">
        <x:v>Claim type</x:v>
      </x:c>
      <x:c r="P5" s="64" t="str">
        <x:v>Corroboration</x:v>
      </x:c>
      <x:c r="Q5" s="64" t="str">
        <x:v>Source IDs</x:v>
      </x:c>
      <x:c r="R5" s="64" t="str">
        <x:v>Context IDs</x:v>
      </x:c>
      <x:c r="S5" s="64" t="str">
        <x:v>Research note</x:v>
      </x:c>
    </x:row>
    <x:row r="6" ht="39" customHeight="1">
      <x:c r="A6" s="46" t="str">
        <x:v>V01</x:v>
      </x:c>
      <x:c r="B6" s="47" t="str">
        <x:v>SNC-Lavalin hydropower contracts</x:v>
      </x:c>
      <x:c r="C6" s="47" t="n">
        <x:v>1996</x:v>
      </x:c>
      <x:c r="D6" s="25" t="n">
        <x:v>45328</x:v>
      </x:c>
      <x:c r="E6" s="47" t="str">
        <x:v>P2–P5</x:v>
      </x:c>
      <x:c r="F6" s="47" t="str">
        <x:v>Procurement / judicial proceedings</x:v>
      </x:c>
      <x:c r="G6" s="47" t="str">
        <x:v>Contract decisions during his electricity ministry led to investigation of alleged loss and irregularity.</x:v>
      </x:c>
      <x:c r="H6" s="47" t="str">
        <x:v>CBI challenged the discharge of Vijayan and other accused in the power-project matter.</x:v>
      </x:c>
      <x:c r="I6" s="47" t="str">
        <x:v>CBI; earlier audit and investigative processes.</x:v>
      </x:c>
      <x:c r="J6" s="47" t="str">
        <x:v>Defence contested the prosecution; Vijayan obtained discharge, subsequently upheld by the High Court.</x:v>
      </x:c>
      <x:c r="K6" s="47" t="str">
        <x:v>Special CBI Court; Kerala High Court; Supreme Court appeal.</x:v>
      </x:c>
      <x:c r="L6" s="47" t="str">
        <x:v>Discharged in 2013; High Court upheld on 23 August 2017. Supreme Court appeal listed for hearing in 2024.</x:v>
      </x:c>
      <x:c r="M6" s="47" t="str">
        <x:v>No conviction of Vijayan established in the reviewed record; later final appeal disposal not verified.</x:v>
      </x:c>
      <x:c r="N6" s="47" t="str">
        <x:v>Persistent political controversy despite the favourable discharge decisions.</x:v>
      </x:c>
      <x:c r="O6" s="47" t="str">
        <x:v>Recorded fact</x:v>
      </x:c>
      <x:c r="P6" s="47" t="str">
        <x:v>Multiple independent sources</x:v>
      </x:c>
      <x:c r="Q6" s="48" t="str">
        <x:v>S39; S40; S41</x:v>
      </x:c>
      <x:c r="R6" s="47" t="str">
        <x:v>C-P2-02; C-P3-02; C-P4-02</x:v>
      </x:c>
      <x:c r="S6" s="47" t="str">
        <x:v>Listing for a hearing is not disposal. Original orders and complete later docket were not retrieved.</x:v>
      </x:c>
    </x:row>
    <x:row r="7" ht="39" customHeight="1">
      <x:c r="A7" s="49" t="str">
        <x:v>V02</x:v>
      </x:c>
      <x:c r="B7" s="50" t="str">
        <x:v>Exalogic / CMRL payment allegations</x:v>
      </x:c>
      <x:c r="C7" s="50" t="n">
        <x:v>2023</x:v>
      </x:c>
      <x:c r="D7" s="14" t="n">
        <x:v>46275</x:v>
      </x:c>
      <x:c r="E7" s="50" t="str">
        <x:v>P5–P6</x:v>
      </x:c>
      <x:c r="F7" s="50" t="str">
        <x:v>Alleged corruption / investigation</x:v>
      </x:c>
      <x:c r="G7" s="50" t="str">
        <x:v>Reported agency scrutiny concerns payments involving Veena Vijayan's Exalogic and Cochin Minerals and Rutile Ltd.</x:v>
      </x:c>
      <x:c r="H7" s="50" t="str">
        <x:v>ED sought a separate police FIR against Vijayan, Veena and others over alleged improper payments.</x:v>
      </x:c>
      <x:c r="I7" s="50" t="str">
        <x:v>Enforcement Directorate, as reported by The Indian Express.</x:v>
      </x:c>
      <x:c r="J7" s="50" t="str">
        <x:v>Vijayan categorically denied illegal transactions involving his family and alleged political targeting; he said he would cooperate.</x:v>
      </x:c>
      <x:c r="K7" s="50" t="str">
        <x:v>ED; Kerala Police/state government considering the recommendation.</x:v>
      </x:c>
      <x:c r="L7" s="50" t="str">
        <x:v>9 September report described an ED recommendation; 10 September report said the state would scrutinise it legally.</x:v>
      </x:c>
      <x:c r="M7" s="50" t="str">
        <x:v>No later FIR registration, charge or judicial finding against Vijayan verified by this review.</x:v>
      </x:c>
      <x:c r="N7" s="50" t="str">
        <x:v>New accountability pressure during his opposition leadership.</x:v>
      </x:c>
      <x:c r="O7" s="52" t="str">
        <x:v>Disputed/uncertain</x:v>
      </x:c>
      <x:c r="P7" s="50" t="str">
        <x:v>Multiple independent sources</x:v>
      </x:c>
      <x:c r="Q7" s="51" t="str">
        <x:v>S42; S43</x:v>
      </x:c>
      <x:c r="R7" s="50" t="str">
        <x:v>C-P6-10; C-G-03</x:v>
      </x:c>
      <x:c r="S7" s="50" t="str">
        <x:v>Latest verified reporting date differs from the workbook cut-off. CMRL here is Cochin Minerals and Rutile Ltd.</x:v>
      </x:c>
    </x:row>
    <x:row r="8" ht="39" customHeight="1">
      <x:c r="A8" s="46" t="str">
        <x:v>V03</x:v>
      </x:c>
      <x:c r="B8" s="47" t="str">
        <x:v>Hema Committee disclosure and implementation</x:v>
      </x:c>
      <x:c r="C8" s="47" t="n">
        <x:v>2017</x:v>
      </x:c>
      <x:c r="D8" s="25" t="n">
        <x:v>45526</x:v>
      </x:c>
      <x:c r="E8" s="47" t="str">
        <x:v>P4–P5</x:v>
      </x:c>
      <x:c r="F8" s="47" t="str">
        <x:v>Gender / administrative accountability</x:v>
      </x:c>
      <x:c r="G8" s="47" t="str">
        <x:v>Government-appointed inquiry submitted its report in December 2019; redacted publication followed in August 2024.</x:v>
      </x:c>
      <x:c r="H8" s="47" t="str">
        <x:v>Critics questioned the long delay and the adequacy of action on women's workplace safety.</x:v>
      </x:c>
      <x:c r="I8" s="47" t="str">
        <x:v>Women film workers/advocates and public critics, reported in S44.</x:v>
      </x:c>
      <x:c r="J8" s="47" t="str">
        <x:v>CM said privacy protection and the committee chair's request explained non-publication; denied deliberate withholding.</x:v>
      </x:c>
      <x:c r="K8" s="47" t="str">
        <x:v>Kerala government; Hema Committee; separate authorities for individual complaints.</x:v>
      </x:c>
      <x:c r="L8" s="47" t="str">
        <x:v>Redacted report released 19 August 2024.</x:v>
      </x:c>
      <x:c r="M8" s="47" t="str">
        <x:v>Inquiry findings identify industry-level problems; they do not establish each individual's criminal guilt.</x:v>
      </x:c>
      <x:c r="N8" s="47" t="str">
        <x:v>Expanded public scrutiny of film-industry power and government response.</x:v>
      </x:c>
      <x:c r="O8" s="47" t="str">
        <x:v>Recorded fact</x:v>
      </x:c>
      <x:c r="P8" s="47" t="str">
        <x:v>Multiple independent sources</x:v>
      </x:c>
      <x:c r="Q8" s="48" t="str">
        <x:v>S44; S45</x:v>
      </x:c>
      <x:c r="R8" s="47" t="str">
        <x:v>C-G-08; C-G-10; C-P5-08</x:v>
      </x:c>
      <x:c r="S8" s="47" t="str">
        <x:v>Comprehensive later implementation and individual case outcomes were not verified.</x:v>
      </x:c>
    </x:row>
    <x:row r="9" ht="39" customHeight="1">
      <x:c r="A9" s="49" t="str">
        <x:v>V04</x:v>
      </x:c>
      <x:c r="B9" s="50" t="str">
        <x:v>Sabarimala implementation and Women's Wall</x:v>
      </x:c>
      <x:c r="C9" s="50" t="n">
        <x:v>2018</x:v>
      </x:c>
      <x:c r="D9" s="50" t="str">
        <x:v>2019-01</x:v>
      </x:c>
      <x:c r="E9" s="50" t="str">
        <x:v>P4</x:v>
      </x:c>
      <x:c r="F9" s="50" t="str">
        <x:v>Rights / religious practice / political conflict</x:v>
      </x:c>
      <x:c r="G9" s="50" t="str">
        <x:v>Government supported women's access after the 2018 Supreme Court ruling and backed equality mobilization.</x:v>
      </x:c>
      <x:c r="H9" s="50" t="str">
        <x:v>Opponents challenged interference with religious practice and government sponsorship of mobilization.</x:v>
      </x:c>
      <x:c r="I9" s="50" t="str">
        <x:v>Religious and political opponents described in contemporaneous reporting.</x:v>
      </x:c>
      <x:c r="J9" s="50" t="str">
        <x:v>Vijayan defended equality and a social-reform rationale.</x:v>
      </x:c>
      <x:c r="K9" s="50" t="str">
        <x:v>Supreme Court litigation; state administration; public political debate.</x:v>
      </x:c>
      <x:c r="L9" s="50" t="str">
        <x:v>Women's Wall took place 1 January 2019; historic government stance is documented.</x:v>
      </x:c>
      <x:c r="M9" s="50" t="str">
        <x:v>No personal criminal finding against Vijayan asserted; later review litigation not adjudicated by this workbook.</x:v>
      </x:c>
      <x:c r="N9" s="50" t="str">
        <x:v>A major conflict over equality, belief and state action.</x:v>
      </x:c>
      <x:c r="O9" s="50" t="str">
        <x:v>Recorded fact</x:v>
      </x:c>
      <x:c r="P9" s="50" t="str">
        <x:v>Multiple independent sources</x:v>
      </x:c>
      <x:c r="Q9" s="51" t="str">
        <x:v>S46; S47</x:v>
      </x:c>
      <x:c r="R9" s="50" t="str">
        <x:v>C-P4-08; C-G-07</x:v>
      </x:c>
      <x:c r="S9" s="50" t="str">
        <x:v>Do not infer a uniform position among women, believers or entire communities.</x:v>
      </x:c>
    </x:row>
    <x:row r="10" ht="39" customHeight="1">
      <x:c r="A10" s="46" t="str">
        <x:v>V05</x:v>
      </x:c>
      <x:c r="B10" s="47" t="str">
        <x:v>Sprinklr pandemic data arrangement</x:v>
      </x:c>
      <x:c r="C10" s="47" t="n">
        <x:v>2020</x:v>
      </x:c>
      <x:c r="D10" s="25" t="n">
        <x:v>43972</x:v>
      </x:c>
      <x:c r="E10" s="47" t="str">
        <x:v>P4</x:v>
      </x:c>
      <x:c r="F10" s="47" t="str">
        <x:v>Privacy / public procurement</x:v>
      </x:c>
      <x:c r="G10" s="47" t="str">
        <x:v>Kerala used an external data-processing arrangement during the COVID emergency.</x:v>
      </x:c>
      <x:c r="H10" s="47" t="str">
        <x:v>Questions concerned consent, sensitive health information, contractual safeguards and approval procedure.</x:v>
      </x:c>
      <x:c r="I10" s="47" t="str">
        <x:v>Petitioners and Kerala High Court questions, reported by NDTV.</x:v>
      </x:c>
      <x:c r="J10" s="47" t="str">
        <x:v>CM defended proceeding subject to High Court directions; government invoked emergency administrative needs.</x:v>
      </x:c>
      <x:c r="K10" s="47" t="str">
        <x:v>Kerala High Court; state administration.</x:v>
      </x:c>
      <x:c r="L10" s="47" t="str">
        <x:v>April 2020 scrutiny and interim safeguards reported; later management arrangement is recorded in P03.</x:v>
      </x:c>
      <x:c r="M10" s="47" t="str">
        <x:v>No final merits judgment or independently quantified harm verified.</x:v>
      </x:c>
      <x:c r="N10" s="47" t="str">
        <x:v>Raised questions about emergency capacity, privacy and public oversight.</x:v>
      </x:c>
      <x:c r="O10" s="47" t="str">
        <x:v>Recorded fact</x:v>
      </x:c>
      <x:c r="P10" s="47" t="str">
        <x:v>Multiple independent sources</x:v>
      </x:c>
      <x:c r="Q10" s="48" t="str">
        <x:v>S48; S49; S50</x:v>
      </x:c>
      <x:c r="R10" s="47" t="str">
        <x:v>C-P4-02; C-P4-06</x:v>
      </x:c>
      <x:c r="S10" s="47" t="str">
        <x:v>Judicial questions and interim conditions are not findings of guilt. See P03 for the narrowly sourced May update.</x:v>
      </x:c>
    </x:row>
    <x:row r="11" ht="39" customHeight="1">
      <x:c r="A11" s="49" t="str">
        <x:v>V06</x:v>
      </x:c>
      <x:c r="B11" s="50" t="str">
        <x:v>Gold-smuggling case and proximity to the CMO</x:v>
      </x:c>
      <x:c r="C11" s="50" t="n">
        <x:v>2020</x:v>
      </x:c>
      <x:c r="D11" s="14" t="n">
        <x:v>46031</x:v>
      </x:c>
      <x:c r="E11" s="50" t="str">
        <x:v>P4–P5</x:v>
      </x:c>
      <x:c r="F11" s="50" t="str">
        <x:v>Criminal investigation / political accountability</x:v>
      </x:c>
      <x:c r="G11" s="50" t="str">
        <x:v>A July 2020 customs seizure led to investigations involving others and scrutiny of people connected to the CMO.</x:v>
      </x:c>
      <x:c r="H11" s="50" t="str">
        <x:v>Opposition leaders alleged protection and improper links; later public allegations implicated the CM politically.</x:v>
      </x:c>
      <x:c r="I11" s="50" t="str">
        <x:v>Congress/BJP opposition figures and individuals involved in the matter; not adopted as findings.</x:v>
      </x:c>
      <x:c r="J11" s="50" t="str">
        <x:v>Vijayan denied CMO involvement or shielding anyone and said the government was open to investigation.</x:v>
      </x:c>
      <x:c r="K11" s="50" t="str">
        <x:v>Customs and other investigating agencies; competent courts for individual cases.</x:v>
      </x:c>
      <x:c r="L11" s="50" t="str">
        <x:v>M. Sivasankar was removed from CM/IT secretary roles in July 2020. Later reporting revisited the investigation.</x:v>
      </x:c>
      <x:c r="M11" s="50" t="str">
        <x:v>No final judicial finding establishing Vijayan's involvement was verified here; case status against each other person is not consolidated.</x:v>
      </x:c>
      <x:c r="N11" s="50" t="str">
        <x:v>Political pressure over administrative appointments and proximity to power.</x:v>
      </x:c>
      <x:c r="O11" s="52" t="str">
        <x:v>Disputed/uncertain</x:v>
      </x:c>
      <x:c r="P11" s="50" t="str">
        <x:v>Multiple independent sources</x:v>
      </x:c>
      <x:c r="Q11" s="51" t="str">
        <x:v>S52; S53</x:v>
      </x:c>
      <x:c r="R11" s="50" t="str">
        <x:v>C-P4-06; C-P5-10</x:v>
      </x:c>
      <x:c r="S11" s="50" t="str">
        <x:v>A former aide's alleged conduct is not proof against the CM. January 2026 personnel reporting is not case disposal.</x:v>
      </x:c>
    </x:row>
    <x:row r="12" ht="39" customHeight="1">
      <x:c r="A12" s="46" t="str">
        <x:v>V07</x:v>
      </x:c>
      <x:c r="B12" s="47" t="str">
        <x:v>KIIFB/KSSPL borrowing classification and fiscal transparency</x:v>
      </x:c>
      <x:c r="C12" s="47" t="n">
        <x:v>2020</x:v>
      </x:c>
      <x:c r="D12" s="25" t="n">
        <x:v>46196</x:v>
      </x:c>
      <x:c r="E12" s="47" t="str">
        <x:v>P4–P6</x:v>
      </x:c>
      <x:c r="F12" s="47" t="str">
        <x:v>Audit / fiscal accountability</x:v>
      </x:c>
      <x:c r="G12" s="47" t="str">
        <x:v>CAG and the state differed over the treatment and reporting of budget-supported borrowing by public entities.</x:v>
      </x:c>
      <x:c r="H12" s="47" t="str">
        <x:v>CAG treated budget-serviced obligations as state liabilities and identified reporting differences.</x:v>
      </x:c>
      <x:c r="I12" s="47" t="str">
        <x:v>Comptroller and Auditor General of India.</x:v>
      </x:c>
      <x:c r="J12" s="47" t="str">
        <x:v>State replies argued grants and guarantees were constitutionally/budgetarily authorized and the entities were separate; ministers defended development financing.</x:v>
      </x:c>
      <x:c r="K12" s="47" t="str">
        <x:v>CAG audit; Kerala legislature; related federal borrowing dispute.</x:v>
      </x:c>
      <x:c r="L12" s="47" t="str">
        <x:v>FY2024–25 report includes state replies and audit rebuttal; tabled June 2026.</x:v>
      </x:c>
      <x:c r="M12" s="47" t="str">
        <x:v>An audit disagreement and fiscal-accounting finding, not a criminal conviction; final resolution of related court questions not verified.</x:v>
      </x:c>
      <x:c r="N12" s="47" t="str">
        <x:v>Affects transparency, borrowing space and assessment of development costs.</x:v>
      </x:c>
      <x:c r="O12" s="47" t="str">
        <x:v>Recorded fact</x:v>
      </x:c>
      <x:c r="P12" s="47" t="str">
        <x:v>Primary record</x:v>
      </x:c>
      <x:c r="Q12" s="48" t="str">
        <x:v>S29; S30; S31; S57; S59</x:v>
      </x:c>
      <x:c r="R12" s="47" t="str">
        <x:v>C-P4-04; C-P5-02; C-P5-10</x:v>
      </x:c>
      <x:c r="S12" s="47" t="str">
        <x:v>Do not treat an Assembly resolution against an audit paragraph as judicial nullification of the audit.</x:v>
      </x:c>
    </x:row>
    <x:row r="13" ht="39" customHeight="1">
      <x:c r="A13" s="49" t="str">
        <x:v>V08</x:v>
      </x:c>
      <x:c r="B13" s="50" t="str">
        <x:v>2021 cabinet renewal, Shailaja exclusion and family ties</x:v>
      </x:c>
      <x:c r="C13" s="50" t="n">
        <x:v>2021</x:v>
      </x:c>
      <x:c r="D13" s="14" t="n">
        <x:v>44338</x:v>
      </x:c>
      <x:c r="E13" s="50" t="str">
        <x:v>P5</x:v>
      </x:c>
      <x:c r="F13" s="50" t="str">
        <x:v>Political selection / representation</x:v>
      </x:c>
      <x:c r="G13" s="50" t="str">
        <x:v>The outgoing ministerial team was replaced while Vijayan continued; K. K. Shailaja was excluded and son-in-law Riyas entered.</x:v>
      </x:c>
      <x:c r="H13" s="50" t="str">
        <x:v>Critics questioned the exception for the CM, loss of an experienced minister and the family relationship.</x:v>
      </x:c>
      <x:c r="I13" s="50" t="str">
        <x:v>Public critics and commentary in contemporaneous cabinet reporting.</x:v>
      </x:c>
      <x:c r="J13" s="50" t="str">
        <x:v>Vijayan defended a new team as an investment in future leadership.</x:v>
      </x:c>
      <x:c r="K13" s="50" t="str">
        <x:v>CPI(M)/LDF selection process; public political debate.</x:v>
      </x:c>
      <x:c r="L13" s="50" t="str">
        <x:v>Cabinet renewal implemented.</x:v>
      </x:c>
      <x:c r="M13" s="50" t="str">
        <x:v>No finding of nepotism or gender discrimination established by the selected sources.</x:v>
      </x:c>
      <x:c r="N13" s="50" t="str">
        <x:v>Raised questions about continuity, succession and gender representation.</x:v>
      </x:c>
      <x:c r="O13" s="50" t="str">
        <x:v>Recorded fact</x:v>
      </x:c>
      <x:c r="P13" s="50" t="str">
        <x:v>Multiple independent sources</x:v>
      </x:c>
      <x:c r="Q13" s="51" t="str">
        <x:v>S18; S19</x:v>
      </x:c>
      <x:c r="R13" s="50" t="str">
        <x:v>C-P5-07; C-G-03; C-G-04</x:v>
      </x:c>
      <x:c r="S13" s="50" t="str">
        <x:v>All prior ministers, including men, were affected by renewal; that fact does not settle every ethical criticism.</x:v>
      </x:c>
    </x:row>
    <x:row r="14" ht="39" customHeight="1">
      <x:c r="A14" s="46" t="str">
        <x:v>V09</x:v>
      </x:c>
      <x:c r="B14" s="47" t="str">
        <x:v>Alan Shuhaib and Thaha Fasal UAPA arrests</x:v>
      </x:c>
      <x:c r="C14" s="47" t="n">
        <x:v>2019</x:v>
      </x:c>
      <x:c r="D14" s="25" t="n">
        <x:v>43832</x:v>
      </x:c>
      <x:c r="E14" s="47" t="str">
        <x:v>P4</x:v>
      </x:c>
      <x:c r="F14" s="47" t="str">
        <x:v>Civil liberties / policing</x:v>
      </x:c>
      <x:c r="G14" s="47" t="str">
        <x:v>The 2019 arrests of two young men under UAPA drew criticism of the state government's policing.</x:v>
      </x:c>
      <x:c r="H14" s="47" t="str">
        <x:v>Family critics challenged the use of anti-terror law and the CM's stance.</x:v>
      </x:c>
      <x:c r="I14" s="47" t="str">
        <x:v>Alan Shuhaib's mother and other critics, reported by The News Minute.</x:v>
      </x:c>
      <x:c r="J14" s="47" t="str">
        <x:v>CM supported the police's stated suspicion of Maoist links, as reported; alleged links are not treated as proven.</x:v>
      </x:c>
      <x:c r="K14" s="47" t="str">
        <x:v>Kerala Police, later NIA and competent courts.</x:v>
      </x:c>
      <x:c r="L14" s="47" t="str">
        <x:v>Historical arrests and controversy documented; full later case dispositions not verified.</x:v>
      </x:c>
      <x:c r="M14" s="47" t="str">
        <x:v>No finding of guilt or innocence for either arrested person asserted here.</x:v>
      </x:c>
      <x:c r="N14" s="47" t="str">
        <x:v>Civil-liberties criticism of a government whose leader's own biography recalls Emergency repression.</x:v>
      </x:c>
      <x:c r="O14" s="52" t="str">
        <x:v>Disputed/uncertain</x:v>
      </x:c>
      <x:c r="P14" s="47" t="str">
        <x:v>Single credible source</x:v>
      </x:c>
      <x:c r="Q14" s="48" t="str">
        <x:v>S51; S01</x:v>
      </x:c>
      <x:c r="R14" s="47" t="str">
        <x:v>C-P4-02; C-P1-02</x:v>
      </x:c>
      <x:c r="S14" s="47" t="str">
        <x:v>The comparison concerns institutional accountability, not an equivalence between distinct laws or eras.</x:v>
      </x:c>
    </x:row>
    <x:row r="15" ht="39" customHeight="1">
      <x:c r="A15" s="49" t="str">
        <x:v>V10</x:v>
      </x:c>
      <x:c r="B15" s="50" t="str">
        <x:v>SilverLine feasibility, approvals and policy reversal</x:v>
      </x:c>
      <x:c r="C15" s="50" t="n">
        <x:v>2021</x:v>
      </x:c>
      <x:c r="D15" s="14" t="n">
        <x:v>46162</x:v>
      </x:c>
      <x:c r="E15" s="50" t="str">
        <x:v>P5–P6</x:v>
      </x:c>
      <x:c r="F15" s="50" t="str">
        <x:v>Infrastructure planning / political contestation</x:v>
      </x:c>
      <x:c r="G15" s="50" t="str">
        <x:v>The state promoted a rail proposal that did not reach a completed operating line during this tenure.</x:v>
      </x:c>
      <x:c r="H15" s="50" t="str">
        <x:v>Feasibility and approval disputes limited implementation; the successor government announced scrapping it.</x:v>
      </x:c>
      <x:c r="I15" s="50" t="str">
        <x:v>Public debate, Union approval process and successor government.</x:v>
      </x:c>
      <x:c r="J15" s="50" t="str">
        <x:v>Vijayan said lack of Union approval led the cabinet to approve an RRTS alternative.</x:v>
      </x:c>
      <x:c r="K15" s="50" t="str">
        <x:v>State cabinet, Union rail authorities and successor government.</x:v>
      </x:c>
      <x:c r="L15" s="50" t="str">
        <x:v>RRTS proposal approved by state cabinet in January 2026; SilverLine cancellation announced by successor in May.</x:v>
      </x:c>
      <x:c r="M15" s="50" t="str">
        <x:v>No final project benefit or criminal wrongdoing finding asserted.</x:v>
      </x:c>
      <x:c r="N15" s="50" t="str">
        <x:v>Illustrates limits of state proposals and vulnerability to political transition.</x:v>
      </x:c>
      <x:c r="O15" s="50" t="str">
        <x:v>Recorded fact</x:v>
      </x:c>
      <x:c r="P15" s="50" t="str">
        <x:v>Multiple independent sources</x:v>
      </x:c>
      <x:c r="Q15" s="51" t="str">
        <x:v>S27; S28</x:v>
      </x:c>
      <x:c r="R15" s="50" t="str">
        <x:v>C-P5-09; C-P6-04</x:v>
      </x:c>
      <x:c r="S15" s="50" t="str">
        <x:v>All cancellation orders, liabilities and possible successor proposals were not independently traced.</x:v>
      </x:c>
    </x:row>
    <x:row r="16" ht="57" customHeight="1">
      <x:c r="A16" s="74" t="str">
        <x:v>V11</x:v>
      </x:c>
      <x:c r="B16" s="71" t="str">
        <x:v>T. P. Chandrasekharan murder and prison-policy scrutiny</x:v>
      </x:c>
      <x:c r="C16" s="71" t="n">
        <x:v>2012</x:v>
      </x:c>
      <x:c r="D16" s="72" t="n">
        <x:v>45476</x:v>
      </x:c>
      <x:c r="E16" s="71" t="str">
        <x:v>P3–P5</x:v>
      </x:c>
      <x:c r="F16" s="71" t="str">
        <x:v>Political violence / party and prison accountability</x:v>
      </x:c>
      <x:c r="G16" s="71" t="str">
        <x:v>The 2012 murder of a CPI(M) rebel led to convictions of others, including party members.</x:v>
      </x:c>
      <x:c r="H16" s="71" t="str">
        <x:v>K. K. Rema and opponents alleged broader party responsibility and undue concessions to convicts.</x:v>
      </x:c>
      <x:c r="I16" s="71" t="str">
        <x:v>Victim-family campaign and political opposition; courts ruled on individual defendants.</x:v>
      </x:c>
      <x:c r="J16" s="71" t="str">
        <x:v>In the 2024 remission dispute, the government suspended prison officials; minister M. B. Rajesh said these convicts would not enter the final remission list.</x:v>
      </x:c>
      <x:c r="K16" s="71" t="str">
        <x:v>Trial court; Kerala High Court; state prison administration.</x:v>
      </x:c>
      <x:c r="L16" s="71" t="str">
        <x:v>2024 High Court convictions/sentences reported; a proposed remission process prompted government corrective action.</x:v>
      </x:c>
      <x:c r="M16" s="71" t="str">
        <x:v>No personal conviction of Vijayan is established here. Later appeals and full remission history were not verified.</x:v>
      </x:c>
      <x:c r="N16" s="71" t="str">
        <x:v>Raised separate questions about party culture, prison administration and victims’ accountability demands.</x:v>
      </x:c>
      <x:c r="O16" s="71" t="str">
        <x:v>Recorded fact</x:v>
      </x:c>
      <x:c r="P16" s="71" t="str">
        <x:v>Multiple independent sources</x:v>
      </x:c>
      <x:c r="Q16" s="76" t="str">
        <x:v>S60; S61; S16</x:v>
      </x:c>
      <x:c r="R16" s="71" t="str">
        <x:v>C-P3-08; C-P5-02</x:v>
      </x:c>
      <x:c r="S16" s="71" t="str">
        <x:v>Court findings against particular people must not be converted into an unsupported allegation that Vijayan ordered the killing.</x:v>
      </x:c>
    </x:row>
  </x:sheetData>
  <x:pageMargins left="0.7" right="0.7" top="0.75" bottom="0.75" header="0.3" footer="0.3"/>
  <x:tableParts count="1">
    <x:tablePart xmlns:r="http://schemas.openxmlformats.org/officeDocument/2006/relationships" r:id="R2fcdbebf9647499b"/>
  </x:tableParts>
</x:worksheet>
</file>

<file path=xl/worksheets/sheet9.xml><?xml version="1.0" encoding="utf-8"?>
<x:worksheet xmlns:x="http://schemas.openxmlformats.org/spreadsheetml/2006/main">
  <x:sheetPr>
    <x:tabColor rgb="FF0D6B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40" hidden="0" customWidth="1"/>
    <x:col min="3" max="3" width="30" hidden="0" customWidth="1"/>
    <x:col min="4" max="4" width="18" hidden="0" customWidth="1"/>
    <x:col min="5" max="5" width="77" hidden="0" customWidth="1"/>
    <x:col min="6" max="6" width="86" hidden="0" customWidth="1"/>
    <x:col min="7" max="7" width="65" hidden="0" customWidth="1"/>
    <x:col min="8" max="8" width="67" hidden="0" customWidth="1"/>
    <x:col min="9" max="9" width="78" hidden="0" customWidth="1"/>
    <x:col min="10" max="10" width="78" hidden="0" customWidth="1"/>
    <x:col min="11" max="11" width="24" hidden="0" customWidth="1"/>
    <x:col min="12" max="12" width="28" hidden="0" customWidth="1"/>
    <x:col min="13" max="13" width="27" hidden="0" customWidth="1"/>
    <x:col min="14" max="14" width="33" hidden="0" customWidth="1"/>
    <x:col min="15" max="15" width="81" hidden="0" customWidth="1"/>
  </x:cols>
  <x:sheetData>
    <x:row r="1" ht="10.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.75" customHeight="1">
      <x:c r="A2" s="4" t="str">
        <x:v>Legacy &amp; assessments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18.75" customHeight="1">
      <x:c r="A3" s="6" t="str">
        <x:v>Assessor and competing view are explicit | Provisional, source-based interpretations without an overall ranking.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4" ht="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7.5" customHeight="1">
      <x:c r="A5" s="18" t="str">
        <x:v>Assessment ID</x:v>
      </x:c>
      <x:c r="B5" s="18" t="str">
        <x:v>Theme</x:v>
      </x:c>
      <x:c r="C5" s="18" t="str">
        <x:v>Period assessed</x:v>
      </x:c>
      <x:c r="D5" s="18" t="str">
        <x:v>Career phase</x:v>
      </x:c>
      <x:c r="E5" s="18" t="str">
        <x:v>Assessor / standpoint</x:v>
      </x:c>
      <x:c r="F5" s="18" t="str">
        <x:v>Assessment / interpretation</x:v>
      </x:c>
      <x:c r="G5" s="18" t="str">
        <x:v>Evidence basis</x:v>
      </x:c>
      <x:c r="H5" s="18" t="str">
        <x:v>Supporting view</x:v>
      </x:c>
      <x:c r="I5" s="18" t="str">
        <x:v>Competing view / limitation</x:v>
      </x:c>
      <x:c r="J5" s="18" t="str">
        <x:v>Dispute / synthesis</x:v>
      </x:c>
      <x:c r="K5" s="18" t="str">
        <x:v>Claim type</x:v>
      </x:c>
      <x:c r="L5" s="18" t="str">
        <x:v>Corroboration</x:v>
      </x:c>
      <x:c r="M5" s="18" t="str">
        <x:v>Source IDs</x:v>
      </x:c>
      <x:c r="N5" s="18" t="str">
        <x:v>Context IDs</x:v>
      </x:c>
      <x:c r="O5" s="18" t="str">
        <x:v>Research note</x:v>
      </x:c>
    </x:row>
    <x:row r="6" ht="39" customHeight="1">
      <x:c r="A6" s="19" t="str">
        <x:v>L01</x:v>
      </x:c>
      <x:c r="B6" s="9" t="str">
        <x:v>Organizational durability</x:v>
      </x:c>
      <x:c r="C6" s="9" t="str">
        <x:v>1964–2026</x:v>
      </x:c>
      <x:c r="D6" s="9" t="str">
        <x:v>P1–P6</x:v>
      </x:c>
      <x:c r="E6" s="9" t="str">
        <x:v>Workbook synthesis using party, institutional and journalistic records</x:v>
      </x:c>
      <x:c r="F6" s="9" t="str">
        <x:v>A long progression through movements, party organization and government makes organizational leadership central to his career.</x:v>
      </x:c>
      <x:c r="G6" s="9" t="str">
        <x:v>Formal posts and repeated Assembly victories.</x:v>
      </x:c>
      <x:c r="H6" s="9" t="str">
        <x:v>Longevity demonstrates sustained selection and constituency support.</x:v>
      </x:c>
      <x:c r="I6" s="9" t="str">
        <x:v>Longevity alone does not measure internal democracy or administrative quality.</x:v>
      </x:c>
      <x:c r="J6" s="9" t="str">
        <x:v>Durability is well documented; the quality of concentrated leadership is contested.</x:v>
      </x:c>
      <x:c r="K6" s="12" t="str">
        <x:v>Analysis</x:v>
      </x:c>
      <x:c r="L6" s="9" t="str">
        <x:v>Multiple independent sources</x:v>
      </x:c>
      <x:c r="M6" s="21" t="str">
        <x:v>S01; S02; S15; S54</x:v>
      </x:c>
      <x:c r="N6" s="9" t="str">
        <x:v>C-P1-07; C-P3-07; C-P6-07</x:v>
      </x:c>
      <x:c r="O6" s="9" t="str">
        <x:v>Avoid a personality-only account that erases institutions.</x:v>
      </x:c>
    </x:row>
    <x:row r="7" ht="39" customHeight="1">
      <x:c r="A7" s="20" t="str">
        <x:v>L02</x:v>
      </x:c>
      <x:c r="B7" s="8" t="str">
        <x:v>Electoral resilience and reversal</x:v>
      </x:c>
      <x:c r="C7" s="8" t="str">
        <x:v>2016–2026</x:v>
      </x:c>
      <x:c r="D7" s="8" t="str">
        <x:v>P4–P6</x:v>
      </x:c>
      <x:c r="E7" s="8" t="str">
        <x:v>Workbook synthesis; official constituency counts and post-election reporting</x:v>
      </x:c>
      <x:c r="F7" s="8" t="str">
        <x:v>The decade combines a second government with a decisive coalition defeat and continuing personal constituency victory.</x:v>
      </x:c>
      <x:c r="G7" s="8" t="str">
        <x:v>E05–E07 and 2026 government transition.</x:v>
      </x:c>
      <x:c r="H7" s="8" t="str">
        <x:v>The 2021 mandate supported continuity.</x:v>
      </x:c>
      <x:c r="I7" s="8" t="str">
        <x:v>The 2026 setback sharply limits a narrative of permanent electoral dominance.</x:v>
      </x:c>
      <x:c r="J7" s="8" t="str">
        <x:v>Results are established; why voters shifted is not causally identified.</x:v>
      </x:c>
      <x:c r="K7" s="13" t="str">
        <x:v>Analysis</x:v>
      </x:c>
      <x:c r="L7" s="8" t="str">
        <x:v>Multiple independent sources</x:v>
      </x:c>
      <x:c r="M7" s="22" t="str">
        <x:v>S12; S13; S14; S37; S05</x:v>
      </x:c>
      <x:c r="N7" s="8" t="str">
        <x:v>C-P5-01; C-P5-03</x:v>
      </x:c>
      <x:c r="O7" s="8" t="str">
        <x:v>Assembly and Lok Sabha outcomes must be kept distinct.</x:v>
      </x:c>
    </x:row>
    <x:row r="8" ht="39" customHeight="1">
      <x:c r="A8" s="19" t="str">
        <x:v>L03</x:v>
      </x:c>
      <x:c r="B8" s="9" t="str">
        <x:v>Health-system strengthening</x:v>
      </x:c>
      <x:c r="C8" s="9" t="str">
        <x:v>2017–2026 evidence</x:v>
      </x:c>
      <x:c r="D8" s="9" t="str">
        <x:v>P4–P5</x:v>
      </x:c>
      <x:c r="E8" s="9" t="str">
        <x:v>NHM programme designers and 2026 academic reviewers</x:v>
      </x:c>
      <x:c r="F8" s="9" t="str">
        <x:v>Aardram is a substantive institutional reform with evidence of improvement and unresolved gaps.</x:v>
      </x:c>
      <x:c r="G8" s="9" t="str">
        <x:v>Programme design and observational evaluation.</x:v>
      </x:c>
      <x:c r="H8" s="9" t="str">
        <x:v>Primary-care strengthening extends an existing public system.</x:v>
      </x:c>
      <x:c r="I8" s="9" t="str">
        <x:v>Financial-protection/equity gaps and no comparison group limit outcome attribution.</x:v>
      </x:c>
      <x:c r="J8" s="9" t="str">
        <x:v>Promising institutional contribution; isolated individual effect unproven.</x:v>
      </x:c>
      <x:c r="K8" s="12" t="str">
        <x:v>Analysis</x:v>
      </x:c>
      <x:c r="L8" s="9" t="str">
        <x:v>Primary record</x:v>
      </x:c>
      <x:c r="M8" s="21" t="str">
        <x:v>S20; S21</x:v>
      </x:c>
      <x:c r="N8" s="9" t="str">
        <x:v>C-P2-09; C-P4-09</x:v>
      </x:c>
      <x:c r="O8" s="9" t="str">
        <x:v>Earlier Kerala health capacity and local devolution are part of the explanation.</x:v>
      </x:c>
    </x:row>
    <x:row r="9" ht="39" customHeight="1">
      <x:c r="A9" s="20" t="str">
        <x:v>L04</x:v>
      </x:c>
      <x:c r="B9" s="8" t="str">
        <x:v>Housing and poverty claims</x:v>
      </x:c>
      <x:c r="C9" s="8" t="str">
        <x:v>2017–2026</x:v>
      </x:c>
      <x:c r="D9" s="8" t="str">
        <x:v>P4–P5</x:v>
      </x:c>
      <x:c r="E9" s="8" t="str">
        <x:v>Government ministers and CM, reported by journalists; workbook assessment</x:v>
      </x:c>
      <x:c r="F9" s="8" t="str">
        <x:v>Large housing outputs and targeted household support are consequential claims requiring definition-specific verification.</x:v>
      </x:c>
      <x:c r="G9" s="8" t="str">
        <x:v>Administrative housing report and EPEP defence.</x:v>
      </x:c>
      <x:c r="H9" s="8" t="str">
        <x:v>Reported completed homes and individualized support are concrete outputs.</x:v>
      </x:c>
      <x:c r="I9" s="8" t="str">
        <x:v>Coverage, quality, omitted households and relapse constrain stronger poverty-elimination conclusions.</x:v>
      </x:c>
      <x:c r="J9" s="8" t="str">
        <x:v>Administrative progress is documented as reported; universal social outcomes are unverified.</x:v>
      </x:c>
      <x:c r="K9" s="13" t="str">
        <x:v>Analysis</x:v>
      </x:c>
      <x:c r="L9" s="8" t="str">
        <x:v>Interested source only</x:v>
      </x:c>
      <x:c r="M9" s="22" t="str">
        <x:v>S23; S24; S32</x:v>
      </x:c>
      <x:c r="N9" s="8" t="str">
        <x:v>C-P5-04; C-P5-08</x:v>
      </x:c>
      <x:c r="O9" s="8" t="str">
        <x:v>Do not merge campaign claims with audited beneficiary outcomes.</x:v>
      </x:c>
    </x:row>
    <x:row r="10" ht="39" customHeight="1">
      <x:c r="A10" s="19" t="str">
        <x:v>L05</x:v>
      </x:c>
      <x:c r="B10" s="9" t="str">
        <x:v>Infrastructure and fiscal costs</x:v>
      </x:c>
      <x:c r="C10" s="9" t="str">
        <x:v>2016–2026</x:v>
      </x:c>
      <x:c r="D10" s="9" t="str">
        <x:v>P4–P6</x:v>
      </x:c>
      <x:c r="E10" s="9" t="str">
        <x:v>CAG, state ministers and workbook synthesis</x:v>
      </x:c>
      <x:c r="F10" s="9" t="str">
        <x:v>Infrastructure ambition must be assessed alongside debt service, approval limits and delivery.</x:v>
      </x:c>
      <x:c r="G10" s="9" t="str">
        <x:v>Port operations, rail proposals and fiscal audit.</x:v>
      </x:c>
      <x:c r="H10" s="9" t="str">
        <x:v>Operating assets can expand productive capacity.</x:v>
      </x:c>
      <x:c r="I10" s="9" t="str">
        <x:v>Borrowing commitments and unbuilt proposals can limit fiscal room and realized benefit.</x:v>
      </x:c>
      <x:c r="J10" s="9" t="str">
        <x:v>Neither an infrastructure-success narrative nor a debt-only narrative is sufficient.</x:v>
      </x:c>
      <x:c r="K10" s="12" t="str">
        <x:v>Analysis</x:v>
      </x:c>
      <x:c r="L10" s="9" t="str">
        <x:v>Multiple independent sources</x:v>
      </x:c>
      <x:c r="M10" s="21" t="str">
        <x:v>S26; S27; S28; S29; S57</x:v>
      </x:c>
      <x:c r="N10" s="9" t="str">
        <x:v>C-P5-04; C-P5-09</x:v>
      </x:c>
      <x:c r="O10" s="9" t="str">
        <x:v>No net-benefit estimate assembled; assertions of debt trap remain attributed.</x:v>
      </x:c>
    </x:row>
    <x:row r="11" ht="39" customHeight="1">
      <x:c r="A11" s="20" t="str">
        <x:v>L06</x:v>
      </x:c>
      <x:c r="B11" s="8" t="str">
        <x:v>Crisis leadership</x:v>
      </x:c>
      <x:c r="C11" s="8" t="str">
        <x:v>2018–2024</x:v>
      </x:c>
      <x:c r="D11" s="8" t="str">
        <x:v>P4–P5</x:v>
      </x:c>
      <x:c r="E11" s="8" t="str">
        <x:v>Institutional disaster assessment and workbook synthesis</x:v>
      </x:c>
      <x:c r="F11" s="8" t="str">
        <x:v>Repeated disasters made coordination a defining governance demand.</x:v>
      </x:c>
      <x:c r="G11" s="8" t="str">
        <x:v>2018 PDNA and Wayanad disaster reporting.</x:v>
      </x:c>
      <x:c r="H11" s="8" t="str">
        <x:v>Joint assessment demonstrates an institutional recovery response.</x:v>
      </x:c>
      <x:c r="I11" s="8" t="str">
        <x:v>A needs assessment does not establish completion or equitable long-term recovery.</x:v>
      </x:c>
      <x:c r="J11" s="8" t="str">
        <x:v>Crisis prominence is clear; comparative effectiveness remains incompletely measured.</x:v>
      </x:c>
      <x:c r="K11" s="13" t="str">
        <x:v>Analysis</x:v>
      </x:c>
      <x:c r="L11" s="8" t="str">
        <x:v>Multiple independent sources</x:v>
      </x:c>
      <x:c r="M11" s="22" t="str">
        <x:v>S22; S56</x:v>
      </x:c>
      <x:c r="N11" s="8" t="str">
        <x:v>C-P4-05; C-P5-05</x:v>
      </x:c>
      <x:c r="O11" s="8" t="str">
        <x:v>Exposure and external shocks must not be mistaken for individual causation.</x:v>
      </x:c>
    </x:row>
    <x:row r="12" ht="39" customHeight="1">
      <x:c r="A12" s="19" t="str">
        <x:v>L07</x:v>
      </x:c>
      <x:c r="B12" s="9" t="str">
        <x:v>Gender-related governance</x:v>
      </x:c>
      <x:c r="C12" s="9" t="str">
        <x:v>2018–2024</x:v>
      </x:c>
      <x:c r="D12" s="9" t="str">
        <x:v>P4–P5</x:v>
      </x:c>
      <x:c r="E12" s="9" t="str">
        <x:v>Contemporary rights advocates, critics, government responses and workbook synthesis</x:v>
      </x:c>
      <x:c r="F12" s="9" t="str">
        <x:v>Equality mobilization, cabinet selection and the Hema report produce an issue-specific mixed record.</x:v>
      </x:c>
      <x:c r="G12" s="9" t="str">
        <x:v>Distinct policy, representation and disclosure episodes.</x:v>
      </x:c>
      <x:c r="H12" s="9" t="str">
        <x:v>Women's Wall and inquiry creation supplied public/institutional action.</x:v>
      </x:c>
      <x:c r="I12" s="9" t="str">
        <x:v>Disclosure delay and selection criticism question how commitments translated into authority and remedies.</x:v>
      </x:c>
      <x:c r="J12" s="9" t="str">
        <x:v>No defensible single gender score; symbolic and substantive effects differ.</x:v>
      </x:c>
      <x:c r="K12" s="12" t="str">
        <x:v>Analysis</x:v>
      </x:c>
      <x:c r="L12" s="9" t="str">
        <x:v>Multiple independent sources</x:v>
      </x:c>
      <x:c r="M12" s="21" t="str">
        <x:v>S18; S19; S44; S45; S46; S47</x:v>
      </x:c>
      <x:c r="N12" s="9" t="str">
        <x:v>C-G-07; C-G-08; C-G-10; C-G-11</x:v>
      </x:c>
      <x:c r="O12" s="9" t="str">
        <x:v>No comprehensive feminist reception study was retrieved.</x:v>
      </x:c>
    </x:row>
    <x:row r="13" ht="39" customHeight="1">
      <x:c r="A13" s="20" t="str">
        <x:v>L08</x:v>
      </x:c>
      <x:c r="B13" s="8" t="str">
        <x:v>Accountability and legal precision</x:v>
      </x:c>
      <x:c r="C13" s="8" t="str">
        <x:v>1996–2026</x:v>
      </x:c>
      <x:c r="D13" s="8" t="str">
        <x:v>P2–P6</x:v>
      </x:c>
      <x:c r="E13" s="8" t="str">
        <x:v>Courts/agencies as reported; CAG; workbook synthesis</x:v>
      </x:c>
      <x:c r="F13" s="8" t="str">
        <x:v>The public record contains discharges, audit criticism, allegations and unresolved procedural questions.</x:v>
      </x:c>
      <x:c r="G13" s="8" t="str">
        <x:v>V01–V11 with matter-specific status dates.</x:v>
      </x:c>
      <x:c r="H13" s="8" t="str">
        <x:v>Favourable SNC-Lavalin discharge decisions are material.</x:v>
      </x:c>
      <x:c r="I13" s="8" t="str">
        <x:v>New allegations and audit concerns require separate examination, with responses recorded.</x:v>
      </x:c>
      <x:c r="J13" s="8" t="str">
        <x:v>No collective verdict across unrelated matters is appropriate.</x:v>
      </x:c>
      <x:c r="K13" s="13" t="str">
        <x:v>Analysis</x:v>
      </x:c>
      <x:c r="L13" s="8" t="str">
        <x:v>Multiple independent sources</x:v>
      </x:c>
      <x:c r="M13" s="22" t="str">
        <x:v>S39; S40; S41; S42; S43; S29</x:v>
      </x:c>
      <x:c r="N13" s="8" t="str">
        <x:v>C-P3-02; C-P5-02; C-P6-10</x:v>
      </x:c>
      <x:c r="O13" s="8" t="str">
        <x:v>A later court outcome not located by this review remains unknown.</x:v>
      </x:c>
    </x:row>
    <x:row r="14" ht="39" customHeight="1">
      <x:c r="A14" s="19" t="str">
        <x:v>L09</x:v>
      </x:c>
      <x:c r="B14" s="9" t="str">
        <x:v>Public image and leadership concentration</x:v>
      </x:c>
      <x:c r="C14" s="9" t="str">
        <x:v>1998–2026</x:v>
      </x:c>
      <x:c r="D14" s="9" t="str">
        <x:v>P3–P6</x:v>
      </x:c>
      <x:c r="E14" s="9" t="str">
        <x:v>Journalistic profiles, supporter documentary and the subject's response</x:v>
      </x:c>
      <x:c r="F14" s="9" t="str">
        <x:v>Public presentation ranges from capable organizer to over-centralized or declining patriarch.</x:v>
      </x:c>
      <x:c r="G14" s="9" t="str">
        <x:v>Profiles, documentary response and post-defeat commentary.</x:v>
      </x:c>
      <x:c r="H14" s="9" t="str">
        <x:v>Supporters emphasize decisiveness and party service.</x:v>
      </x:c>
      <x:c r="I14" s="9" t="str">
        <x:v>Critics question the cost of concentration and delayed renewal.</x:v>
      </x:c>
      <x:c r="J14" s="9" t="str">
        <x:v>These are attributed interpretations; comparative organizational effects are not quantified.</x:v>
      </x:c>
      <x:c r="K14" s="12" t="str">
        <x:v>Analysis</x:v>
      </x:c>
      <x:c r="L14" s="9" t="str">
        <x:v>Multiple independent sources</x:v>
      </x:c>
      <x:c r="M14" s="21" t="str">
        <x:v>S15; S16; S36; S58</x:v>
      </x:c>
      <x:c r="N14" s="9" t="str">
        <x:v>C-P3-07; C-G-05; C-G-09</x:v>
      </x:c>
      <x:c r="O14" s="9" t="str">
        <x:v>A gendered headline is evidence of a framing example, not a media-bias study.</x:v>
      </x:c>
    </x:row>
    <x:row r="15" ht="39" customHeight="1">
      <x:c r="A15" s="20" t="str">
        <x:v>L10</x:v>
      </x:c>
      <x:c r="B15" s="8" t="str">
        <x:v>Unfinished opposition phase</x:v>
      </x:c>
      <x:c r="C15" s="8" t="str">
        <x:v>May–September 2026</x:v>
      </x:c>
      <x:c r="D15" s="8" t="str">
        <x:v>P6</x:v>
      </x:c>
      <x:c r="E15" s="8" t="str">
        <x:v>Workbook synthesis using current institutional records</x:v>
      </x:c>
      <x:c r="F15" s="8" t="str">
        <x:v>His present role preserves influence but opens a new phase whose results cannot yet be assessed.</x:v>
      </x:c>
      <x:c r="G15" s="8" t="str">
        <x:v>Party selection, Assembly profile and successor government.</x:v>
      </x:c>
      <x:c r="H15" s="8" t="str">
        <x:v>Experience can support scrutiny and continuity.</x:v>
      </x:c>
      <x:c r="I15" s="8" t="str">
        <x:v>Whether continuity assists renewal or impedes it is an open question.</x:v>
      </x:c>
      <x:c r="J15" s="8" t="str">
        <x:v>Provisional assessment; future party and legislative outcomes require updating.</x:v>
      </x:c>
      <x:c r="K15" s="13" t="str">
        <x:v>Analysis</x:v>
      </x:c>
      <x:c r="L15" s="8" t="str">
        <x:v>Multiple independent sources</x:v>
      </x:c>
      <x:c r="M15" s="22" t="str">
        <x:v>S01; S03; S04</x:v>
      </x:c>
      <x:c r="N15" s="8" t="str">
        <x:v>C-P6-01; C-P6-07; C-P6-10</x:v>
      </x:c>
      <x:c r="O15" s="8" t="str">
        <x:v>Current office verified at 15 September 2026, not inferred from older biographies.</x:v>
      </x:c>
    </x:row>
  </x:sheetData>
  <x:pageMargins left="0.7" right="0.7" top="0.75" bottom="0.75" header="0.3" footer="0.3"/>
  <x:tableParts count="1">
    <x:tablePart xmlns:r="http://schemas.openxmlformats.org/officeDocument/2006/relationships" r:id="R1422a71cc0534029"/>
  </x:tableParts>
</x: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D6B69"/>
  </sheetPr>
  <sheetViews>
    <sheetView showGridLines="0" workbookViewId="0">
      <pane xSplit="2" ySplit="5" topLeftCell="C6" activePane="bottomRight" state="frozen"/>
    </sheetView>
  </sheetViews>
  <sheetFormatPr defaultRowHeight="15"/>
  <cols>
    <col min="1" max="1" width="14" hidden="0" customWidth="1"/>
    <col min="2" max="2" width="88" hidden="0" customWidth="1"/>
    <col min="3" max="3" width="20" hidden="0" customWidth="1"/>
    <col min="4" max="4" width="53" hidden="0" customWidth="1"/>
    <col min="5" max="5" width="38" hidden="0" customWidth="1"/>
    <col min="6" max="6" width="39" hidden="0" customWidth="1"/>
    <col min="7" max="7" width="33" hidden="0" customWidth="1"/>
    <col min="8" max="8" width="24" hidden="0" customWidth="1"/>
    <col min="9" max="9" width="33" hidden="0" customWidth="1"/>
    <col min="10" max="10" width="85" hidden="0" customWidth="1"/>
    <col min="11" max="11" width="100" hidden="0" customWidth="1"/>
    <col min="12" max="12" width="91" hidden="0" customWidth="1"/>
    <col min="13" max="13" width="20" hidden="0" customWidth="1"/>
  </cols>
  <sheetData>
    <row r="1" ht="10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4.75" customHeight="1">
      <c r="A2" s="4" t="str">
        <v>Source register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8.75" customHeight="1">
      <c r="A3" s="6" t="str">
        <v>61 traceable sources | Click Open source | Publication dates and access dates are separate; reliability notes remain visible.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ht="9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7.5" customHeight="1">
      <c r="A5" s="64" t="str">
        <v>Source ID</v>
      </c>
      <c r="B5" s="64" t="str">
        <v>Title / citation</v>
      </c>
      <c r="C5" s="64" t="str">
        <v>Open source</v>
      </c>
      <c r="D5" s="64" t="str">
        <v>Author / issuing institution</v>
      </c>
      <c r="E5" s="64" t="str">
        <v>Publisher / site</v>
      </c>
      <c r="F5" s="64" t="str">
        <v>Publication / update date</v>
      </c>
      <c r="G5" s="64" t="str">
        <v>Source class</v>
      </c>
      <c r="H5" s="64" t="str">
        <v>Primary / secondary</v>
      </c>
      <c r="I5" s="64" t="str">
        <v>Geographic / language scope</v>
      </c>
      <c r="J5" s="64" t="str">
        <v>Document / page / section locator</v>
      </c>
      <c r="K5" s="64" t="str">
        <v>Standpoint / reliability limitation</v>
      </c>
      <c r="L5" s="64" t="str">
        <v>Full URL</v>
      </c>
      <c r="M5" s="64" t="str">
        <v>Access date</v>
      </c>
    </row>
    <row r="6" ht="39" customHeight="1">
      <c r="A6" s="46" t="str">
        <v>S01</v>
      </c>
      <c r="B6" s="47" t="str">
        <v>Leader of Opposition: Pinarayi Vijayan</v>
      </c>
      <c r="C6" s="48" t="str">
        <v>Open source</v>
      </c>
      <c r="D6" s="47" t="str">
        <v>Kerala Legislative Assembly</v>
      </c>
      <c r="E6" s="47" t="str">
        <v>Niyamasabha</v>
      </c>
      <c r="F6" s="47" t="str">
        <v>Undated; accessed 2026-09-15</v>
      </c>
      <c r="G6" s="47" t="str">
        <v>Official record</v>
      </c>
      <c r="H6" s="47" t="str">
        <v>Primary</v>
      </c>
      <c r="I6" s="47" t="str">
        <v>Kerala / English</v>
      </c>
      <c r="J6" s="47" t="str">
        <v>Current office heading and biographical profile</v>
      </c>
      <c r="K6" s="47" t="str">
        <v>Heading establishes current office. Biographical paragraphs are partly historical; DOB conflicts with public birthday reports.</v>
      </c>
      <c r="L6" s="47" t="str">
        <v>https://www.niyamasabha.org/codes/oppleader%20.htm</v>
      </c>
      <c r="M6" s="25" t="n">
        <v>46280</v>
      </c>
    </row>
    <row r="7" ht="39" customHeight="1">
      <c r="A7" s="49" t="str">
        <v>S02</v>
      </c>
      <c r="B7" s="50" t="str">
        <v>Pinarayi Vijayan</v>
      </c>
      <c r="C7" s="51" t="str">
        <v>Open source</v>
      </c>
      <c r="D7" s="50" t="str">
        <v>Communist Party of India (Marxist)</v>
      </c>
      <c r="E7" s="50" t="str">
        <v>CPI(M)</v>
      </c>
      <c r="F7" s="14" t="n">
        <v>40054</v>
      </c>
      <c r="G7" s="50" t="str">
        <v>Party or campaign</v>
      </c>
      <c r="H7" s="50" t="str">
        <v>Primary</v>
      </c>
      <c r="I7" s="50" t="str">
        <v>Kerala / English</v>
      </c>
      <c r="J7" s="50" t="str">
        <v>Biographical profile</v>
      </c>
      <c r="K7" s="50" t="str">
        <v>Interested party account; use for organizational record and self-presentation. Not a current office chronology.</v>
      </c>
      <c r="L7" s="50" t="str">
        <v>https://cpim.org/pinarayi-vijayan/</v>
      </c>
      <c r="M7" s="14" t="n">
        <v>46280</v>
      </c>
    </row>
    <row r="8" ht="39" customHeight="1">
      <c r="A8" s="46" t="str">
        <v>S03</v>
      </c>
      <c r="B8" s="47" t="str">
        <v>CPM names Pinarayi as opposition leader</v>
      </c>
      <c r="C8" s="48" t="str">
        <v>Open source</v>
      </c>
      <c r="D8" s="47" t="str">
        <v>TNN</v>
      </c>
      <c r="E8" s="47" t="str">
        <v>The Times of India</v>
      </c>
      <c r="F8" s="25" t="n">
        <v>46156</v>
      </c>
      <c r="G8" s="47" t="str">
        <v>Journalism</v>
      </c>
      <c r="H8" s="47" t="str">
        <v>Secondary</v>
      </c>
      <c r="I8" s="47" t="str">
        <v>Kerala / English</v>
      </c>
      <c r="J8" s="47" t="str">
        <v>State committee selection, 14 May</v>
      </c>
      <c r="K8" s="47" t="str">
        <v>Party selection date is distinct from formal Assembly recognition.</v>
      </c>
      <c r="L8" s="47" t="str">
        <v>https://timesofindia.indiatimes.com/city/thiruvananthapuram/cpm-names-pinarayi-as-opposition-leader/articleshow/131096055.cms</v>
      </c>
      <c r="M8" s="25" t="n">
        <v>46280</v>
      </c>
    </row>
    <row r="9" ht="39" customHeight="1">
      <c r="A9" s="49" t="str">
        <v>S04</v>
      </c>
      <c r="B9" s="50" t="str">
        <v>Chief Minister of Kerala: V. D. Satheesan</v>
      </c>
      <c r="C9" s="51" t="str">
        <v>Open source</v>
      </c>
      <c r="D9" s="50" t="str">
        <v>Government of Kerala</v>
      </c>
      <c r="E9" s="50" t="str">
        <v>Chief Minister's Office</v>
      </c>
      <c r="F9" s="50" t="str">
        <v>Undated; accessed 2026-09-15</v>
      </c>
      <c r="G9" s="50" t="str">
        <v>Official record</v>
      </c>
      <c r="H9" s="50" t="str">
        <v>Primary</v>
      </c>
      <c r="I9" s="50" t="str">
        <v>Kerala / English</v>
      </c>
      <c r="J9" s="50" t="str">
        <v>Current Chief Minister heading</v>
      </c>
      <c r="K9" s="50" t="str">
        <v>Current website replaces the previous administration's profile.</v>
      </c>
      <c r="L9" s="50" t="str">
        <v>https://keralacm.gov.in/</v>
      </c>
      <c r="M9" s="14" t="n">
        <v>46280</v>
      </c>
    </row>
    <row r="10" ht="39" customHeight="1">
      <c r="A10" s="46" t="str">
        <v>S05</v>
      </c>
      <c r="B10" s="47" t="str">
        <v>Kerala gets new govt as UDF returns after 10 years; VD Satheesan takes oath as CM</v>
      </c>
      <c r="C10" s="48" t="str">
        <v>Open source</v>
      </c>
      <c r="D10" s="47" t="str">
        <v>TOI News Desk</v>
      </c>
      <c r="E10" s="47" t="str">
        <v>The Times of India</v>
      </c>
      <c r="F10" s="25" t="n">
        <v>46160</v>
      </c>
      <c r="G10" s="47" t="str">
        <v>Journalism</v>
      </c>
      <c r="H10" s="47" t="str">
        <v>Secondary</v>
      </c>
      <c r="I10" s="47" t="str">
        <v>Kerala / English</v>
      </c>
      <c r="J10" s="47" t="str">
        <v>Successor sworn in, 18 May</v>
      </c>
      <c r="K10" s="47" t="str">
        <v>Establishes handover date, not the earlier resignation date.</v>
      </c>
      <c r="L10" s="47" t="str">
        <v>https://timesofindia.indiatimes.com/india/kerala-gets-new-govt-as-udf-returns-after-10-years-vd-satheesan-takes-oath-as-cm/articleshow/131167507.cms</v>
      </c>
      <c r="M10" s="25" t="n">
        <v>46280</v>
      </c>
    </row>
    <row r="11" ht="39" customHeight="1">
      <c r="A11" s="49" t="str">
        <v>S06</v>
      </c>
      <c r="B11" s="50" t="str">
        <v>Post-poll debacle, Pinarayi Vijayan resigns as Kerala chief minister</v>
      </c>
      <c r="C11" s="51" t="str">
        <v>Open source</v>
      </c>
      <c r="D11" s="50" t="str">
        <v>TNN</v>
      </c>
      <c r="E11" s="50" t="str">
        <v>The Times of India</v>
      </c>
      <c r="F11" s="14" t="n">
        <v>46147</v>
      </c>
      <c r="G11" s="50" t="str">
        <v>Journalism</v>
      </c>
      <c r="H11" s="50" t="str">
        <v>Secondary</v>
      </c>
      <c r="I11" s="50" t="str">
        <v>Kerala / English</v>
      </c>
      <c r="J11" s="50" t="str">
        <v>Resignation on 4 May; caretaker request</v>
      </c>
      <c r="K11" s="50" t="str">
        <v>Separate report publication from the event date.</v>
      </c>
      <c r="L11" s="50" t="str">
        <v>https://timesofindia.indiatimes.com/city/thiruvananthapuram/post-poll-debacle-pinarayi-vijayan-resigns-as-kerala-chief-minister/articleshow/130810545.cms</v>
      </c>
      <c r="M11" s="14" t="n">
        <v>46280</v>
      </c>
    </row>
    <row r="12" ht="39" customHeight="1">
      <c r="A12" s="46" t="str">
        <v>S07</v>
      </c>
      <c r="B12" s="47" t="str">
        <v>Pinarayi turns 80, greetings pour in</v>
      </c>
      <c r="C12" s="48" t="str">
        <v>Open source</v>
      </c>
      <c r="D12" s="47" t="str">
        <v>TNN</v>
      </c>
      <c r="E12" s="47" t="str">
        <v>The Times of India</v>
      </c>
      <c r="F12" s="25" t="n">
        <v>45802</v>
      </c>
      <c r="G12" s="47" t="str">
        <v>Journalism</v>
      </c>
      <c r="H12" s="47" t="str">
        <v>Secondary</v>
      </c>
      <c r="I12" s="47" t="str">
        <v>Kerala / English</v>
      </c>
      <c r="J12" s="47" t="str">
        <v>Birthday observed 24 May 2025</v>
      </c>
      <c r="K12" s="47" t="str">
        <v>Reports actual DOB as 24 May 1945; its description of the official birth year differs from S01 and S02.</v>
      </c>
      <c r="L12" s="47" t="str">
        <v>https://timesofindia.indiatimes.com/city/thiruvananthapuram/pinarayi-turns-80-greetings-pour-in/articleshow/121385216.cms</v>
      </c>
      <c r="M12" s="25" t="n">
        <v>46280</v>
      </c>
    </row>
    <row r="13" ht="39" customHeight="1">
      <c r="A13" s="49" t="str">
        <v>S08</v>
      </c>
      <c r="B13" s="50" t="str">
        <v>Statistical Report: Kerala Legislative Assembly General Election 1970</v>
      </c>
      <c r="C13" s="51" t="str">
        <v>Open source</v>
      </c>
      <c r="D13" s="50" t="str">
        <v>Election Commission of India</v>
      </c>
      <c r="E13" s="50" t="str">
        <v>Chief Electoral Officer, Kerala</v>
      </c>
      <c r="F13" s="50" t="str">
        <v>1970 election; issue date not stated</v>
      </c>
      <c r="G13" s="50" t="str">
        <v>Dataset</v>
      </c>
      <c r="H13" s="50" t="str">
        <v>Primary</v>
      </c>
      <c r="I13" s="50" t="str">
        <v>Kerala / English</v>
      </c>
      <c r="J13" s="50" t="str">
        <v>Detailed results, Kuthuparamba AC 11; PDF page 146 (1-based)</v>
      </c>
      <c r="K13" s="50" t="str">
        <v>Scanned historical record; preserve contemporary constituency name and number.</v>
      </c>
      <c r="L13" s="50" t="str">
        <v>https://www.ceo.kerala.gov.in/pdf/KLA/KL_1970_ST_REP.pdf</v>
      </c>
      <c r="M13" s="14" t="n">
        <v>46280</v>
      </c>
    </row>
    <row r="14" ht="39" customHeight="1">
      <c r="A14" s="46" t="str">
        <v>S09</v>
      </c>
      <c r="B14" s="47" t="str">
        <v>Statistical Report: Kerala Legislative Assembly General Election 1977</v>
      </c>
      <c r="C14" s="48" t="str">
        <v>Open source</v>
      </c>
      <c r="D14" s="47" t="str">
        <v>Election Commission of India</v>
      </c>
      <c r="E14" s="47" t="str">
        <v>Chief Electoral Officer, Kerala</v>
      </c>
      <c r="F14" s="47" t="str">
        <v>1977 election; issue date not stated</v>
      </c>
      <c r="G14" s="47" t="str">
        <v>Dataset</v>
      </c>
      <c r="H14" s="47" t="str">
        <v>Primary</v>
      </c>
      <c r="I14" s="47" t="str">
        <v>Kerala / English</v>
      </c>
      <c r="J14" s="47" t="str">
        <v>Kuthuparamba AC 14; PDF page 27 (1-based); gender summary</v>
      </c>
      <c r="K14" s="47" t="str">
        <v>Historical candidate and seat totals are not evidence of individual selection bias.</v>
      </c>
      <c r="L14" s="47" t="str">
        <v>https://www.ceo.kerala.gov.in/pdf/KLA/KL_1977_ST_REP.pdf</v>
      </c>
      <c r="M14" s="25" t="n">
        <v>46280</v>
      </c>
    </row>
    <row r="15" ht="39" customHeight="1">
      <c r="A15" s="49" t="str">
        <v>S10</v>
      </c>
      <c r="B15" s="50" t="str">
        <v>Statistical Report: Kerala Legislative Assembly General Election 1991</v>
      </c>
      <c r="C15" s="51" t="str">
        <v>Open source</v>
      </c>
      <c r="D15" s="50" t="str">
        <v>Election Commission of India</v>
      </c>
      <c r="E15" s="50" t="str">
        <v>Chief Electoral Officer, Kerala</v>
      </c>
      <c r="F15" s="50" t="str">
        <v>1991 election; issue date not stated</v>
      </c>
      <c r="G15" s="50" t="str">
        <v>Dataset</v>
      </c>
      <c r="H15" s="50" t="str">
        <v>Primary</v>
      </c>
      <c r="I15" s="50" t="str">
        <v>Kerala / English</v>
      </c>
      <c r="J15" s="50" t="str">
        <v>Kuthuparamba AC 14; PDF page 157 (1-based)</v>
      </c>
      <c r="K15" s="50" t="str">
        <v>Candidate spelling PINARAY VIJAYAN. Official subtraction gives margin 13,060.</v>
      </c>
      <c r="L15" s="50" t="str">
        <v>https://www.ceo.kerala.gov.in/pdf/KLA/KL_1991_ST_REP.pdf</v>
      </c>
      <c r="M15" s="14" t="n">
        <v>46280</v>
      </c>
    </row>
    <row r="16" ht="39" customHeight="1">
      <c r="A16" s="46" t="str">
        <v>S11</v>
      </c>
      <c r="B16" s="47" t="str">
        <v>Statistical Report: Kerala Legislative Assembly General Election 1996</v>
      </c>
      <c r="C16" s="48" t="str">
        <v>Open source</v>
      </c>
      <c r="D16" s="47" t="str">
        <v>Election Commission of India</v>
      </c>
      <c r="E16" s="47" t="str">
        <v>Chief Electoral Officer, Kerala</v>
      </c>
      <c r="F16" s="47" t="str">
        <v>1996 election; issue date not stated</v>
      </c>
      <c r="G16" s="47" t="str">
        <v>Dataset</v>
      </c>
      <c r="H16" s="47" t="str">
        <v>Primary</v>
      </c>
      <c r="I16" s="47" t="str">
        <v>Kerala / English</v>
      </c>
      <c r="J16" s="47" t="str">
        <v>Payyannur AC 7; detailed results PDF page 159 (1-based)</v>
      </c>
      <c r="K16" s="47" t="str">
        <v>Summary and detailed valid-vote totals conflict. Workbook sums detailed candidate votes (119,264); excludes turnout.</v>
      </c>
      <c r="L16" s="47" t="str">
        <v>https://www.ceo.kerala.gov.in/pdf/KLA/KL_1996_ST_REP.pdf</v>
      </c>
      <c r="M16" s="25" t="n">
        <v>46280</v>
      </c>
    </row>
    <row r="17" ht="39" customHeight="1">
      <c r="A17" s="49" t="str">
        <v>S12</v>
      </c>
      <c r="B17" s="50" t="str">
        <v>Form 20: Dharmadam Assembly Constituency, General Election 2016</v>
      </c>
      <c r="C17" s="51" t="str">
        <v>Open source</v>
      </c>
      <c r="D17" s="50" t="str">
        <v>Returning Officer, Dharmadam</v>
      </c>
      <c r="E17" s="50" t="str">
        <v>Chief Electoral Officer, Kerala</v>
      </c>
      <c r="F17" s="50" t="str">
        <v>2016 election; issue date not verified</v>
      </c>
      <c r="G17" s="50" t="str">
        <v>Dataset</v>
      </c>
      <c r="H17" s="50" t="str">
        <v>Primary</v>
      </c>
      <c r="I17" s="50" t="str">
        <v>Kerala / English</v>
      </c>
      <c r="J17" s="50" t="str">
        <v>Final totals, last page / PDF page 7</v>
      </c>
      <c r="K17" s="50" t="str">
        <v>Share denominator includes NOTA and excludes rejected votes.</v>
      </c>
      <c r="L17" s="50" t="str">
        <v>https://www.ceo.kerala.gov.in/pdf/BOOTH_WISE_RESULTS/GE2016/012.pdf</v>
      </c>
      <c r="M17" s="14" t="n">
        <v>46280</v>
      </c>
    </row>
    <row r="18" ht="39" customHeight="1">
      <c r="A18" s="46" t="str">
        <v>S13</v>
      </c>
      <c r="B18" s="47" t="str">
        <v>Form 20: Dharmadam Assembly Constituency, General Election 2021</v>
      </c>
      <c r="C18" s="48" t="str">
        <v>Open source</v>
      </c>
      <c r="D18" s="47" t="str">
        <v>Returning Officer, Dharmadam</v>
      </c>
      <c r="E18" s="47" t="str">
        <v>Chief Electoral Officer, Kerala</v>
      </c>
      <c r="F18" s="25" t="n">
        <v>44319</v>
      </c>
      <c r="G18" s="47" t="str">
        <v>Dataset</v>
      </c>
      <c r="H18" s="47" t="str">
        <v>Primary</v>
      </c>
      <c r="I18" s="47" t="str">
        <v>Kerala / English</v>
      </c>
      <c r="J18" s="47" t="str">
        <v>Final totals, last page</v>
      </c>
      <c r="K18" s="47" t="str">
        <v>Use candidate plus NOTA total 160,247; rejected votes excluded.</v>
      </c>
      <c r="L18" s="47" t="str">
        <v>https://www.ceo.kerala.gov.in/pdf/BOOTH_WISE_RESULTS/GE2021/012.pdf</v>
      </c>
      <c r="M18" s="25" t="n">
        <v>46280</v>
      </c>
    </row>
    <row r="19" ht="39" customHeight="1">
      <c r="A19" s="49" t="str">
        <v>S14</v>
      </c>
      <c r="B19" s="50" t="str">
        <v>Assembly Election Results May 2026: Dharmadam (12)</v>
      </c>
      <c r="C19" s="51" t="str">
        <v>Open source</v>
      </c>
      <c r="D19" s="50" t="str">
        <v>Election Commission of India</v>
      </c>
      <c r="E19" s="50" t="str">
        <v>Election Commission of India</v>
      </c>
      <c r="F19" s="50" t="str">
        <v>Updated 2026-05-05</v>
      </c>
      <c r="G19" s="50" t="str">
        <v>Dataset</v>
      </c>
      <c r="H19" s="50" t="str">
        <v>Primary</v>
      </c>
      <c r="I19" s="50" t="str">
        <v>Kerala / English</v>
      </c>
      <c r="J19" s="50" t="str">
        <v>All 15 rounds; candidate-wise totals</v>
      </c>
      <c r="K19" s="50" t="str">
        <v>Completed portal count; the portal identifies Form 20 as authoritative. Certified 2026 Form 20 not retrieved.</v>
      </c>
      <c r="L19" s="50" t="str">
        <v>https://results.eci.gov.in/ResultAcGenMay2026/candidateswise-S1112.htm</v>
      </c>
      <c r="M19" s="14" t="n">
        <v>46280</v>
      </c>
    </row>
    <row r="20" ht="39" customHeight="1">
      <c r="A20" s="46" t="str">
        <v>S15</v>
      </c>
      <c r="B20" s="47" t="str">
        <v>Pinarayi Vijayan: The Man Who Remade Kerala's Left</v>
      </c>
      <c r="C20" s="48" t="str">
        <v>Open source</v>
      </c>
      <c r="D20" s="47" t="str">
        <v>NDTV News Desk; edited by Debanish Achom</v>
      </c>
      <c r="E20" s="47" t="str">
        <v>NDTV</v>
      </c>
      <c r="F20" s="47" t="str">
        <v>2026-05-03; updated 2026-05-04</v>
      </c>
      <c r="G20" s="47" t="str">
        <v>Journalism</v>
      </c>
      <c r="H20" s="47" t="str">
        <v>Secondary</v>
      </c>
      <c r="I20" s="47" t="str">
        <v>Kerala / English</v>
      </c>
      <c r="J20" s="47" t="str">
        <v>Career profile</v>
      </c>
      <c r="K20" s="47" t="str">
        <v>Retrospective interpretation; contains inconsistent birth and historical-superlative details, which are not adopted.</v>
      </c>
      <c r="L20" s="47" t="str">
        <v>https://www.ndtv.com/kerala-news/kerala-assembly-election-2026-profile-pinarayi-vijayan-bio-the-man-who-remade-keralas-left-11440966</v>
      </c>
      <c r="M20" s="25" t="n">
        <v>46280</v>
      </c>
    </row>
    <row r="21" ht="39" customHeight="1">
      <c r="A21" s="49" t="str">
        <v>S16</v>
      </c>
      <c r="B21" s="50" t="str">
        <v>Profile of Pinarayi Vijayan</v>
      </c>
      <c r="C21" s="51" t="str">
        <v>Open source</v>
      </c>
      <c r="D21" s="50" t="str">
        <v>Press Trust of India</v>
      </c>
      <c r="E21" s="50" t="str">
        <v>Gulf News</v>
      </c>
      <c r="F21" s="50" t="str">
        <v>Updated 2018-09-15</v>
      </c>
      <c r="G21" s="50" t="str">
        <v>Journalism</v>
      </c>
      <c r="H21" s="50" t="str">
        <v>Secondary</v>
      </c>
      <c r="I21" s="50" t="str">
        <v>Kerala / English</v>
      </c>
      <c r="J21" s="50" t="str">
        <v>Career and party rivalry</v>
      </c>
      <c r="K21" s="50" t="str">
        <v>PTI profile; web update is 2018 but relative-date wording reflects an earlier profile. Exact Politburo reinstatement day not established. Evaluative claims remain attributed.</v>
      </c>
      <c r="L21" s="50" t="str">
        <v>https://gulfnews.com/world/asia/india/profile-of-pinarayi-vijayan-1.1831573</v>
      </c>
      <c r="M21" s="14" t="n">
        <v>46280</v>
      </c>
    </row>
    <row r="22" ht="39" customHeight="1">
      <c r="A22" s="46" t="str">
        <v>S17</v>
      </c>
      <c r="B22" s="47" t="str">
        <v>Party Programme</v>
      </c>
      <c r="C22" s="48" t="str">
        <v>Open source</v>
      </c>
      <c r="D22" s="47" t="str">
        <v>Communist Party of India (Marxist)</v>
      </c>
      <c r="E22" s="47" t="str">
        <v>CPI(M)</v>
      </c>
      <c r="F22" s="47" t="str">
        <v>Updated programme; web date not stated</v>
      </c>
      <c r="G22" s="47" t="str">
        <v>Party or campaign</v>
      </c>
      <c r="H22" s="47" t="str">
        <v>Primary</v>
      </c>
      <c r="I22" s="47" t="str">
        <v>Kerala / English</v>
      </c>
      <c r="J22" s="47" t="str">
        <v>Sections 1.10–1.11 and political/economic programme</v>
      </c>
      <c r="K22" s="47" t="str">
        <v>Party's account of its own history and doctrine; cannot by itself establish Vijayan's personal motive or implementation.</v>
      </c>
      <c r="L22" s="47" t="str">
        <v>https://cpim.org/party-programme/</v>
      </c>
      <c r="M22" s="25" t="n">
        <v>46280</v>
      </c>
    </row>
    <row r="23" ht="39" customHeight="1">
      <c r="A23" s="49" t="str">
        <v>S18</v>
      </c>
      <c r="B23" s="50" t="str">
        <v>Pinarayi Vijayan Drops All Sitting Ministers, Even Shailaja Teacher</v>
      </c>
      <c r="C23" s="51" t="str">
        <v>Open source</v>
      </c>
      <c r="D23" s="50" t="str">
        <v>Sneha Mary Koshy</v>
      </c>
      <c r="E23" s="50" t="str">
        <v>NDTV</v>
      </c>
      <c r="F23" s="14" t="n">
        <v>44334</v>
      </c>
      <c r="G23" s="50" t="str">
        <v>Journalism</v>
      </c>
      <c r="H23" s="50" t="str">
        <v>Secondary</v>
      </c>
      <c r="I23" s="50" t="str">
        <v>Kerala / English</v>
      </c>
      <c r="J23" s="50" t="str">
        <v>Cabinet selection and three women appointees</v>
      </c>
      <c r="K23" s="50" t="str">
        <v>Reports renewal decision and criticism; ministerial composition does not establish a gender-specific motive.</v>
      </c>
      <c r="L23" s="50" t="str">
        <v>https://www.ndtv.com/india-news/kerala-cabinet-pinarayi-vijayan-drops-all-sitting-ministers-even-shailaja-teacher-2444324</v>
      </c>
      <c r="M23" s="14" t="n">
        <v>46280</v>
      </c>
    </row>
    <row r="24" ht="39" customHeight="1">
      <c r="A24" s="46" t="str">
        <v>S19</v>
      </c>
      <c r="B24" s="47" t="str">
        <v>Kerala cabinet: Pinarayi Vijayan on new leadership and K. K. Shailaja</v>
      </c>
      <c r="C24" s="48" t="str">
        <v>Open source</v>
      </c>
      <c r="D24" s="47" t="str">
        <v>Liz Mathew</v>
      </c>
      <c r="E24" s="47" t="str">
        <v>The Indian Express</v>
      </c>
      <c r="F24" s="25" t="n">
        <v>44338</v>
      </c>
      <c r="G24" s="47" t="str">
        <v>Journalism / interview</v>
      </c>
      <c r="H24" s="47" t="str">
        <v>Mixed</v>
      </c>
      <c r="I24" s="47" t="str">
        <v>Kerala / English</v>
      </c>
      <c r="J24" s="47" t="str">
        <v>Interview on cabinet renewal</v>
      </c>
      <c r="K24" s="47" t="str">
        <v>Vijayan's justification is an attributed position; interview framing is secondary.</v>
      </c>
      <c r="L24" s="47" t="str">
        <v>https://indianexpress.com/article/india/kerala-cabinet-k-k-shailaja-pinarayi-vijayan-7325079/</v>
      </c>
      <c r="M24" s="25" t="n">
        <v>46280</v>
      </c>
    </row>
    <row r="25" ht="39" customHeight="1">
      <c r="A25" s="49" t="str">
        <v>S20</v>
      </c>
      <c r="B25" s="50" t="str">
        <v>Aardram</v>
      </c>
      <c r="C25" s="51" t="str">
        <v>Open source</v>
      </c>
      <c r="D25" s="50" t="str">
        <v>National Health Mission, Kerala</v>
      </c>
      <c r="E25" s="50" t="str">
        <v>Arogyakeralam</v>
      </c>
      <c r="F25" s="14" t="n">
        <v>43922</v>
      </c>
      <c r="G25" s="50" t="str">
        <v>Official record</v>
      </c>
      <c r="H25" s="50" t="str">
        <v>Primary</v>
      </c>
      <c r="I25" s="50" t="str">
        <v>Kerala / English</v>
      </c>
      <c r="J25" s="50" t="str">
        <v>Mission launched February 2017; PHC–FHC model</v>
      </c>
      <c r="K25" s="50" t="str">
        <v>Programme objectives and design; not an independent impact evaluation.</v>
      </c>
      <c r="L25" s="50" t="str">
        <v>https://arogyakeralam.gov.in/2020/04/01/aardram/</v>
      </c>
      <c r="M25" s="14" t="n">
        <v>46280</v>
      </c>
    </row>
    <row r="26" ht="39" customHeight="1">
      <c r="A26" s="46" t="str">
        <v>S21</v>
      </c>
      <c r="B26" s="47" t="str">
        <v>Kerala’s Aardram Mission and universal health coverage: integrated time series evidence on mortality reduction and assessment of financial protection and equity gaps</v>
      </c>
      <c r="C26" s="48" t="str">
        <v>Open source</v>
      </c>
      <c r="D26" s="47" t="str">
        <v>Kolappatta Shahana; Balamurugan Janarthanan</v>
      </c>
      <c r="E26" s="47" t="str">
        <v>Frontiers in Public Health</v>
      </c>
      <c r="F26" s="25" t="n">
        <v>46239</v>
      </c>
      <c r="G26" s="47" t="str">
        <v>Academic</v>
      </c>
      <c r="H26" s="47" t="str">
        <v>Secondary analysis</v>
      </c>
      <c r="I26" s="47" t="str">
        <v>Kerala / English</v>
      </c>
      <c r="J26" s="47" t="str">
        <v>Methods, interrupted time series 2010–2024, limitations</v>
      </c>
      <c r="K26" s="47" t="str">
        <v>No comparison group; associations cannot establish individual or programme causation. Financial protection/equity gaps remain.</v>
      </c>
      <c r="L26" s="47" t="str">
        <v>https://www.frontiersin.org/journals/public-health/articles/10.3389/fpubh.2026.1882081/full</v>
      </c>
      <c r="M26" s="25" t="n">
        <v>46280</v>
      </c>
    </row>
    <row r="27" ht="39" customHeight="1">
      <c r="A27" s="49" t="str">
        <v>S22</v>
      </c>
      <c r="B27" s="50" t="str">
        <v>Post Disaster Needs Assessment: Kerala</v>
      </c>
      <c r="C27" s="51" t="str">
        <v>Open source</v>
      </c>
      <c r="D27" s="50" t="str">
        <v>Government of Kerala / United Nations partners</v>
      </c>
      <c r="E27" s="50" t="str">
        <v>UNDP</v>
      </c>
      <c r="F27" s="14" t="n">
        <v>43446</v>
      </c>
      <c r="G27" s="50" t="str">
        <v>Official / institutional assessment</v>
      </c>
      <c r="H27" s="50" t="str">
        <v>Primary</v>
      </c>
      <c r="I27" s="50" t="str">
        <v>Kerala / English</v>
      </c>
      <c r="J27" s="50" t="str">
        <v>2018 flood impact and recovery needs</v>
      </c>
      <c r="K27" s="50" t="str">
        <v>Joint institutional assessment; recovery needs are estimates, not expenditure or completed rebuilding.</v>
      </c>
      <c r="L27" s="50" t="str">
        <v>https://www.undp.org/publications/post-disaster-needs-assessment-kerala</v>
      </c>
      <c r="M27" s="14" t="n">
        <v>46280</v>
      </c>
    </row>
    <row r="28" ht="39" customHeight="1">
      <c r="A28" s="46" t="str">
        <v>S23</v>
      </c>
      <c r="B28" s="47" t="str">
        <v>Govt assures smooth fund flow for LIFE Mission houses</v>
      </c>
      <c r="C28" s="48" t="str">
        <v>Open source</v>
      </c>
      <c r="D28" s="47" t="str">
        <v>TNN</v>
      </c>
      <c r="E28" s="47" t="str">
        <v>The Times of India</v>
      </c>
      <c r="F28" s="47" t="str">
        <v>2025; exact publication date not verified</v>
      </c>
      <c r="G28" s="47" t="str">
        <v>Journalism</v>
      </c>
      <c r="H28" s="47" t="str">
        <v>Secondary</v>
      </c>
      <c r="I28" s="47" t="str">
        <v>Kerala / English</v>
      </c>
      <c r="J28" s="47" t="str">
        <v>Assembly reply by M. B. Rajesh</v>
      </c>
      <c r="K28" s="47" t="str">
        <v>Housing counts are attributed administrative reports; no beneficiary-level audit retrieved.</v>
      </c>
      <c r="L28" s="47" t="str">
        <v>https://timesofindia.indiatimes.com/city/thiruvananthapuram/govt-assures-smooth-fund-flow-for-life-mission-houses/articleshow/123953024.cms</v>
      </c>
      <c r="M28" s="25" t="n">
        <v>46280</v>
      </c>
    </row>
    <row r="29" ht="39" customHeight="1">
      <c r="A29" s="49" t="str">
        <v>S24</v>
      </c>
      <c r="B29" s="50" t="str">
        <v>Kerala CM releases LDF govt's 10-year report card, says 97% promises fulfilled</v>
      </c>
      <c r="C29" s="51" t="str">
        <v>Open source</v>
      </c>
      <c r="D29" s="50" t="str">
        <v>TNN</v>
      </c>
      <c r="E29" s="50" t="str">
        <v>The Times of India</v>
      </c>
      <c r="F29" s="14" t="n">
        <v>46119</v>
      </c>
      <c r="G29" s="50" t="str">
        <v>Journalism</v>
      </c>
      <c r="H29" s="50" t="str">
        <v>Secondary</v>
      </c>
      <c r="I29" s="50" t="str">
        <v>Kerala / English</v>
      </c>
      <c r="J29" s="50" t="str">
        <v>CM's report card released 6 April</v>
      </c>
      <c r="K29" s="50" t="str">
        <v>Campaign-period claims include promises nearing completion; independently verified completion rate unavailable.</v>
      </c>
      <c r="L29" s="50" t="str">
        <v>https://timesofindia.indiatimes.com/city/kozhikode/kerala-cm-releases-ldf-govts-10-year-report-card-says-97-promises-fulfilled/articleshow/130069292.cms</v>
      </c>
      <c r="M29" s="14" t="n">
        <v>46280</v>
      </c>
    </row>
    <row r="30" ht="39" customHeight="1">
      <c r="A30" s="46" t="str">
        <v>S25</v>
      </c>
      <c r="B30" s="47" t="str">
        <v>KFON hits new milestone: One lakh connections and counting</v>
      </c>
      <c r="C30" s="48" t="str">
        <v>Open source</v>
      </c>
      <c r="D30" s="47" t="str">
        <v>The New Indian Express</v>
      </c>
      <c r="E30" s="47" t="str">
        <v>The New Indian Express</v>
      </c>
      <c r="F30" s="25" t="n">
        <v>45798</v>
      </c>
      <c r="G30" s="47" t="str">
        <v>Journalism</v>
      </c>
      <c r="H30" s="47" t="str">
        <v>Secondary</v>
      </c>
      <c r="I30" s="47" t="str">
        <v>Kerala / English</v>
      </c>
      <c r="J30" s="47" t="str">
        <v>100,098 total connections</v>
      </c>
      <c r="K30" s="47" t="str">
        <v>Reported programme totals mix customer categories; BPL phase counts differ by one, so that sub-count is not used.</v>
      </c>
      <c r="L30" s="47" t="str">
        <v>https://www.newindianexpress.com/states/kerala/2025/May/21/kfon-hits-new-milestone-one-lakh-connections-and-counting</v>
      </c>
      <c r="M30" s="25" t="n">
        <v>46280</v>
      </c>
    </row>
    <row r="31" ht="39" customHeight="1">
      <c r="A31" s="49" t="str">
        <v>S26</v>
      </c>
      <c r="B31" s="50" t="str">
        <v>Vizhinjam port completes a year of operations</v>
      </c>
      <c r="C31" s="51" t="str">
        <v>Open source</v>
      </c>
      <c r="D31" s="50" t="str">
        <v>TNN</v>
      </c>
      <c r="E31" s="50" t="str">
        <v>The Times of India</v>
      </c>
      <c r="F31" s="14" t="n">
        <v>45849</v>
      </c>
      <c r="G31" s="50" t="str">
        <v>Journalism</v>
      </c>
      <c r="H31" s="50" t="str">
        <v>Secondary</v>
      </c>
      <c r="I31" s="50" t="str">
        <v>Kerala / English</v>
      </c>
      <c r="J31" s="50" t="str">
        <v>First ship July 2024; commercial operations December 2024</v>
      </c>
      <c r="K31" s="50" t="str">
        <v>Throughput is reported by government; containers are not assumed equivalent to TEUs.</v>
      </c>
      <c r="L31" s="50" t="str">
        <v>https://timesofindia.indiatimes.com/city/thiruvananthapuram/vizhinjam-port-completes-a-year-of-operations/articleshow/122394019.cms</v>
      </c>
      <c r="M31" s="14" t="n">
        <v>46280</v>
      </c>
    </row>
    <row r="32" ht="52.5" customHeight="1">
      <c r="A32" s="46" t="str">
        <v>S27</v>
      </c>
      <c r="B32" s="47" t="str">
        <v>Cabinet approved RRTS line after Centre did not approve SilverLine: Pinarayi Vijayan</v>
      </c>
      <c r="C32" s="48" t="str">
        <v>Open source</v>
      </c>
      <c r="D32" s="47" t="str">
        <v>TNN</v>
      </c>
      <c r="E32" s="47" t="str">
        <v>The Times of India</v>
      </c>
      <c r="F32" s="25" t="n">
        <v>46051</v>
      </c>
      <c r="G32" s="47" t="str">
        <v>Journalism</v>
      </c>
      <c r="H32" s="47" t="str">
        <v>Secondary</v>
      </c>
      <c r="I32" s="47" t="str">
        <v>Kerala / English</v>
      </c>
      <c r="J32" s="47" t="str">
        <v>CM explanation of replacement proposal</v>
      </c>
      <c r="K32" s="47" t="str">
        <v>Cabinet approval of a proposal is not Union sanction or completed infrastructure.</v>
      </c>
      <c r="L32" s="47" t="str">
        <v>https://timesofindia.indiatimes.com/city/thiruvananthapuram/cabinet-approved-rrts-line-from-thiruvananthapuram-to-kasaragod-after-centre-did-not-approve-silverline-pinarayi-vijayan/articleshow/127780925.cms</v>
      </c>
      <c r="M32" s="25" t="n">
        <v>46280</v>
      </c>
    </row>
    <row r="33" ht="52.5" customHeight="1">
      <c r="A33" s="49" t="str">
        <v>S28</v>
      </c>
      <c r="B33" s="50" t="str">
        <v>Satheesan-led new Kerala govt set to scrap SilverLine high-speed rail project</v>
      </c>
      <c r="C33" s="51" t="str">
        <v>Open source</v>
      </c>
      <c r="D33" s="50" t="str">
        <v>Press Trust of India</v>
      </c>
      <c r="E33" s="50" t="str">
        <v>The Economic Times</v>
      </c>
      <c r="F33" s="14" t="n">
        <v>46162</v>
      </c>
      <c r="G33" s="50" t="str">
        <v>Journalism</v>
      </c>
      <c r="H33" s="50" t="str">
        <v>Secondary</v>
      </c>
      <c r="I33" s="50" t="str">
        <v>Kerala / English</v>
      </c>
      <c r="J33" s="50" t="str">
        <v>Successor government's announced decision</v>
      </c>
      <c r="K33" s="50" t="str">
        <v>Announcement reported; all implementing orders and legal effects not verified.</v>
      </c>
      <c r="L33" s="50" t="str">
        <v>https://m.economictimes.com/industry/transportation/railways/in-major-development-satheesan-led-new-kerala-govt-set-to-scrap-silverline-high-speed-rail-project/articleshow/131219482.cms</v>
      </c>
      <c r="M33" s="14" t="n">
        <v>46280</v>
      </c>
    </row>
    <row r="34" ht="39" customHeight="1">
      <c r="A34" s="46" t="str">
        <v>S29</v>
      </c>
      <c r="B34" s="47" t="str">
        <v>State Finances Audit Report, Kerala, year ended 31 March 2025</v>
      </c>
      <c r="C34" s="48" t="str">
        <v>Open source</v>
      </c>
      <c r="D34" s="47" t="str">
        <v>Comptroller and Auditor General of India</v>
      </c>
      <c r="E34" s="47" t="str">
        <v>Kerala Legislative Assembly</v>
      </c>
      <c r="F34" s="47" t="str">
        <v>2026; tabled 2026-06-23</v>
      </c>
      <c r="G34" s="47" t="str">
        <v>Audit report</v>
      </c>
      <c r="H34" s="47" t="str">
        <v>Primary</v>
      </c>
      <c r="I34" s="47" t="str">
        <v>Kerala / English</v>
      </c>
      <c r="J34" s="47" t="str">
        <v>Printed pp. 50–51, 117–120; FY2024–25</v>
      </c>
      <c r="K34" s="47" t="str">
        <v>Audited fiscal classification and government replies; audit criticism is not a criminal finding. Reported actuals differ from budget estimates.</v>
      </c>
      <c r="L34" s="47" t="str">
        <v>https://www.niyamasabha.org/codes/16kla/C&amp;AG/SFAR/SFAR%202024-25_English.pdf</v>
      </c>
      <c r="M34" s="25" t="n">
        <v>46280</v>
      </c>
    </row>
    <row r="35" ht="39" customHeight="1">
      <c r="A35" s="49" t="str">
        <v>S30</v>
      </c>
      <c r="B35" s="50" t="str">
        <v>Kerala passes resolution against CAG's audit report</v>
      </c>
      <c r="C35" s="51" t="str">
        <v>Open source</v>
      </c>
      <c r="D35" s="50" t="str">
        <v>FE Bureau</v>
      </c>
      <c r="E35" s="50" t="str">
        <v>Financial Express</v>
      </c>
      <c r="F35" s="14" t="n">
        <v>44219</v>
      </c>
      <c r="G35" s="50" t="str">
        <v>Journalism</v>
      </c>
      <c r="H35" s="50" t="str">
        <v>Secondary</v>
      </c>
      <c r="I35" s="50" t="str">
        <v>Kerala / English</v>
      </c>
      <c r="J35" s="50" t="str">
        <v>Assembly resolution on KIIFB audit paragraphs</v>
      </c>
      <c r="K35" s="50" t="str">
        <v>Reports the Assembly's position; a resolution does not erase the audit disagreement.</v>
      </c>
      <c r="L35" s="50" t="str">
        <v>https://www.financialexpress.com/policy/economy-kerala-passes-resolution-against-cags-audit-report-2176757/</v>
      </c>
      <c r="M35" s="14" t="n">
        <v>46280</v>
      </c>
    </row>
    <row r="36" ht="39" customHeight="1">
      <c r="A36" s="46" t="str">
        <v>S31</v>
      </c>
      <c r="B36" s="47" t="str">
        <v>Explainer: CAG report on KIIFB and the row involving Thomas Isaac</v>
      </c>
      <c r="C36" s="48" t="str">
        <v>Open source</v>
      </c>
      <c r="D36" s="47" t="str">
        <v>The News Minute</v>
      </c>
      <c r="E36" s="47" t="str">
        <v>The News Minute</v>
      </c>
      <c r="F36" s="25" t="n">
        <v>44153</v>
      </c>
      <c r="G36" s="47" t="str">
        <v>Journalism</v>
      </c>
      <c r="H36" s="47" t="str">
        <v>Secondary</v>
      </c>
      <c r="I36" s="47" t="str">
        <v>Kerala / English</v>
      </c>
      <c r="J36" s="47" t="str">
        <v>Off-budget borrowing debate and state defence</v>
      </c>
      <c r="K36" s="47" t="str">
        <v>Historical explanation; use S29 for later audited figures.</v>
      </c>
      <c r="L36" s="47" t="str">
        <v>https://www.thenewsminute.com/kerala/explainer-cag-report-kiifb-and-row-involving-thomas-isaac-137910</v>
      </c>
      <c r="M36" s="25" t="n">
        <v>46280</v>
      </c>
    </row>
    <row r="37" ht="39" customHeight="1">
      <c r="A37" s="49" t="str">
        <v>S32</v>
      </c>
      <c r="B37" s="50" t="str">
        <v>Bid to create a false impression of Left govt's poverty programme: Pinarayi Vijayan</v>
      </c>
      <c r="C37" s="51" t="str">
        <v>Open source</v>
      </c>
      <c r="D37" s="50" t="str">
        <v>TNN</v>
      </c>
      <c r="E37" s="50" t="str">
        <v>The Times of India</v>
      </c>
      <c r="F37" s="14" t="n">
        <v>46030</v>
      </c>
      <c r="G37" s="50" t="str">
        <v>Journalism</v>
      </c>
      <c r="H37" s="50" t="str">
        <v>Secondary</v>
      </c>
      <c r="I37" s="50" t="str">
        <v>Kerala / English</v>
      </c>
      <c r="J37" s="50" t="str">
        <v>Defence of 1 November 2025 declaration and EPEP 2.0</v>
      </c>
      <c r="K37" s="50" t="str">
        <v>Administrative identification of 64,006 households is not a general monetary-poverty census.</v>
      </c>
      <c r="L37" s="50" t="str">
        <v>https://timesofindia.indiatimes.com/city/thiruvananthapuram/bid-to-create-a-false-impression-of-left-govts-poverty-programme-pinarayi-vijayan/articleshow/126419191.cms</v>
      </c>
      <c r="M37" s="14" t="n">
        <v>46280</v>
      </c>
    </row>
    <row r="38" ht="39" customHeight="1">
      <c r="A38" s="46" t="str">
        <v>S33</v>
      </c>
      <c r="B38" s="47" t="str">
        <v>Review meeting highlights progress of major development projects in Thiruvananthapuram</v>
      </c>
      <c r="C38" s="48" t="str">
        <v>Open source</v>
      </c>
      <c r="D38" s="47" t="str">
        <v>TNN</v>
      </c>
      <c r="E38" s="47" t="str">
        <v>The Times of India</v>
      </c>
      <c r="F38" s="25" t="n">
        <v>45792</v>
      </c>
      <c r="G38" s="47" t="str">
        <v>Journalism</v>
      </c>
      <c r="H38" s="47" t="str">
        <v>Secondary</v>
      </c>
      <c r="I38" s="47" t="str">
        <v>Kerala / English</v>
      </c>
      <c r="J38" s="47" t="str">
        <v>District-level school and sanitation review</v>
      </c>
      <c r="K38" s="47" t="str">
        <v>District figures cannot be generalized to the whole state; reported outputs are not learning or health outcomes.</v>
      </c>
      <c r="L38" s="47" t="str">
        <v>https://timesofindia.indiatimes.com/city/thiruvananthapuram/review-meeting-highlights-progress-of-major-development-projects-in-thiruvananthapuram/articleshow/121193257.cms</v>
      </c>
      <c r="M38" s="25" t="n">
        <v>46280</v>
      </c>
    </row>
    <row r="39" ht="39" customHeight="1">
      <c r="A39" s="49" t="str">
        <v>S34</v>
      </c>
      <c r="B39" s="50" t="str">
        <v>Centre shouldn't interfere in states' autonomy: Kerala CM</v>
      </c>
      <c r="C39" s="51" t="str">
        <v>Open source</v>
      </c>
      <c r="D39" s="50" t="str">
        <v>TNN</v>
      </c>
      <c r="E39" s="50" t="str">
        <v>The Times of India</v>
      </c>
      <c r="F39" s="14" t="n">
        <v>45910</v>
      </c>
      <c r="G39" s="50" t="str">
        <v>Journalism</v>
      </c>
      <c r="H39" s="50" t="str">
        <v>Secondary</v>
      </c>
      <c r="I39" s="50" t="str">
        <v>Kerala / English</v>
      </c>
      <c r="J39" s="50" t="str">
        <v>Speech on federalism, language and secularism</v>
      </c>
      <c r="K39" s="50" t="str">
        <v>Evidence of stated position, not independent proof of every allegation against the Union.</v>
      </c>
      <c r="L39" s="50" t="str">
        <v>https://timesofindia.indiatimes.com/city/kochi/centre-shouldnt-interfere-in-states-autonomy-kerala-cm/articleshow/123814254.cms</v>
      </c>
      <c r="M39" s="14" t="n">
        <v>46280</v>
      </c>
    </row>
    <row r="40" ht="39" customHeight="1">
      <c r="A40" s="46" t="str">
        <v>S35</v>
      </c>
      <c r="B40" s="47" t="str">
        <v>Kerala assembly passes resolution against Centre's neglect</v>
      </c>
      <c r="C40" s="48" t="str">
        <v>Open source</v>
      </c>
      <c r="D40" s="47" t="str">
        <v>TNN</v>
      </c>
      <c r="E40" s="47" t="str">
        <v>The Times of India</v>
      </c>
      <c r="F40" s="25" t="n">
        <v>46057</v>
      </c>
      <c r="G40" s="47" t="str">
        <v>Journalism</v>
      </c>
      <c r="H40" s="47" t="str">
        <v>Secondary</v>
      </c>
      <c r="I40" s="47" t="str">
        <v>Kerala / English</v>
      </c>
      <c r="J40" s="47" t="str">
        <v>CM's resolution; opposition boycott</v>
      </c>
      <c r="K40" s="47" t="str">
        <v>Political claim and legislative action; requires separate evaluation of each funding complaint.</v>
      </c>
      <c r="L40" s="47" t="str">
        <v>https://timesofindia.indiatimes.com/city/thiruvananthapuram/kerala-assembly-passes-resolution-against-centres-neglect/articleshow/127913999.cms</v>
      </c>
      <c r="M40" s="25" t="n">
        <v>46280</v>
      </c>
    </row>
    <row r="41" ht="39" customHeight="1">
      <c r="A41" s="49" t="str">
        <v>S36</v>
      </c>
      <c r="B41" s="50" t="str">
        <v>Documentary on Pinarayi released</v>
      </c>
      <c r="C41" s="51" t="str">
        <v>Open source</v>
      </c>
      <c r="D41" s="50" t="str">
        <v>TNN</v>
      </c>
      <c r="E41" s="50" t="str">
        <v>The Times of India</v>
      </c>
      <c r="F41" s="50" t="str">
        <v>2025-05; exact day not verified</v>
      </c>
      <c r="G41" s="50" t="str">
        <v>Journalism</v>
      </c>
      <c r="H41" s="50" t="str">
        <v>Secondary</v>
      </c>
      <c r="I41" s="50" t="str">
        <v>Kerala / English</v>
      </c>
      <c r="J41" s="50" t="str">
        <v>Pinarayi: The Legend; CM's party-centred response</v>
      </c>
      <c r="K41" s="50" t="str">
        <v>Documentary produced by an employees' association; evidence of public-memory construction.</v>
      </c>
      <c r="L41" s="50" t="str">
        <v>https://timesofindia.indiatimes.com/city/thiruvananthapuram/documentary-on-pinarayi-released/articleshow/121472632.cms</v>
      </c>
      <c r="M41" s="14" t="n">
        <v>46280</v>
      </c>
    </row>
    <row r="42" ht="39" customHeight="1">
      <c r="A42" s="46" t="str">
        <v>S37</v>
      </c>
      <c r="B42" s="47" t="str">
        <v>LDF failed to read indications given by people</v>
      </c>
      <c r="C42" s="48" t="str">
        <v>Open source</v>
      </c>
      <c r="D42" s="47" t="str">
        <v>TNN</v>
      </c>
      <c r="E42" s="47" t="str">
        <v>The Times of India</v>
      </c>
      <c r="F42" s="25" t="n">
        <v>46147</v>
      </c>
      <c r="G42" s="47" t="str">
        <v>Journalism / analysis</v>
      </c>
      <c r="H42" s="47" t="str">
        <v>Secondary</v>
      </c>
      <c r="I42" s="47" t="str">
        <v>Kerala / English</v>
      </c>
      <c r="J42" s="47" t="str">
        <v>LDF 99 to 35 seats; UDF 102; BJP 3</v>
      </c>
      <c r="K42" s="47" t="str">
        <v>Explanations for voter behaviour are journalistic interpretation, not identified causal effects.</v>
      </c>
      <c r="L42" s="47" t="str">
        <v>https://timesofindia.indiatimes.com/city/kochi/ldf-failed-to-read-indications-given-by-people/articleshow/130810804.cms</v>
      </c>
      <c r="M42" s="25" t="n">
        <v>46280</v>
      </c>
    </row>
    <row r="43" ht="39" customHeight="1">
      <c r="A43" s="49" t="str">
        <v>S38</v>
      </c>
      <c r="B43" s="50" t="str">
        <v>Congress should give this advice to its own chief ministers: Pinarayi Vijayan on being asked to quit</v>
      </c>
      <c r="C43" s="51" t="str">
        <v>Open source</v>
      </c>
      <c r="D43" s="50" t="str">
        <v>The Indian Express</v>
      </c>
      <c r="E43" s="50" t="str">
        <v>The Indian Express</v>
      </c>
      <c r="F43" s="14" t="n">
        <v>45455</v>
      </c>
      <c r="G43" s="50" t="str">
        <v>Journalism</v>
      </c>
      <c r="H43" s="50" t="str">
        <v>Secondary</v>
      </c>
      <c r="I43" s="50" t="str">
        <v>Kerala / English</v>
      </c>
      <c r="J43" s="50" t="str">
        <v>Lok Sabha setback and response</v>
      </c>
      <c r="K43" s="50" t="str">
        <v>National election outcomes are distinct from his personal Assembly contests.</v>
      </c>
      <c r="L43" s="50" t="str">
        <v>https://indianexpress.com/article/cities/thiruvananthapuram/congress-should-give-this-advice-to-its-own-chief-ministers-pinarayi-vijayan-on-being-asked-to-quit-as-kerala-cm-9386664/</v>
      </c>
      <c r="M43" s="14" t="n">
        <v>46280</v>
      </c>
    </row>
    <row r="44" ht="39" customHeight="1">
      <c r="A44" s="46" t="str">
        <v>S39</v>
      </c>
      <c r="B44" s="47" t="str">
        <v>Explained: The SNC-Lavalin case involving Pinarayi Vijayan</v>
      </c>
      <c r="C44" s="48" t="str">
        <v>Open source</v>
      </c>
      <c r="D44" s="47" t="str">
        <v>Shaju Philip</v>
      </c>
      <c r="E44" s="47" t="str">
        <v>The Indian Express</v>
      </c>
      <c r="F44" s="47" t="str">
        <v>2020-10-01; updated 2020-10-05</v>
      </c>
      <c r="G44" s="47" t="str">
        <v>Journalism / explainer</v>
      </c>
      <c r="H44" s="47" t="str">
        <v>Secondary</v>
      </c>
      <c r="I44" s="47" t="str">
        <v>Kerala / English</v>
      </c>
      <c r="J44" s="47" t="str">
        <v>Contract history, discharge and CBI appeal</v>
      </c>
      <c r="K44" s="47" t="str">
        <v>Some wording/date inconsistencies about the 2017 order; cross-checked against S40.</v>
      </c>
      <c r="L44" s="47" t="str">
        <v>https://indianexpress.com/article/explained/snc-lavalin-case-explained-pinarayi-vijayan-cbi-case-appeal-6663205/</v>
      </c>
      <c r="M44" s="25" t="n">
        <v>46280</v>
      </c>
    </row>
    <row r="45" ht="39" customHeight="1">
      <c r="A45" s="49" t="str">
        <v>S40</v>
      </c>
      <c r="B45" s="50" t="str">
        <v>Full timeline of SNC-Lavalin case involving Kerala CM Pinarayi Vijayan</v>
      </c>
      <c r="C45" s="51" t="str">
        <v>Open source</v>
      </c>
      <c r="D45" s="50" t="str">
        <v>The New Indian Express</v>
      </c>
      <c r="E45" s="50" t="str">
        <v>The New Indian Express</v>
      </c>
      <c r="F45" s="14" t="n">
        <v>42970</v>
      </c>
      <c r="G45" s="50" t="str">
        <v>Journalism</v>
      </c>
      <c r="H45" s="50" t="str">
        <v>Secondary</v>
      </c>
      <c r="I45" s="50" t="str">
        <v>Kerala / English</v>
      </c>
      <c r="J45" s="50" t="str">
        <v>2013 discharge; High Court decision 23 August 2017</v>
      </c>
      <c r="K45" s="50" t="str">
        <v>No original judicial order retrieved in this review.</v>
      </c>
      <c r="L45" s="50" t="str">
        <v>https://www.newindianexpress.com/states/kerala/2017/Aug/23/here-is-the-full-timeline-of-snc-lavalin-case-involving-kerala-cm-pinarayi-vijayan-1647133.html</v>
      </c>
      <c r="M45" s="14" t="n">
        <v>46280</v>
      </c>
    </row>
    <row r="46" ht="39" customHeight="1">
      <c r="A46" s="46" t="str">
        <v>S41</v>
      </c>
      <c r="B46" s="47" t="str">
        <v>SC lists SNC-Lavalin case involving Kerala CM for final hearing on May 1</v>
      </c>
      <c r="C46" s="48" t="str">
        <v>Open source</v>
      </c>
      <c r="D46" s="47" t="str">
        <v>ETLegalWorld</v>
      </c>
      <c r="E46" s="47" t="str">
        <v>ETLegalWorld</v>
      </c>
      <c r="F46" s="25" t="n">
        <v>45328</v>
      </c>
      <c r="G46" s="47" t="str">
        <v>Journalism / legal reporting</v>
      </c>
      <c r="H46" s="47" t="str">
        <v>Secondary</v>
      </c>
      <c r="I46" s="47" t="str">
        <v>Kerala / English</v>
      </c>
      <c r="J46" s="47" t="str">
        <v>2024 listing of CBI appeal</v>
      </c>
      <c r="K46" s="47" t="str">
        <v>A scheduled hearing is not a decision. Later final disposal not verified as of research cut-off.</v>
      </c>
      <c r="L46" s="47" t="str">
        <v>https://legal.economictimes.indiatimes.com/news/litigation/sc-lists-snc-lavalin-case-involving-kerala-cm-for-final-hearing-on-may-1/107458923</v>
      </c>
      <c r="M46" s="25" t="n">
        <v>46280</v>
      </c>
    </row>
    <row r="47" ht="39" customHeight="1">
      <c r="A47" s="49" t="str">
        <v>S42</v>
      </c>
      <c r="B47" s="50" t="str">
        <v>ED wants Kerala Police to file FIR against Pinarayi Vijayan, daughter Veena</v>
      </c>
      <c r="C47" s="51" t="str">
        <v>Open source</v>
      </c>
      <c r="D47" s="50" t="str">
        <v>Shaju Philip</v>
      </c>
      <c r="E47" s="50" t="str">
        <v>The Indian Express</v>
      </c>
      <c r="F47" s="14" t="n">
        <v>46274</v>
      </c>
      <c r="G47" s="50" t="str">
        <v>Journalism</v>
      </c>
      <c r="H47" s="50" t="str">
        <v>Secondary</v>
      </c>
      <c r="I47" s="50" t="str">
        <v>Kerala / English</v>
      </c>
      <c r="J47" s="50" t="str">
        <v>ED recommendation and Vijayan's denial</v>
      </c>
      <c r="K47" s="50" t="str">
        <v>Allegations in a reported agency communication; recommendation does not establish that police registered an FIR.</v>
      </c>
      <c r="L47" s="50" t="str">
        <v>https://indianexpress.com/article/india/ed-wants-kerala-police-to-file-fir-against-pinarayi-vijayan-daughter-veena-10868260/</v>
      </c>
      <c r="M47" s="14" t="n">
        <v>46280</v>
      </c>
    </row>
    <row r="48" ht="39" customHeight="1">
      <c r="A48" s="46" t="str">
        <v>S43</v>
      </c>
      <c r="B48" s="47" t="str">
        <v>Govt to scrutinise ED recommendation on Pinarayi, others: CM</v>
      </c>
      <c r="C48" s="48" t="str">
        <v>Open source</v>
      </c>
      <c r="D48" s="47" t="str">
        <v>TNN</v>
      </c>
      <c r="E48" s="47" t="str">
        <v>The Times of India</v>
      </c>
      <c r="F48" s="25" t="n">
        <v>46275</v>
      </c>
      <c r="G48" s="47" t="str">
        <v>Journalism</v>
      </c>
      <c r="H48" s="47" t="str">
        <v>Secondary</v>
      </c>
      <c r="I48" s="47" t="str">
        <v>Kerala / English</v>
      </c>
      <c r="J48" s="47" t="str">
        <v>Successor CM announces legal scrutiny</v>
      </c>
      <c r="K48" s="47" t="str">
        <v>Latest verified follow-up used here; no later FIR or judgment established by selected sources.</v>
      </c>
      <c r="L48" s="47" t="str">
        <v>https://timesofindia.indiatimes.com/city/thiruvananthapuram/govt-to-scrutinise-ed-recommendation-on-pinarayi-others-cm/articleshow/133977202.cms</v>
      </c>
      <c r="M48" s="25" t="n">
        <v>46280</v>
      </c>
    </row>
    <row r="49" ht="39" customHeight="1">
      <c r="A49" s="49" t="str">
        <v>S44</v>
      </c>
      <c r="B49" s="50" t="str">
        <v>What Justice Hema Committee report says, why its release was delayed</v>
      </c>
      <c r="C49" s="51" t="str">
        <v>Open source</v>
      </c>
      <c r="D49" s="50" t="str">
        <v>The Indian Express</v>
      </c>
      <c r="E49" s="50" t="str">
        <v>The Indian Express</v>
      </c>
      <c r="F49" s="14" t="n">
        <v>45526</v>
      </c>
      <c r="G49" s="50" t="str">
        <v>Journalism / explainer</v>
      </c>
      <c r="H49" s="50" t="str">
        <v>Secondary</v>
      </c>
      <c r="I49" s="50" t="str">
        <v>Kerala / English</v>
      </c>
      <c r="J49" s="50" t="str">
        <v>2017 appointment, 2019 submission, 19 August 2024 redacted release</v>
      </c>
      <c r="K49" s="50" t="str">
        <v>Committee findings concern industry conditions; individual allegations require separate proceedings.</v>
      </c>
      <c r="L49" s="50" t="str">
        <v>https://indianexpress.com/article/explained/what-justice-hema-committee-report-says-why-its-release-was-delayed-9526412/</v>
      </c>
      <c r="M49" s="14" t="n">
        <v>46280</v>
      </c>
    </row>
    <row r="50" ht="39" customHeight="1">
      <c r="A50" s="46" t="str">
        <v>S45</v>
      </c>
      <c r="B50" s="47" t="str">
        <v>Protected privacy, did not withhold report: Kerala CM on Hema Committee report</v>
      </c>
      <c r="C50" s="48" t="str">
        <v>Open source</v>
      </c>
      <c r="D50" s="47" t="str">
        <v>South First</v>
      </c>
      <c r="E50" s="47" t="str">
        <v>South First</v>
      </c>
      <c r="F50" s="25" t="n">
        <v>45525</v>
      </c>
      <c r="G50" s="47" t="str">
        <v>Journalism</v>
      </c>
      <c r="H50" s="47" t="str">
        <v>Secondary</v>
      </c>
      <c r="I50" s="47" t="str">
        <v>Kerala / English</v>
      </c>
      <c r="J50" s="47" t="str">
        <v>CM's response to delayed disclosure criticism</v>
      </c>
      <c r="K50" s="47" t="str">
        <v>Response is attributed; does not establish adequacy of implementation.</v>
      </c>
      <c r="L50" s="47" t="str">
        <v>https://thesouthfirst.com/kerala/protected-privacy-did-not-withhold-report-kerala-cm-on-hema-committee-report/</v>
      </c>
      <c r="M50" s="25" t="n">
        <v>46280</v>
      </c>
    </row>
    <row r="51" ht="39" customHeight="1">
      <c r="A51" s="49" t="str">
        <v>S46</v>
      </c>
      <c r="B51" s="50" t="str">
        <v>Sabarimala issue: CM Vijayan promises a women's wall on Jan 1</v>
      </c>
      <c r="C51" s="51" t="str">
        <v>Open source</v>
      </c>
      <c r="D51" s="50" t="str">
        <v>The Indian Express</v>
      </c>
      <c r="E51" s="50" t="str">
        <v>The Indian Express</v>
      </c>
      <c r="F51" s="14" t="n">
        <v>43436</v>
      </c>
      <c r="G51" s="50" t="str">
        <v>Journalism</v>
      </c>
      <c r="H51" s="50" t="str">
        <v>Secondary</v>
      </c>
      <c r="I51" s="50" t="str">
        <v>Kerala / English</v>
      </c>
      <c r="J51" s="50" t="str">
        <v>Government and community organization mobilization</v>
      </c>
      <c r="K51" s="50" t="str">
        <v>Historical response to 2018 Supreme Court ruling; subsequent review litigation is not resolved here.</v>
      </c>
      <c r="L51" s="50" t="str">
        <v>https://indianexpress.com/article/india/sabarimala-issue-cm-vijayan-promises-a-womens-wall-on-jan-1-after-meeting-community-organisations-5474573/</v>
      </c>
      <c r="M51" s="14" t="n">
        <v>46280</v>
      </c>
    </row>
    <row r="52" ht="39" customHeight="1">
      <c r="A52" s="46" t="str">
        <v>S47</v>
      </c>
      <c r="B52" s="47" t="str">
        <v>Indian Women Form a 620-km Human Chain for Equality</v>
      </c>
      <c r="C52" s="48" t="str">
        <v>Open source</v>
      </c>
      <c r="D52" s="47" t="str">
        <v>TIME</v>
      </c>
      <c r="E52" s="47" t="str">
        <v>TIME</v>
      </c>
      <c r="F52" s="47" t="str">
        <v>2019-01; exact day not verified</v>
      </c>
      <c r="G52" s="47" t="str">
        <v>Journalism</v>
      </c>
      <c r="H52" s="47" t="str">
        <v>Secondary</v>
      </c>
      <c r="I52" s="47" t="str">
        <v>Kerala / English</v>
      </c>
      <c r="J52" s="47" t="str">
        <v>Women's Wall on 1 January 2019</v>
      </c>
      <c r="K52" s="47" t="str">
        <v>Participation estimates are reported, not independently counted in this workbook.</v>
      </c>
      <c r="L52" s="47" t="str">
        <v>https://time.com/5491454/620km-human-chain-indian-women-equality/</v>
      </c>
      <c r="M52" s="25" t="n">
        <v>46280</v>
      </c>
    </row>
    <row r="53" ht="39" customHeight="1">
      <c r="A53" s="49" t="str">
        <v>S48</v>
      </c>
      <c r="B53" s="50" t="str">
        <v>Kerala High Court Questions State Over Data Sharing With US-Based Tech Firm Sprinklr</v>
      </c>
      <c r="C53" s="51" t="str">
        <v>Open source</v>
      </c>
      <c r="D53" s="50" t="str">
        <v>Sneha Mary Koshy</v>
      </c>
      <c r="E53" s="50" t="str">
        <v>NDTV</v>
      </c>
      <c r="F53" s="14" t="n">
        <v>43942</v>
      </c>
      <c r="G53" s="50" t="str">
        <v>Journalism</v>
      </c>
      <c r="H53" s="50" t="str">
        <v>Secondary</v>
      </c>
      <c r="I53" s="50" t="str">
        <v>Kerala / English</v>
      </c>
      <c r="J53" s="50" t="str">
        <v>COVID data contract judicial scrutiny</v>
      </c>
      <c r="K53" s="50" t="str">
        <v>Early procedural reporting; judicial questions are not final findings.</v>
      </c>
      <c r="L53" s="50" t="str">
        <v>https://www.ndtv.com/kerala-news/kerala-high-court-questions-state-over-data-sharing-with-us-based-tech-firm-sprinklr-2215881</v>
      </c>
      <c r="M53" s="14" t="n">
        <v>46280</v>
      </c>
    </row>
    <row r="54" ht="39" customHeight="1">
      <c r="A54" s="46" t="str">
        <v>S49</v>
      </c>
      <c r="B54" s="47" t="str">
        <v>Will go ahead with Sprinklr contract as directed by HC: Chief Minister</v>
      </c>
      <c r="C54" s="48" t="str">
        <v>Open source</v>
      </c>
      <c r="D54" s="47" t="str">
        <v>Kerala Kaumudi</v>
      </c>
      <c r="E54" s="47" t="str">
        <v>Kerala Kaumudi</v>
      </c>
      <c r="F54" s="25" t="n">
        <v>43945</v>
      </c>
      <c r="G54" s="47" t="str">
        <v>Journalism</v>
      </c>
      <c r="H54" s="47" t="str">
        <v>Secondary</v>
      </c>
      <c r="I54" s="47" t="str">
        <v>Kerala / English</v>
      </c>
      <c r="J54" s="47" t="str">
        <v>CM response to interim safeguards</v>
      </c>
      <c r="K54" s="47" t="str">
        <v>English edition of regional publication; response and interim order, not a merits judgment.</v>
      </c>
      <c r="L54" s="47" t="str">
        <v>https://keralakaumudi.com/en/kerala/general/will-go-ahead-with-sprinklr-contract-as-directed-by-hc-chief-minister-289982</v>
      </c>
      <c r="M54" s="25" t="n">
        <v>46280</v>
      </c>
    </row>
    <row r="55" ht="39" customHeight="1">
      <c r="A55" s="49" t="str">
        <v>S50</v>
      </c>
      <c r="B55" s="50" t="str">
        <v>Kerala Sprinklr deal: government tells High Court C-DIT will manage data</v>
      </c>
      <c r="C55" s="51" t="str">
        <v>Open source</v>
      </c>
      <c r="D55" s="50" t="str">
        <v>Jeemon Jacob</v>
      </c>
      <c r="E55" s="50" t="str">
        <v>India Today</v>
      </c>
      <c r="F55" s="14" t="n">
        <v>43972</v>
      </c>
      <c r="G55" s="50" t="str">
        <v>Journalism</v>
      </c>
      <c r="H55" s="50" t="str">
        <v>Secondary</v>
      </c>
      <c r="I55" s="50" t="str">
        <v>Kerala / English</v>
      </c>
      <c r="J55" s="50" t="str">
        <v>May 2020 affidavit</v>
      </c>
      <c r="K55" s="50" t="str">
        <v>Used narrowly for later data-management arrangement; no claim of final adjudication.</v>
      </c>
      <c r="L55" s="50" t="str">
        <v>https://www.indiatoday.in/india/story/kerala-sprinklr-deal-covid-19-pinarayi-vijayan-high-court-1680484-2020-05-21</v>
      </c>
      <c r="M55" s="14" t="n">
        <v>46280</v>
      </c>
    </row>
    <row r="56" ht="39" customHeight="1">
      <c r="A56" s="46" t="str">
        <v>S51</v>
      </c>
      <c r="B56" s="47" t="str">
        <v>All despots face a pathetic end: Alan Shuhaib's mother slams CM Pinarayi</v>
      </c>
      <c r="C56" s="48" t="str">
        <v>Open source</v>
      </c>
      <c r="D56" s="47" t="str">
        <v>The News Minute</v>
      </c>
      <c r="E56" s="47" t="str">
        <v>The News Minute</v>
      </c>
      <c r="F56" s="25" t="n">
        <v>43832</v>
      </c>
      <c r="G56" s="47" t="str">
        <v>Journalism</v>
      </c>
      <c r="H56" s="47" t="str">
        <v>Secondary</v>
      </c>
      <c r="I56" s="47" t="str">
        <v>Kerala / English</v>
      </c>
      <c r="J56" s="47" t="str">
        <v>2019 UAPA arrests; family criticism and CM position</v>
      </c>
      <c r="K56" s="47" t="str">
        <v>Single-source historical controversy; final individual case dispositions not verified.</v>
      </c>
      <c r="L56" s="47" t="str">
        <v>https://www.thenewsminute.com/kerala/all-despots-face-pathetic-end-alan-suhaibs-mother-slams-cm-pinarayi-115215</v>
      </c>
      <c r="M56" s="25" t="n">
        <v>46280</v>
      </c>
    </row>
    <row r="57" ht="39" customHeight="1">
      <c r="A57" s="49" t="str">
        <v>S52</v>
      </c>
      <c r="B57" s="50" t="str">
        <v>Heat on Chief Minister's Office in Kerala gold smuggling case: 10 points</v>
      </c>
      <c r="C57" s="51" t="str">
        <v>Open source</v>
      </c>
      <c r="D57" s="50" t="str">
        <v>Sneha Mary Koshy; edited by Swati Bhasin</v>
      </c>
      <c r="E57" s="50" t="str">
        <v>NDTV</v>
      </c>
      <c r="F57" s="14" t="n">
        <v>44020</v>
      </c>
      <c r="G57" s="50" t="str">
        <v>Journalism</v>
      </c>
      <c r="H57" s="50" t="str">
        <v>Secondary</v>
      </c>
      <c r="I57" s="50" t="str">
        <v>Kerala / English</v>
      </c>
      <c r="J57" s="50" t="str">
        <v>Removal of M. Sivasankar; opposition allegations; CM denial</v>
      </c>
      <c r="K57" s="50" t="str">
        <v>Article's precise seizure day differs from other accounts; workbook uses July 2020 only.</v>
      </c>
      <c r="L57" s="50" t="str">
        <v>https://www.ndtv.com/india-news/heat-on-chief-minister-pinarayi-vijayan-office-in-kerala-gold-smuggling-case-10-points-2259093</v>
      </c>
      <c r="M57" s="14" t="n">
        <v>46280</v>
      </c>
    </row>
    <row r="58" ht="39" customHeight="1">
      <c r="A58" s="46" t="str">
        <v>S53</v>
      </c>
      <c r="B58" s="47" t="str">
        <v>ED deputy director who probed Kerala gold case forced to retire</v>
      </c>
      <c r="C58" s="48" t="str">
        <v>Open source</v>
      </c>
      <c r="D58" s="47" t="str">
        <v>The Times of India</v>
      </c>
      <c r="E58" s="47" t="str">
        <v>The Times of India</v>
      </c>
      <c r="F58" s="25" t="n">
        <v>46031</v>
      </c>
      <c r="G58" s="47" t="str">
        <v>Journalism</v>
      </c>
      <c r="H58" s="47" t="str">
        <v>Secondary</v>
      </c>
      <c r="I58" s="47" t="str">
        <v>Kerala / English</v>
      </c>
      <c r="J58" s="47" t="str">
        <v>Retrospective description of investigation and former aide</v>
      </c>
      <c r="K58" s="47" t="str">
        <v>Personnel report is not a final judgment in the smuggling case or proof against the former CM.</v>
      </c>
      <c r="L58" s="47" t="str">
        <v>https://timesofindia.indiatimes.com/india/ed-deputy-director-who-probed-kerala-gold-case-forced-to-retire/articleshow/126424846.cms</v>
      </c>
      <c r="M58" s="25" t="n">
        <v>46280</v>
      </c>
    </row>
    <row r="59" ht="39" customHeight="1">
      <c r="A59" s="49" t="str">
        <v>S54</v>
      </c>
      <c r="B59" s="50" t="str">
        <v>Kerala CM suspended from CPI-M Politburo</v>
      </c>
      <c r="C59" s="51" t="str">
        <v>Open source</v>
      </c>
      <c r="D59" s="50" t="str">
        <v>Press Trust of India</v>
      </c>
      <c r="E59" s="50" t="str">
        <v>The Times of India</v>
      </c>
      <c r="F59" s="14" t="n">
        <v>39228</v>
      </c>
      <c r="G59" s="50" t="str">
        <v>Journalism</v>
      </c>
      <c r="H59" s="50" t="str">
        <v>Secondary</v>
      </c>
      <c r="I59" s="50" t="str">
        <v>Kerala / English</v>
      </c>
      <c r="J59" s="50" t="str">
        <v>Suspension of V. S. Achuthanandan and Pinarayi Vijayan</v>
      </c>
      <c r="K59" s="50" t="str">
        <v>Headline refers to then-CM Achuthanandan. Vijayan was state secretary; both suspended from Politburo.</v>
      </c>
      <c r="L59" s="50" t="str">
        <v>https://timesofindia.indiatimes.com/india/kerala-cm-suspended-from-cpi-m-politburo/articleshow/2076224.cms</v>
      </c>
      <c r="M59" s="14" t="n">
        <v>46280</v>
      </c>
    </row>
    <row r="60" ht="39" customHeight="1">
      <c r="A60" s="46" t="str">
        <v>S55</v>
      </c>
      <c r="B60" s="47" t="str">
        <v>Pinarayi Vijayan sworn in as Kerala CM</v>
      </c>
      <c r="C60" s="48" t="str">
        <v>Open source</v>
      </c>
      <c r="D60" s="47" t="str">
        <v>TNN &amp; Agencies</v>
      </c>
      <c r="E60" s="47" t="str">
        <v>The Times of India</v>
      </c>
      <c r="F60" s="25" t="n">
        <v>42515</v>
      </c>
      <c r="G60" s="47" t="str">
        <v>Journalism</v>
      </c>
      <c r="H60" s="47" t="str">
        <v>Secondary</v>
      </c>
      <c r="I60" s="47" t="str">
        <v>Kerala / English</v>
      </c>
      <c r="J60" s="47" t="str">
        <v>First swearing-in, 25 May 2016</v>
      </c>
      <c r="K60" s="47" t="str">
        <v>Contemporaneous report; age statement not used because birth dates conflict.</v>
      </c>
      <c r="L60" s="47" t="str">
        <v>https://timesofindia.indiatimes.com/india/pinarayi-vijayan-sworn-in-as-kerala-cm/articleshow/52433237.cms</v>
      </c>
      <c r="M60" s="25" t="n">
        <v>46280</v>
      </c>
    </row>
    <row r="61" ht="39" customHeight="1">
      <c r="A61" s="49" t="str">
        <v>S56</v>
      </c>
      <c r="B61" s="50" t="str">
        <v>Climate change intensified rain that caused deadly Indian landslides, study finds</v>
      </c>
      <c r="C61" s="51" t="str">
        <v>Open source</v>
      </c>
      <c r="D61" s="50" t="str">
        <v>Reuters</v>
      </c>
      <c r="E61" s="50" t="str">
        <v>Reuters</v>
      </c>
      <c r="F61" s="14" t="n">
        <v>45517</v>
      </c>
      <c r="G61" s="50" t="str">
        <v>Journalism</v>
      </c>
      <c r="H61" s="50" t="str">
        <v>Secondary</v>
      </c>
      <c r="I61" s="50" t="str">
        <v>Kerala / English</v>
      </c>
      <c r="J61" s="50" t="str">
        <v>Wayanad landslides of 30 July 2024</v>
      </c>
      <c r="K61" s="50" t="str">
        <v>Used for event and multi-factor risk context; no original climate model assessed.</v>
      </c>
      <c r="L61" s="50" t="str">
        <v>https://www.reuters.com/business/environment/climate-change-intensified-rain-that-caused-deadly-indian-landslides-study-finds-2024-08-13/</v>
      </c>
      <c r="M61" s="14" t="n">
        <v>46280</v>
      </c>
    </row>
    <row r="62" ht="39" customHeight="1">
      <c r="A62" s="46" t="str">
        <v>S57</v>
      </c>
      <c r="B62" s="47" t="str">
        <v>Kerala not caught in debt trap, says finance minister Balagopal</v>
      </c>
      <c r="C62" s="48" t="str">
        <v>Open source</v>
      </c>
      <c r="D62" s="47" t="str">
        <v>TNN</v>
      </c>
      <c r="E62" s="47" t="str">
        <v>The Times of India</v>
      </c>
      <c r="F62" s="47" t="str">
        <v>2025-05; exact day not verified</v>
      </c>
      <c r="G62" s="47" t="str">
        <v>Journalism</v>
      </c>
      <c r="H62" s="47" t="str">
        <v>Secondary</v>
      </c>
      <c r="I62" s="47" t="str">
        <v>Kerala / English</v>
      </c>
      <c r="J62" s="47" t="str">
        <v>Government defence of fiscal position</v>
      </c>
      <c r="K62" s="47" t="str">
        <v>Attributed ministerial assessment; projected debt ratios should not be substituted for audited actuals.</v>
      </c>
      <c r="L62" s="47" t="str">
        <v>https://timesofindia.indiatimes.com/city/thiruvananthapuram/kerala-not-caught-in-debt-trap-says-finance-minister-balagopal/articleshow/121320228.cms</v>
      </c>
      <c r="M62" s="25" t="n">
        <v>46280</v>
      </c>
    </row>
    <row r="63" ht="39" customHeight="1">
      <c r="A63" s="49" t="str">
        <v>S58</v>
      </c>
      <c r="B63" s="50" t="str">
        <v>The autumn of the patriarch</v>
      </c>
      <c r="C63" s="51" t="str">
        <v>Open source</v>
      </c>
      <c r="D63" s="50" t="str">
        <v>TNN</v>
      </c>
      <c r="E63" s="50" t="str">
        <v>The Times of India</v>
      </c>
      <c r="F63" s="14" t="n">
        <v>46146</v>
      </c>
      <c r="G63" s="50" t="str">
        <v>Journalism / analysis</v>
      </c>
      <c r="H63" s="50" t="str">
        <v>Secondary</v>
      </c>
      <c r="I63" s="50" t="str">
        <v>Kerala / English</v>
      </c>
      <c r="J63" s="50" t="str">
        <v>Post-election leadership framing</v>
      </c>
      <c r="K63" s="50" t="str">
        <v>Single journalistic framing; not a systematic study of gendered coverage.</v>
      </c>
      <c r="L63" s="50" t="str">
        <v>https://timesofindia.indiatimes.com/city/thiruvananthapuram/the-autumn-of-the-patriarch/articleshow/130806960.cms</v>
      </c>
      <c r="M63" s="14" t="n">
        <v>46280</v>
      </c>
    </row>
    <row r="64" ht="39" customHeight="1">
      <c r="A64" s="46" t="str">
        <v>S59</v>
      </c>
      <c r="B64" s="47" t="str">
        <v>Chief Minister's Relief Fund diverted, KIIFB a liability: CAG report for 2024–25 tabled</v>
      </c>
      <c r="C64" s="48" t="str">
        <v>Open source</v>
      </c>
      <c r="D64" s="47" t="str">
        <v>Statesman News Service</v>
      </c>
      <c r="E64" s="47" t="str">
        <v>The Statesman</v>
      </c>
      <c r="F64" s="25" t="n">
        <v>46196</v>
      </c>
      <c r="G64" s="47" t="str">
        <v>Journalism</v>
      </c>
      <c r="H64" s="47" t="str">
        <v>Secondary</v>
      </c>
      <c r="I64" s="47" t="str">
        <v>Kerala / English</v>
      </c>
      <c r="J64" s="47" t="str">
        <v>Audit report tabled 23 June 2026</v>
      </c>
      <c r="K64" s="47" t="str">
        <v>Used to establish tabling and public reception; workbook relies on S29 for audit substance, not headline allegations.</v>
      </c>
      <c r="L64" s="47" t="str">
        <v>https://www.thestatesman.com/india/chief-ministers-relief-fund-diverted-kiifb-a-liability-cag-report-for-2024-25-tabled-in-kerala-assembly-1503609264.html</v>
      </c>
      <c r="M64" s="25" t="n">
        <v>46280</v>
      </c>
    </row>
    <row r="65" ht="52.5" customHeight="1">
      <c r="A65" s="73" t="str">
        <v>S60</v>
      </c>
      <c r="B65" s="69" t="str">
        <v>Decode Politics: Why Pinarayi govt is again grappling with 12-year-old murder of a CPM rebel</v>
      </c>
      <c r="C65" s="75" t="str">
        <v>Open source</v>
      </c>
      <c r="D65" s="69" t="str">
        <v>Shaju Philip</v>
      </c>
      <c r="E65" s="69" t="str">
        <v>The Indian Express</v>
      </c>
      <c r="F65" s="70" t="n">
        <v>45476</v>
      </c>
      <c r="G65" s="69" t="str">
        <v>Journalism / analysis</v>
      </c>
      <c r="H65" s="69" t="str">
        <v>Secondary</v>
      </c>
      <c r="I65" s="69" t="str">
        <v>Kerala / English</v>
      </c>
      <c r="J65" s="69" t="str">
        <v>2012 killing; February 2024 sentences; June 2024 remission controversy and government response</v>
      </c>
      <c r="K65" s="69" t="str">
        <v>Convictions concern named defendants, not Vijayan. Opposition allegations about wider responsibility are attributed. Later appeals/remission status not fully traced.</v>
      </c>
      <c r="L65" s="69" t="str">
        <v>https://indianexpress.com/article/political-pulse/pinarayi-vijayan-govt-cpm-tp-chandrasekharan-murder-kerala-9430032/</v>
      </c>
      <c r="M65" s="70" t="n">
        <v>46280</v>
      </c>
    </row>
    <row r="66" ht="52.5" customHeight="1">
      <c r="A66" s="74" t="str">
        <v>S61</v>
      </c>
      <c r="B66" s="71" t="str">
        <v>TP Chandrasekharan murder case: Fight will continue until all are brought to book</v>
      </c>
      <c r="C66" s="76" t="str">
        <v>Open source</v>
      </c>
      <c r="D66" s="71" t="str">
        <v>The New Indian Express</v>
      </c>
      <c r="E66" s="71" t="str">
        <v>The New Indian Express</v>
      </c>
      <c r="F66" s="72" t="n">
        <v>45342</v>
      </c>
      <c r="G66" s="71" t="str">
        <v>Journalism</v>
      </c>
      <c r="H66" s="71" t="str">
        <v>Secondary</v>
      </c>
      <c r="I66" s="71" t="str">
        <v>Kerala / English</v>
      </c>
      <c r="J66" s="71" t="str">
        <v>High Court verdict and K. K. Rema response</v>
      </c>
      <c r="K66" s="71" t="str">
        <v>Victim-family interpretation is distinct from the court finding against particular defendants. Does not establish personal responsibility of Vijayan.</v>
      </c>
      <c r="L66" s="71" t="str">
        <v>https://www.newindianexpress.com/states/kerala/2024/Feb/20/tp-chandrasekharan-murder-case-fight-will-continue-until-all-are-brought-to-book</v>
      </c>
      <c r="M66" s="72" t="n">
        <v>46280</v>
      </c>
    </row>
  </sheetData>
  <hyperlinks>
    <hyperlink ref="C6" r:id="rIdSourceLink1" display="Open source"/>
    <hyperlink ref="C7" r:id="rIdSourceLink2" display="Open source"/>
    <hyperlink ref="C8" r:id="rIdSourceLink3" display="Open source"/>
    <hyperlink ref="C9" r:id="rIdSourceLink4" display="Open source"/>
    <hyperlink ref="C10" r:id="rIdSourceLink5" display="Open source"/>
    <hyperlink ref="C11" r:id="rIdSourceLink6" display="Open source"/>
    <hyperlink ref="C12" r:id="rIdSourceLink7" display="Open source"/>
    <hyperlink ref="C13" r:id="rIdSourceLink8" display="Open source"/>
    <hyperlink ref="C14" r:id="rIdSourceLink9" display="Open source"/>
    <hyperlink ref="C15" r:id="rIdSourceLink10" display="Open source"/>
    <hyperlink ref="C16" r:id="rIdSourceLink11" display="Open source"/>
    <hyperlink ref="C17" r:id="rIdSourceLink12" display="Open source"/>
    <hyperlink ref="C18" r:id="rIdSourceLink13" display="Open source"/>
    <hyperlink ref="C19" r:id="rIdSourceLink14" display="Open source"/>
    <hyperlink ref="C20" r:id="rIdSourceLink15" display="Open source"/>
    <hyperlink ref="C21" r:id="rIdSourceLink16" display="Open source"/>
    <hyperlink ref="C22" r:id="rIdSourceLink17" display="Open source"/>
    <hyperlink ref="C23" r:id="rIdSourceLink18" display="Open source"/>
    <hyperlink ref="C24" r:id="rIdSourceLink19" display="Open source"/>
    <hyperlink ref="C25" r:id="rIdSourceLink20" display="Open source"/>
    <hyperlink ref="C26" r:id="rIdSourceLink21" display="Open source"/>
    <hyperlink ref="C27" r:id="rIdSourceLink22" display="Open source"/>
    <hyperlink ref="C28" r:id="rIdSourceLink23" display="Open source"/>
    <hyperlink ref="C29" r:id="rIdSourceLink24" display="Open source"/>
    <hyperlink ref="C30" r:id="rIdSourceLink25" display="Open source"/>
    <hyperlink ref="C31" r:id="rIdSourceLink26" display="Open source"/>
    <hyperlink ref="C32" r:id="rIdSourceLink27" display="Open source"/>
    <hyperlink ref="C33" r:id="rIdSourceLink28" display="Open source"/>
    <hyperlink ref="C34" r:id="rIdSourceLink29" display="Open source"/>
    <hyperlink ref="C35" r:id="rIdSourceLink30" display="Open source"/>
    <hyperlink ref="C36" r:id="rIdSourceLink31" display="Open source"/>
    <hyperlink ref="C37" r:id="rIdSourceLink32" display="Open source"/>
    <hyperlink ref="C38" r:id="rIdSourceLink33" display="Open source"/>
    <hyperlink ref="C39" r:id="rIdSourceLink34" display="Open source"/>
    <hyperlink ref="C40" r:id="rIdSourceLink35" display="Open source"/>
    <hyperlink ref="C41" r:id="rIdSourceLink36" display="Open source"/>
    <hyperlink ref="C42" r:id="rIdSourceLink37" display="Open source"/>
    <hyperlink ref="C43" r:id="rIdSourceLink38" display="Open source"/>
    <hyperlink ref="C44" r:id="rIdSourceLink39" display="Open source"/>
    <hyperlink ref="C45" r:id="rIdSourceLink40" display="Open source"/>
    <hyperlink ref="C46" r:id="rIdSourceLink41" display="Open source"/>
    <hyperlink ref="C47" r:id="rIdSourceLink42" display="Open source"/>
    <hyperlink ref="C48" r:id="rIdSourceLink43" display="Open source"/>
    <hyperlink ref="C49" r:id="rIdSourceLink44" display="Open source"/>
    <hyperlink ref="C50" r:id="rIdSourceLink45" display="Open source"/>
    <hyperlink ref="C51" r:id="rIdSourceLink46" display="Open source"/>
    <hyperlink ref="C52" r:id="rIdSourceLink47" display="Open source"/>
    <hyperlink ref="C53" r:id="rIdSourceLink48" display="Open source"/>
    <hyperlink ref="C54" r:id="rIdSourceLink49" display="Open source"/>
    <hyperlink ref="C55" r:id="rIdSourceLink50" display="Open source"/>
    <hyperlink ref="C56" r:id="rIdSourceLink51" display="Open source"/>
    <hyperlink ref="C57" r:id="rIdSourceLink52" display="Open source"/>
    <hyperlink ref="C58" r:id="rIdSourceLink53" display="Open source"/>
    <hyperlink ref="C59" r:id="rIdSourceLink54" display="Open source"/>
    <hyperlink ref="C60" r:id="rIdSourceLink55" display="Open source"/>
    <hyperlink ref="C61" r:id="rIdSourceLink56" display="Open source"/>
    <hyperlink ref="C62" r:id="rIdSourceLink57" display="Open source"/>
    <hyperlink ref="C63" r:id="rIdSourceLink58" display="Open source"/>
    <hyperlink ref="C64" r:id="rIdSourceLink59" display="Open source"/>
    <hyperlink ref="C65" r:id="rIdSourceLink60" display="Open source"/>
    <hyperlink ref="C66" r:id="rIdSourceLink61" display="Open source"/>
  </hyperlinks>
  <pageMargins left="0.7" right="0.7" top="0.75" bottom="0.75" header="0.3" footer="0.3"/>
  <tableParts count="1">
    <tablePart r:id="Ref8e26cfb5b8438c"/>
  </tableParts>
</worksheet>
</file>