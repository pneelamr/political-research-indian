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 &amp; Constraints" sheetId="2" state="visible" r:id="rId2"/>
    <sheet name="Career Timeline" sheetId="3" state="visible" r:id="rId3"/>
    <sheet name="Elections" sheetId="4" state="visible" r:id="rId4"/>
    <sheet name="Offices &amp; Party" sheetId="5" state="visible" r:id="rId5"/>
    <sheet name="Policy &amp; Governance" sheetId="6" state="visible" r:id="rId6"/>
    <sheet name="Ideas &amp; Political Method" sheetId="7" state="visible" r:id="rId7"/>
    <sheet name="Controversies" sheetId="8" state="visible" r:id="rId8"/>
    <sheet name="Legacy &amp; Assessments" sheetId="9" state="visible" r:id="rId9"/>
    <sheet name="Sources" sheetId="10" state="visible" r:id="rId10"/>
  </sheets>
  <definedNames>
    <definedName name="_xlnm._FilterDatabase" localSheetId="0" hidden="1">'Overview'!$A$5:$G$21</definedName>
    <definedName name="_xlnm.Print_Titles" localSheetId="0">'Overview'!$1:$5</definedName>
    <definedName name="_xlnm.Print_Area" localSheetId="0">'Overview'!$A$1:$F$40</definedName>
    <definedName name="_xlnm._FilterDatabase" localSheetId="1" hidden="1">'Context &amp; Constraints'!$A$5:$N$85</definedName>
    <definedName name="_xlnm.Print_Titles" localSheetId="1">'Context &amp; Constraints'!$1:$5</definedName>
    <definedName name="_xlnm.Print_Area" localSheetId="1">'Context &amp; Constraints'!$A$5:$N$85</definedName>
    <definedName name="_xlnm._FilterDatabase" localSheetId="2" hidden="1">'Career Timeline'!$A$5:$L$49</definedName>
    <definedName name="_xlnm.Print_Titles" localSheetId="2">'Career Timeline'!$1:$5</definedName>
    <definedName name="_xlnm.Print_Area" localSheetId="2">'Career Timeline'!$A$5:$L$49</definedName>
    <definedName name="_xlnm._FilterDatabase" localSheetId="3" hidden="1">'Elections'!$A$5:$T$18</definedName>
    <definedName name="_xlnm.Print_Titles" localSheetId="3">'Elections'!$1:$5</definedName>
    <definedName name="_xlnm.Print_Area" localSheetId="3">'Elections'!$A$5:$T$18</definedName>
    <definedName name="_xlnm._FilterDatabase" localSheetId="4" hidden="1">'Offices &amp; Party'!$A$5:$P$18</definedName>
    <definedName name="_xlnm.Print_Titles" localSheetId="4">'Offices &amp; Party'!$1:$5</definedName>
    <definedName name="_xlnm.Print_Area" localSheetId="4">'Offices &amp; Party'!$A$5:$P$18</definedName>
    <definedName name="_xlnm._FilterDatabase" localSheetId="5" hidden="1">'Policy &amp; Governance'!$A$5:$R$40</definedName>
    <definedName name="_xlnm.Print_Titles" localSheetId="5">'Policy &amp; Governance'!$1:$5</definedName>
    <definedName name="_xlnm.Print_Area" localSheetId="5">'Policy &amp; Governance'!$A$5:$R$40</definedName>
    <definedName name="_xlnm._FilterDatabase" localSheetId="6" hidden="1">'Ideas &amp; Political Method'!$A$5:$L$17</definedName>
    <definedName name="_xlnm.Print_Titles" localSheetId="6">'Ideas &amp; Political Method'!$1:$5</definedName>
    <definedName name="_xlnm.Print_Area" localSheetId="6">'Ideas &amp; Political Method'!$A$5:$L$17</definedName>
    <definedName name="_xlnm._FilterDatabase" localSheetId="7" hidden="1">'Controversies'!$A$5:$P$17</definedName>
    <definedName name="_xlnm.Print_Titles" localSheetId="7">'Controversies'!$1:$5</definedName>
    <definedName name="_xlnm.Print_Area" localSheetId="7">'Controversies'!$A$5:$P$17</definedName>
    <definedName name="_xlnm._FilterDatabase" localSheetId="8" hidden="1">'Legacy &amp; Assessments'!$A$5:$M$15</definedName>
    <definedName name="_xlnm.Print_Titles" localSheetId="8">'Legacy &amp; Assessments'!$1:$5</definedName>
    <definedName name="_xlnm.Print_Area" localSheetId="8">'Legacy &amp; Assessments'!$A$5:$M$15</definedName>
    <definedName name="_xlnm._FilterDatabase" localSheetId="9" hidden="1">'Sources'!$A$5:$L$102</definedName>
    <definedName name="_xlnm.Print_Titles" localSheetId="9">'Sources'!$1:$5</definedName>
    <definedName name="_xlnm.Print_Area" localSheetId="9">'Sources'!$A$5:$L$102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27281"/>
      <sz val="10"/>
    </font>
    <font>
      <name val="Arial"/>
      <color rgb="00146B72"/>
      <sz val="10"/>
      <u val="single"/>
    </font>
    <font>
      <name val="Arial"/>
      <b val="1"/>
      <color rgb="00FFFFFF"/>
      <sz val="10"/>
    </font>
    <font>
      <name val="Arial"/>
      <color rgb="00263445"/>
      <sz val="11"/>
    </font>
    <font>
      <name val="Arial"/>
      <color rgb="00627281"/>
      <sz val="9"/>
    </font>
    <font>
      <name val="Arial"/>
      <b val="1"/>
      <color rgb="00146B72"/>
      <sz val="12"/>
    </font>
    <font>
      <name val="Arial"/>
      <b val="1"/>
      <color rgb="00146B72"/>
      <sz val="13"/>
    </font>
    <font>
      <name val="Arial"/>
      <color rgb="00146B72"/>
      <sz val="11"/>
      <u val="single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46B72"/>
      </patternFill>
    </fill>
    <fill>
      <patternFill patternType="solid">
        <fgColor rgb="00F0F5F7"/>
      </patternFill>
    </fill>
    <fill>
      <patternFill patternType="solid">
        <fgColor rgb="00FFF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7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5" borderId="0" applyAlignment="1" pivotButton="0" quotePrefix="0" xfId="0">
      <alignment vertical="top" wrapText="1"/>
    </xf>
    <xf numFmtId="165" fontId="5" fillId="4" borderId="0" applyAlignment="1" pivotButton="0" quotePrefix="0" xfId="0">
      <alignment vertical="top" wrapText="1"/>
    </xf>
    <xf numFmtId="165" fontId="5" fillId="0" borderId="0" applyAlignment="1" pivotButton="0" quotePrefix="0" xfId="0">
      <alignment vertical="top" wrapText="1"/>
    </xf>
    <xf numFmtId="3" fontId="5" fillId="4" borderId="0" applyAlignment="1" pivotButton="0" quotePrefix="0" xfId="0">
      <alignment vertical="top" wrapText="1"/>
    </xf>
    <xf numFmtId="10" fontId="5" fillId="4" borderId="0" applyAlignment="1" pivotButton="0" quotePrefix="0" xfId="0">
      <alignment vertical="top" wrapText="1"/>
    </xf>
    <xf numFmtId="3" fontId="5" fillId="0" borderId="0" applyAlignment="1" pivotButton="0" quotePrefix="0" xfId="0">
      <alignment vertical="top" wrapText="1"/>
    </xf>
    <xf numFmtId="10" fontId="5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Research1" displayName="Research1" ref="A5:G21" headerRowCount="1">
  <autoFilter ref="A5:G21"/>
  <tableColumns count="7">
    <tableColumn id="1" name="Record ID"/>
    <tableColumn id="2" name="Topic"/>
    <tableColumn id="3" name="Finding / synthesis"/>
    <tableColumn id="4" name="Claim type"/>
    <tableColumn id="5" name="Source IDs"/>
    <tableColumn id="6" name="Qualification / reading guide"/>
    <tableColumn id="7" name="Corrobo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earch2" displayName="Research2" ref="A5:N85" headerRowCount="1">
  <autoFilter ref="A5:N85"/>
  <tableColumns count="14">
    <tableColumn id="1" name="Context ID"/>
    <tableColumn id="2" name="Career phase"/>
    <tableColumn id="3" name="Period"/>
    <tableColumn id="4" name="Coverage dimension"/>
    <tableColumn id="5" name="Coverage item"/>
    <tableColumn id="6" name="Research disposition"/>
    <tableColumn id="7" name="Finding"/>
    <tableColumn id="8" name="Contemporary comparison group"/>
    <tableColumn id="9" name="Presentism caution"/>
    <tableColumn id="10" name="Evidence limitation"/>
    <tableColumn id="11" name="Claim type"/>
    <tableColumn id="12" name="Corroboration"/>
    <tableColumn id="13" name="Source IDs"/>
    <tableColumn id="14" name="Research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earch3" displayName="Research3" ref="A5:L49" headerRowCount="1">
  <autoFilter ref="A5:L49"/>
  <tableColumns count="12">
    <tableColumn id="1" name="Timeline ID"/>
    <tableColumn id="2" name="Date / period"/>
    <tableColumn id="3" name="Date precision"/>
    <tableColumn id="4" name="Event"/>
    <tableColumn id="5" name="Event type"/>
    <tableColumn id="6" name="Description"/>
    <tableColumn id="7" name="Career phase"/>
    <tableColumn id="8" name="Context ID"/>
    <tableColumn id="9" name="Claim type"/>
    <tableColumn id="10" name="Source IDs"/>
    <tableColumn id="11" name="Research note"/>
    <tableColumn id="12" name="Corrobor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search4" displayName="Research4" ref="A5:T18" headerRowCount="1">
  <autoFilter ref="A5:T18"/>
  <tableColumns count="20">
    <tableColumn id="1" name="Election ID"/>
    <tableColumn id="2" name="Year"/>
    <tableColumn id="3" name="Constituency / geography"/>
    <tableColumn id="4" name="Candidate status"/>
    <tableColumn id="5" name="Result"/>
    <tableColumn id="6" name="Candidate votes"/>
    <tableColumn id="7" name="Opponent votes"/>
    <tableColumn id="8" name="Vote share"/>
    <tableColumn id="9" name="Margin (votes)"/>
    <tableColumn id="10" name="Principal opponent"/>
    <tableColumn id="11" name="Opponent party"/>
    <tableColumn id="12" name="Election type"/>
    <tableColumn id="13" name="Party / alliance"/>
    <tableColumn id="14" name="Selection / counting unit"/>
    <tableColumn id="15" name="Career phase"/>
    <tableColumn id="16" name="Context ID"/>
    <tableColumn id="17" name="Source IDs"/>
    <tableColumn id="18" name="Research note"/>
    <tableColumn id="19" name="Claim type"/>
    <tableColumn id="20" name="Corrobor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search5" displayName="Research5" ref="A5:P18" headerRowCount="1">
  <autoFilter ref="A5:P18"/>
  <tableColumns count="16">
    <tableColumn id="1" name="Position ID"/>
    <tableColumn id="2" name="Title"/>
    <tableColumn id="3" name="Position category"/>
    <tableColumn id="4" name="Institution / jurisdiction"/>
    <tableColumn id="5" name="Start"/>
    <tableColumn id="6" name="End / status"/>
    <tableColumn id="7" name="Date precision"/>
    <tableColumn id="8" name="Selection route"/>
    <tableColumn id="9" name="Predecessor"/>
    <tableColumn id="10" name="Successor"/>
    <tableColumn id="11" name="Career phase"/>
    <tableColumn id="12" name="Source IDs"/>
    <tableColumn id="13" name="Tenure / concurrent-office note"/>
    <tableColumn id="14" name="Claim type"/>
    <tableColumn id="15" name="Corroboration"/>
    <tableColumn id="16" name="Context 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search6" displayName="Research6" ref="A5:R40" headerRowCount="1">
  <autoFilter ref="A5:R40"/>
  <tableColumns count="18">
    <tableColumn id="1" name="Record ID"/>
    <tableColumn id="2" name="Domain"/>
    <tableColumn id="3" name="Initiative / decision"/>
    <tableColumn id="4" name="Period"/>
    <tableColumn id="5" name="Modi’s documented role"/>
    <tableColumn id="6" name="Stated objective"/>
    <tableColumn id="7" name="Mechanism"/>
    <tableColumn id="8" name="Adoption / current status"/>
    <tableColumn id="9" name="Outputs"/>
    <tableColumn id="10" name="Outcomes / evidence"/>
    <tableColumn id="11" name="Attribution assessment"/>
    <tableColumn id="12" name="Tradeoffs / limitations"/>
    <tableColumn id="13" name="Career phase"/>
    <tableColumn id="14" name="Context ID"/>
    <tableColumn id="15" name="Claim type"/>
    <tableColumn id="16" name="Source IDs"/>
    <tableColumn id="17" name="Research note"/>
    <tableColumn id="18" name="Corrobora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search7" displayName="Research7" ref="A5:L17" headerRowCount="1">
  <autoFilter ref="A5:L17"/>
  <tableColumns count="12">
    <tableColumn id="1" name="Record ID"/>
    <tableColumn id="2" name="Category"/>
    <tableColumn id="3" name="Topic"/>
    <tableColumn id="4" name="Documented method / interpretation"/>
    <tableColumn id="5" name="Evidence type"/>
    <tableColumn id="6" name="Change / period"/>
    <tableColumn id="7" name="Career phase"/>
    <tableColumn id="8" name="Claim type"/>
    <tableColumn id="9" name="Source IDs"/>
    <tableColumn id="10" name="Research note"/>
    <tableColumn id="11" name="Corroboration"/>
    <tableColumn id="12" name="Context I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search8" displayName="Research8" ref="A5:P17" headerRowCount="1">
  <autoFilter ref="A5:P17"/>
  <tableColumns count="16">
    <tableColumn id="1" name="Matter ID"/>
    <tableColumn id="2" name="Matter"/>
    <tableColumn id="3" name="Period / verified date"/>
    <tableColumn id="4" name="Allegation / criticism"/>
    <tableColumn id="5" name="Who raised it"/>
    <tableColumn id="6" name="Subject / government response"/>
    <tableColumn id="7" name="Authority / forum"/>
    <tableColumn id="8" name="Procedural status"/>
    <tableColumn id="9" name="Finding / disposition"/>
    <tableColumn id="10" name="Consequence"/>
    <tableColumn id="11" name="Career phase"/>
    <tableColumn id="12" name="Claim type"/>
    <tableColumn id="13" name="Source IDs"/>
    <tableColumn id="14" name="Dispute / research note"/>
    <tableColumn id="15" name="Corroboration"/>
    <tableColumn id="16" name="Context I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search9" displayName="Research9" ref="A5:M15" headerRowCount="1">
  <autoFilter ref="A5:M15"/>
  <tableColumns count="13">
    <tableColumn id="1" name="Assessment ID"/>
    <tableColumn id="2" name="Theme"/>
    <tableColumn id="3" name="Assessor"/>
    <tableColumn id="4" name="Assessor type"/>
    <tableColumn id="5" name="Interpretation"/>
    <tableColumn id="6" name="Supporting evidence / view"/>
    <tableColumn id="7" name="Competing view / limitation"/>
    <tableColumn id="8" name="Career phase"/>
    <tableColumn id="9" name="Claim type"/>
    <tableColumn id="10" name="Source IDs"/>
    <tableColumn id="11" name="Research note"/>
    <tableColumn id="12" name="Corroboration"/>
    <tableColumn id="13" name="Context 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search10" displayName="Research10" ref="A5:L102" headerRowCount="1">
  <autoFilter ref="A5:L102"/>
  <tableColumns count="12">
    <tableColumn id="1" name="Source ID"/>
    <tableColumn id="2" name="Title"/>
    <tableColumn id="3" name="Author / institution / publisher"/>
    <tableColumn id="4" name="Publication date / precision"/>
    <tableColumn id="5" name="Source class / standpoint"/>
    <tableColumn id="6" name="URL"/>
    <tableColumn id="7" name="Access date"/>
    <tableColumn id="8" name="Language"/>
    <tableColumn id="9" name="Locator"/>
    <tableColumn id="10" name="Reliability / limitation"/>
    <tableColumn id="11" name="Claims supported"/>
    <tableColumn id="12" name="Full ci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ources'!A6" TargetMode="External" Id="rId2" /><Relationship Type="http://schemas.openxmlformats.org/officeDocument/2006/relationships/hyperlink" Target="#'Sources'!A8" TargetMode="External" Id="rId3" /><Relationship Type="http://schemas.openxmlformats.org/officeDocument/2006/relationships/hyperlink" Target="#'Sources'!A7" TargetMode="External" Id="rId4" /><Relationship Type="http://schemas.openxmlformats.org/officeDocument/2006/relationships/hyperlink" Target="#'Sources'!A82" TargetMode="External" Id="rId5" /><Relationship Type="http://schemas.openxmlformats.org/officeDocument/2006/relationships/hyperlink" Target="#'Sources'!A7" TargetMode="External" Id="rId6" /><Relationship Type="http://schemas.openxmlformats.org/officeDocument/2006/relationships/hyperlink" Target="#'Sources'!A10" TargetMode="External" Id="rId7" /><Relationship Type="http://schemas.openxmlformats.org/officeDocument/2006/relationships/hyperlink" Target="#'Sources'!A36" TargetMode="External" Id="rId8" /><Relationship Type="http://schemas.openxmlformats.org/officeDocument/2006/relationships/hyperlink" Target="#'Sources'!A17" TargetMode="External" Id="rId9" /><Relationship Type="http://schemas.openxmlformats.org/officeDocument/2006/relationships/hyperlink" Target="#'Sources'!A23" TargetMode="External" Id="rId10" /><Relationship Type="http://schemas.openxmlformats.org/officeDocument/2006/relationships/hyperlink" Target="#'Sources'!A61" TargetMode="External" Id="rId11" /><Relationship Type="http://schemas.openxmlformats.org/officeDocument/2006/relationships/hyperlink" Target="#'Sources'!A24" TargetMode="External" Id="rId12" /><Relationship Type="http://schemas.openxmlformats.org/officeDocument/2006/relationships/hyperlink" Target="#'Sources'!A49" TargetMode="External" Id="rId13" /><Relationship Type="http://schemas.openxmlformats.org/officeDocument/2006/relationships/hyperlink" Target="#'Sources'!A77" TargetMode="External" Id="rId14" /><Relationship Type="http://schemas.openxmlformats.org/officeDocument/2006/relationships/hyperlink" Target="#'Sources'!A62" TargetMode="External" Id="rId15" /><Relationship Type="http://schemas.openxmlformats.org/officeDocument/2006/relationships/hyperlink" Target="#'Sources'!A24" TargetMode="External" Id="rId16" /><Relationship Type="http://schemas.openxmlformats.org/officeDocument/2006/relationships/hyperlink" Target="#'Sources'!A10" TargetMode="External" Id="rId17" /><Relationship Type="http://schemas.openxmlformats.org/officeDocument/2006/relationships/hyperlink" Target="#'Context &amp; Constraints'!A1" TargetMode="External" Id="rId18" /><Relationship Type="http://schemas.openxmlformats.org/officeDocument/2006/relationships/hyperlink" Target="#'Career Timeline'!A1" TargetMode="External" Id="rId19" /><Relationship Type="http://schemas.openxmlformats.org/officeDocument/2006/relationships/hyperlink" Target="#'Elections'!A1" TargetMode="External" Id="rId20" /><Relationship Type="http://schemas.openxmlformats.org/officeDocument/2006/relationships/hyperlink" Target="#'Offices &amp; Party'!A1" TargetMode="External" Id="rId21" /><Relationship Type="http://schemas.openxmlformats.org/officeDocument/2006/relationships/hyperlink" Target="#'Policy &amp; Governance'!A1" TargetMode="External" Id="rId22" /><Relationship Type="http://schemas.openxmlformats.org/officeDocument/2006/relationships/hyperlink" Target="#'Ideas &amp; Political Method'!A1" TargetMode="External" Id="rId23" /><Relationship Type="http://schemas.openxmlformats.org/officeDocument/2006/relationships/hyperlink" Target="#'Controversies'!A1" TargetMode="External" Id="rId24" /><Relationship Type="http://schemas.openxmlformats.org/officeDocument/2006/relationships/hyperlink" Target="#'Legacy &amp; Assessments'!A1" TargetMode="External" Id="rId25" /><Relationship Type="http://schemas.openxmlformats.org/officeDocument/2006/relationships/hyperlink" Target="#'Sources'!A1" TargetMode="External" Id="rId26" /><Relationship Type="http://schemas.openxmlformats.org/officeDocument/2006/relationships/table" Target="/xl/tables/table1.xml" Id="rId27" /></Relationships>
</file>

<file path=xl/worksheets/_rels/sheet2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ources'!A7" TargetMode="External" Id="rId2" /><Relationship Type="http://schemas.openxmlformats.org/officeDocument/2006/relationships/hyperlink" Target="#'Sources'!A7" TargetMode="External" Id="rId3" /><Relationship Type="http://schemas.openxmlformats.org/officeDocument/2006/relationships/hyperlink" Target="#'Sources'!A9" TargetMode="External" Id="rId4" /><Relationship Type="http://schemas.openxmlformats.org/officeDocument/2006/relationships/hyperlink" Target="#'Sources'!A94" TargetMode="External" Id="rId5" /><Relationship Type="http://schemas.openxmlformats.org/officeDocument/2006/relationships/hyperlink" Target="#'Sources'!A95" TargetMode="External" Id="rId6" /><Relationship Type="http://schemas.openxmlformats.org/officeDocument/2006/relationships/hyperlink" Target="#'Sources'!A7" TargetMode="External" Id="rId7" /><Relationship Type="http://schemas.openxmlformats.org/officeDocument/2006/relationships/hyperlink" Target="#'Sources'!A7" TargetMode="External" Id="rId8" /><Relationship Type="http://schemas.openxmlformats.org/officeDocument/2006/relationships/hyperlink" Target="#'Sources'!A6" TargetMode="External" Id="rId9" /><Relationship Type="http://schemas.openxmlformats.org/officeDocument/2006/relationships/hyperlink" Target="#'Sources'!A96" TargetMode="External" Id="rId10" /><Relationship Type="http://schemas.openxmlformats.org/officeDocument/2006/relationships/hyperlink" Target="#'Sources'!A7" TargetMode="External" Id="rId11" /><Relationship Type="http://schemas.openxmlformats.org/officeDocument/2006/relationships/hyperlink" Target="#'Sources'!A93" TargetMode="External" Id="rId12" /><Relationship Type="http://schemas.openxmlformats.org/officeDocument/2006/relationships/hyperlink" Target="#'Sources'!A7" TargetMode="External" Id="rId13" /><Relationship Type="http://schemas.openxmlformats.org/officeDocument/2006/relationships/hyperlink" Target="#'Sources'!A7" TargetMode="External" Id="rId14" /><Relationship Type="http://schemas.openxmlformats.org/officeDocument/2006/relationships/hyperlink" Target="#'Sources'!A7" TargetMode="External" Id="rId15" /><Relationship Type="http://schemas.openxmlformats.org/officeDocument/2006/relationships/hyperlink" Target="#'Sources'!A7" TargetMode="External" Id="rId16" /><Relationship Type="http://schemas.openxmlformats.org/officeDocument/2006/relationships/hyperlink" Target="#'Sources'!A7" TargetMode="External" Id="rId17" /><Relationship Type="http://schemas.openxmlformats.org/officeDocument/2006/relationships/hyperlink" Target="#'Sources'!A7" TargetMode="External" Id="rId18" /><Relationship Type="http://schemas.openxmlformats.org/officeDocument/2006/relationships/hyperlink" Target="#'Sources'!A49" TargetMode="External" Id="rId19" /><Relationship Type="http://schemas.openxmlformats.org/officeDocument/2006/relationships/hyperlink" Target="#'Sources'!A7" TargetMode="External" Id="rId20" /><Relationship Type="http://schemas.openxmlformats.org/officeDocument/2006/relationships/hyperlink" Target="#'Sources'!A49" TargetMode="External" Id="rId21" /><Relationship Type="http://schemas.openxmlformats.org/officeDocument/2006/relationships/hyperlink" Target="#'Sources'!A10" TargetMode="External" Id="rId22" /><Relationship Type="http://schemas.openxmlformats.org/officeDocument/2006/relationships/hyperlink" Target="#'Sources'!A26" TargetMode="External" Id="rId23" /><Relationship Type="http://schemas.openxmlformats.org/officeDocument/2006/relationships/hyperlink" Target="#'Sources'!A9" TargetMode="External" Id="rId24" /><Relationship Type="http://schemas.openxmlformats.org/officeDocument/2006/relationships/hyperlink" Target="#'Sources'!A21" TargetMode="External" Id="rId25" /><Relationship Type="http://schemas.openxmlformats.org/officeDocument/2006/relationships/hyperlink" Target="#'Sources'!A21" TargetMode="External" Id="rId26" /><Relationship Type="http://schemas.openxmlformats.org/officeDocument/2006/relationships/hyperlink" Target="#'Sources'!A21" TargetMode="External" Id="rId27" /><Relationship Type="http://schemas.openxmlformats.org/officeDocument/2006/relationships/hyperlink" Target="#'Sources'!A21" TargetMode="External" Id="rId28" /><Relationship Type="http://schemas.openxmlformats.org/officeDocument/2006/relationships/hyperlink" Target="#'Sources'!A26" TargetMode="External" Id="rId29" /><Relationship Type="http://schemas.openxmlformats.org/officeDocument/2006/relationships/hyperlink" Target="#'Sources'!A10" TargetMode="External" Id="rId30" /><Relationship Type="http://schemas.openxmlformats.org/officeDocument/2006/relationships/hyperlink" Target="#'Sources'!A22" TargetMode="External" Id="rId31" /><Relationship Type="http://schemas.openxmlformats.org/officeDocument/2006/relationships/hyperlink" Target="#'Sources'!A21" TargetMode="External" Id="rId32" /><Relationship Type="http://schemas.openxmlformats.org/officeDocument/2006/relationships/hyperlink" Target="#'Sources'!A20" TargetMode="External" Id="rId33" /><Relationship Type="http://schemas.openxmlformats.org/officeDocument/2006/relationships/hyperlink" Target="#'Sources'!A21" TargetMode="External" Id="rId34" /><Relationship Type="http://schemas.openxmlformats.org/officeDocument/2006/relationships/hyperlink" Target="#'Sources'!A21" TargetMode="External" Id="rId35" /><Relationship Type="http://schemas.openxmlformats.org/officeDocument/2006/relationships/hyperlink" Target="#'Sources'!A49" TargetMode="External" Id="rId36" /><Relationship Type="http://schemas.openxmlformats.org/officeDocument/2006/relationships/hyperlink" Target="#'Sources'!A21" TargetMode="External" Id="rId37" /><Relationship Type="http://schemas.openxmlformats.org/officeDocument/2006/relationships/hyperlink" Target="#'Sources'!A22" TargetMode="External" Id="rId38" /><Relationship Type="http://schemas.openxmlformats.org/officeDocument/2006/relationships/hyperlink" Target="#'Sources'!A49" TargetMode="External" Id="rId39" /><Relationship Type="http://schemas.openxmlformats.org/officeDocument/2006/relationships/hyperlink" Target="#'Sources'!A22" TargetMode="External" Id="rId40" /><Relationship Type="http://schemas.openxmlformats.org/officeDocument/2006/relationships/hyperlink" Target="#'Sources'!A21" TargetMode="External" Id="rId41" /><Relationship Type="http://schemas.openxmlformats.org/officeDocument/2006/relationships/hyperlink" Target="#'Sources'!A6" TargetMode="External" Id="rId42" /><Relationship Type="http://schemas.openxmlformats.org/officeDocument/2006/relationships/hyperlink" Target="#'Sources'!A51" TargetMode="External" Id="rId43" /><Relationship Type="http://schemas.openxmlformats.org/officeDocument/2006/relationships/hyperlink" Target="#'Sources'!A14" TargetMode="External" Id="rId44" /><Relationship Type="http://schemas.openxmlformats.org/officeDocument/2006/relationships/hyperlink" Target="#'Sources'!A33" TargetMode="External" Id="rId45" /><Relationship Type="http://schemas.openxmlformats.org/officeDocument/2006/relationships/hyperlink" Target="#'Sources'!A64" TargetMode="External" Id="rId46" /><Relationship Type="http://schemas.openxmlformats.org/officeDocument/2006/relationships/hyperlink" Target="#'Sources'!A79" TargetMode="External" Id="rId47" /><Relationship Type="http://schemas.openxmlformats.org/officeDocument/2006/relationships/hyperlink" Target="#'Sources'!A77" TargetMode="External" Id="rId48" /><Relationship Type="http://schemas.openxmlformats.org/officeDocument/2006/relationships/hyperlink" Target="#'Sources'!A78" TargetMode="External" Id="rId49" /><Relationship Type="http://schemas.openxmlformats.org/officeDocument/2006/relationships/hyperlink" Target="#'Sources'!A39" TargetMode="External" Id="rId50" /><Relationship Type="http://schemas.openxmlformats.org/officeDocument/2006/relationships/hyperlink" Target="#'Sources'!A43" TargetMode="External" Id="rId51" /><Relationship Type="http://schemas.openxmlformats.org/officeDocument/2006/relationships/hyperlink" Target="#'Sources'!A45" TargetMode="External" Id="rId52" /><Relationship Type="http://schemas.openxmlformats.org/officeDocument/2006/relationships/hyperlink" Target="#'Sources'!A45" TargetMode="External" Id="rId53" /><Relationship Type="http://schemas.openxmlformats.org/officeDocument/2006/relationships/hyperlink" Target="#'Sources'!A7" TargetMode="External" Id="rId54" /><Relationship Type="http://schemas.openxmlformats.org/officeDocument/2006/relationships/hyperlink" Target="#'Sources'!A49" TargetMode="External" Id="rId55" /><Relationship Type="http://schemas.openxmlformats.org/officeDocument/2006/relationships/hyperlink" Target="#'Sources'!A49" TargetMode="External" Id="rId56" /><Relationship Type="http://schemas.openxmlformats.org/officeDocument/2006/relationships/hyperlink" Target="#'Sources'!A50" TargetMode="External" Id="rId57" /><Relationship Type="http://schemas.openxmlformats.org/officeDocument/2006/relationships/hyperlink" Target="#'Sources'!A48" TargetMode="External" Id="rId58" /><Relationship Type="http://schemas.openxmlformats.org/officeDocument/2006/relationships/hyperlink" Target="#'Sources'!A49" TargetMode="External" Id="rId59" /><Relationship Type="http://schemas.openxmlformats.org/officeDocument/2006/relationships/hyperlink" Target="#'Sources'!A30" TargetMode="External" Id="rId60" /><Relationship Type="http://schemas.openxmlformats.org/officeDocument/2006/relationships/hyperlink" Target="#'Sources'!A49" TargetMode="External" Id="rId61" /><Relationship Type="http://schemas.openxmlformats.org/officeDocument/2006/relationships/hyperlink" Target="#'Sources'!A17" TargetMode="External" Id="rId62" /><Relationship Type="http://schemas.openxmlformats.org/officeDocument/2006/relationships/hyperlink" Target="#'Sources'!A46" TargetMode="External" Id="rId63" /><Relationship Type="http://schemas.openxmlformats.org/officeDocument/2006/relationships/hyperlink" Target="#'Sources'!A71" TargetMode="External" Id="rId64" /><Relationship Type="http://schemas.openxmlformats.org/officeDocument/2006/relationships/hyperlink" Target="#'Sources'!A80" TargetMode="External" Id="rId65" /><Relationship Type="http://schemas.openxmlformats.org/officeDocument/2006/relationships/hyperlink" Target="#'Sources'!A65" TargetMode="External" Id="rId66" /><Relationship Type="http://schemas.openxmlformats.org/officeDocument/2006/relationships/hyperlink" Target="#'Sources'!A53" TargetMode="External" Id="rId67" /><Relationship Type="http://schemas.openxmlformats.org/officeDocument/2006/relationships/hyperlink" Target="#'Sources'!A17" TargetMode="External" Id="rId68" /><Relationship Type="http://schemas.openxmlformats.org/officeDocument/2006/relationships/hyperlink" Target="#'Sources'!A55" TargetMode="External" Id="rId69" /><Relationship Type="http://schemas.openxmlformats.org/officeDocument/2006/relationships/hyperlink" Target="#'Sources'!A46" TargetMode="External" Id="rId70" /><Relationship Type="http://schemas.openxmlformats.org/officeDocument/2006/relationships/hyperlink" Target="#'Sources'!A61" TargetMode="External" Id="rId71" /><Relationship Type="http://schemas.openxmlformats.org/officeDocument/2006/relationships/hyperlink" Target="#'Sources'!A17" TargetMode="External" Id="rId72" /><Relationship Type="http://schemas.openxmlformats.org/officeDocument/2006/relationships/hyperlink" Target="#'Sources'!A46" TargetMode="External" Id="rId73" /><Relationship Type="http://schemas.openxmlformats.org/officeDocument/2006/relationships/hyperlink" Target="#'Sources'!A17" TargetMode="External" Id="rId74" /><Relationship Type="http://schemas.openxmlformats.org/officeDocument/2006/relationships/hyperlink" Target="#'Sources'!A8" TargetMode="External" Id="rId75" /><Relationship Type="http://schemas.openxmlformats.org/officeDocument/2006/relationships/hyperlink" Target="#'Sources'!A49" TargetMode="External" Id="rId76" /><Relationship Type="http://schemas.openxmlformats.org/officeDocument/2006/relationships/hyperlink" Target="#'Sources'!A50" TargetMode="External" Id="rId77" /><Relationship Type="http://schemas.openxmlformats.org/officeDocument/2006/relationships/hyperlink" Target="#'Sources'!A46" TargetMode="External" Id="rId78" /><Relationship Type="http://schemas.openxmlformats.org/officeDocument/2006/relationships/hyperlink" Target="#'Sources'!A46" TargetMode="External" Id="rId79" /><Relationship Type="http://schemas.openxmlformats.org/officeDocument/2006/relationships/hyperlink" Target="#'Sources'!A45" TargetMode="External" Id="rId80" /><Relationship Type="http://schemas.openxmlformats.org/officeDocument/2006/relationships/hyperlink" Target="#'Sources'!A46" TargetMode="External" Id="rId81" /><Relationship Type="http://schemas.openxmlformats.org/officeDocument/2006/relationships/table" Target="/xl/tables/table2.xml" Id="rId82" /></Relationships>
</file>

<file path=xl/worksheets/_rels/sheet3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ources'!A6" TargetMode="External" Id="rId2" /><Relationship Type="http://schemas.openxmlformats.org/officeDocument/2006/relationships/hyperlink" Target="#'Sources'!A7" TargetMode="External" Id="rId3" /><Relationship Type="http://schemas.openxmlformats.org/officeDocument/2006/relationships/hyperlink" Target="#'Sources'!A7" TargetMode="External" Id="rId4" /><Relationship Type="http://schemas.openxmlformats.org/officeDocument/2006/relationships/hyperlink" Target="#'Sources'!A7" TargetMode="External" Id="rId5" /><Relationship Type="http://schemas.openxmlformats.org/officeDocument/2006/relationships/hyperlink" Target="#'Sources'!A7" TargetMode="External" Id="rId6" /><Relationship Type="http://schemas.openxmlformats.org/officeDocument/2006/relationships/hyperlink" Target="#'Sources'!A98" TargetMode="External" Id="rId7" /><Relationship Type="http://schemas.openxmlformats.org/officeDocument/2006/relationships/hyperlink" Target="#'Sources'!A26" TargetMode="External" Id="rId8" /><Relationship Type="http://schemas.openxmlformats.org/officeDocument/2006/relationships/hyperlink" Target="#'Sources'!A9" TargetMode="External" Id="rId9" /><Relationship Type="http://schemas.openxmlformats.org/officeDocument/2006/relationships/hyperlink" Target="#'Sources'!A11" TargetMode="External" Id="rId10" /><Relationship Type="http://schemas.openxmlformats.org/officeDocument/2006/relationships/hyperlink" Target="#'Sources'!A23" TargetMode="External" Id="rId11" /><Relationship Type="http://schemas.openxmlformats.org/officeDocument/2006/relationships/hyperlink" Target="#'Sources'!A10" TargetMode="External" Id="rId12" /><Relationship Type="http://schemas.openxmlformats.org/officeDocument/2006/relationships/hyperlink" Target="#'Sources'!A10" TargetMode="External" Id="rId13" /><Relationship Type="http://schemas.openxmlformats.org/officeDocument/2006/relationships/hyperlink" Target="#'Sources'!A19" TargetMode="External" Id="rId14" /><Relationship Type="http://schemas.openxmlformats.org/officeDocument/2006/relationships/hyperlink" Target="#'Sources'!A7" TargetMode="External" Id="rId15" /><Relationship Type="http://schemas.openxmlformats.org/officeDocument/2006/relationships/hyperlink" Target="#'Sources'!A27" TargetMode="External" Id="rId16" /><Relationship Type="http://schemas.openxmlformats.org/officeDocument/2006/relationships/hyperlink" Target="#'Sources'!A79" TargetMode="External" Id="rId17" /><Relationship Type="http://schemas.openxmlformats.org/officeDocument/2006/relationships/hyperlink" Target="#'Sources'!A102" TargetMode="External" Id="rId18" /><Relationship Type="http://schemas.openxmlformats.org/officeDocument/2006/relationships/hyperlink" Target="#'Sources'!A32" TargetMode="External" Id="rId19" /><Relationship Type="http://schemas.openxmlformats.org/officeDocument/2006/relationships/hyperlink" Target="#'Sources'!A33" TargetMode="External" Id="rId20" /><Relationship Type="http://schemas.openxmlformats.org/officeDocument/2006/relationships/hyperlink" Target="#'Sources'!A83" TargetMode="External" Id="rId21" /><Relationship Type="http://schemas.openxmlformats.org/officeDocument/2006/relationships/hyperlink" Target="#'Sources'!A89" TargetMode="External" Id="rId22" /><Relationship Type="http://schemas.openxmlformats.org/officeDocument/2006/relationships/hyperlink" Target="#'Sources'!A18" TargetMode="External" Id="rId23" /><Relationship Type="http://schemas.openxmlformats.org/officeDocument/2006/relationships/hyperlink" Target="#'Sources'!A39" TargetMode="External" Id="rId24" /><Relationship Type="http://schemas.openxmlformats.org/officeDocument/2006/relationships/hyperlink" Target="#'Sources'!A40" TargetMode="External" Id="rId25" /><Relationship Type="http://schemas.openxmlformats.org/officeDocument/2006/relationships/hyperlink" Target="#'Sources'!A42" TargetMode="External" Id="rId26" /><Relationship Type="http://schemas.openxmlformats.org/officeDocument/2006/relationships/hyperlink" Target="#'Sources'!A90" TargetMode="External" Id="rId27" /><Relationship Type="http://schemas.openxmlformats.org/officeDocument/2006/relationships/hyperlink" Target="#'Sources'!A73" TargetMode="External" Id="rId28" /><Relationship Type="http://schemas.openxmlformats.org/officeDocument/2006/relationships/hyperlink" Target="#'Sources'!A38" TargetMode="External" Id="rId29" /><Relationship Type="http://schemas.openxmlformats.org/officeDocument/2006/relationships/hyperlink" Target="#'Sources'!A24" TargetMode="External" Id="rId30" /><Relationship Type="http://schemas.openxmlformats.org/officeDocument/2006/relationships/hyperlink" Target="#'Sources'!A86" TargetMode="External" Id="rId31" /><Relationship Type="http://schemas.openxmlformats.org/officeDocument/2006/relationships/hyperlink" Target="#'Sources'!A64" TargetMode="External" Id="rId32" /><Relationship Type="http://schemas.openxmlformats.org/officeDocument/2006/relationships/hyperlink" Target="#'Sources'!A75" TargetMode="External" Id="rId33" /><Relationship Type="http://schemas.openxmlformats.org/officeDocument/2006/relationships/hyperlink" Target="#'Sources'!A51" TargetMode="External" Id="rId34" /><Relationship Type="http://schemas.openxmlformats.org/officeDocument/2006/relationships/hyperlink" Target="#'Sources'!A17" TargetMode="External" Id="rId35" /><Relationship Type="http://schemas.openxmlformats.org/officeDocument/2006/relationships/hyperlink" Target="#'Sources'!A91" TargetMode="External" Id="rId36" /><Relationship Type="http://schemas.openxmlformats.org/officeDocument/2006/relationships/hyperlink" Target="#'Sources'!A65" TargetMode="External" Id="rId37" /><Relationship Type="http://schemas.openxmlformats.org/officeDocument/2006/relationships/hyperlink" Target="#'Sources'!A72" TargetMode="External" Id="rId38" /><Relationship Type="http://schemas.openxmlformats.org/officeDocument/2006/relationships/hyperlink" Target="#'Sources'!A34" TargetMode="External" Id="rId39" /><Relationship Type="http://schemas.openxmlformats.org/officeDocument/2006/relationships/hyperlink" Target="#'Sources'!A70" TargetMode="External" Id="rId40" /><Relationship Type="http://schemas.openxmlformats.org/officeDocument/2006/relationships/hyperlink" Target="#'Sources'!A80" TargetMode="External" Id="rId41" /><Relationship Type="http://schemas.openxmlformats.org/officeDocument/2006/relationships/hyperlink" Target="#'Sources'!A81" TargetMode="External" Id="rId42" /><Relationship Type="http://schemas.openxmlformats.org/officeDocument/2006/relationships/hyperlink" Target="#'Sources'!A68" TargetMode="External" Id="rId43" /><Relationship Type="http://schemas.openxmlformats.org/officeDocument/2006/relationships/hyperlink" Target="#'Sources'!A46" TargetMode="External" Id="rId44" /><Relationship Type="http://schemas.openxmlformats.org/officeDocument/2006/relationships/hyperlink" Target="#'Sources'!A71" TargetMode="External" Id="rId45" /><Relationship Type="http://schemas.openxmlformats.org/officeDocument/2006/relationships/table" Target="/xl/tables/table3.xml" Id="rId46" /></Relationships>
</file>

<file path=xl/worksheets/_rels/sheet4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ources'!A9" TargetMode="External" Id="rId2" /><Relationship Type="http://schemas.openxmlformats.org/officeDocument/2006/relationships/hyperlink" Target="#'Sources'!A10" TargetMode="External" Id="rId3" /><Relationship Type="http://schemas.openxmlformats.org/officeDocument/2006/relationships/hyperlink" Target="#'Sources'!A10" TargetMode="External" Id="rId4" /><Relationship Type="http://schemas.openxmlformats.org/officeDocument/2006/relationships/hyperlink" Target="#'Sources'!A10" TargetMode="External" Id="rId5" /><Relationship Type="http://schemas.openxmlformats.org/officeDocument/2006/relationships/hyperlink" Target="#'Sources'!A12" TargetMode="External" Id="rId6" /><Relationship Type="http://schemas.openxmlformats.org/officeDocument/2006/relationships/hyperlink" Target="#'Sources'!A13" TargetMode="External" Id="rId7" /><Relationship Type="http://schemas.openxmlformats.org/officeDocument/2006/relationships/hyperlink" Target="#'Sources'!A14" TargetMode="External" Id="rId8" /><Relationship Type="http://schemas.openxmlformats.org/officeDocument/2006/relationships/hyperlink" Target="#'Sources'!A15" TargetMode="External" Id="rId9" /><Relationship Type="http://schemas.openxmlformats.org/officeDocument/2006/relationships/hyperlink" Target="#'Sources'!A92" TargetMode="External" Id="rId10" /><Relationship Type="http://schemas.openxmlformats.org/officeDocument/2006/relationships/hyperlink" Target="#'Sources'!A92" TargetMode="External" Id="rId11" /><Relationship Type="http://schemas.openxmlformats.org/officeDocument/2006/relationships/hyperlink" Target="#'Sources'!A17" TargetMode="External" Id="rId12" /><Relationship Type="http://schemas.openxmlformats.org/officeDocument/2006/relationships/hyperlink" Target="#'Sources'!A70" TargetMode="External" Id="rId13" /><Relationship Type="http://schemas.openxmlformats.org/officeDocument/2006/relationships/hyperlink" Target="#'Sources'!A71" TargetMode="External" Id="rId14" /><Relationship Type="http://schemas.openxmlformats.org/officeDocument/2006/relationships/table" Target="/xl/tables/table4.xm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ources'!A7" TargetMode="External" Id="rId2" /><Relationship Type="http://schemas.openxmlformats.org/officeDocument/2006/relationships/hyperlink" Target="#'Sources'!A7" TargetMode="External" Id="rId3" /><Relationship Type="http://schemas.openxmlformats.org/officeDocument/2006/relationships/hyperlink" Target="#'Sources'!A7" TargetMode="External" Id="rId4" /><Relationship Type="http://schemas.openxmlformats.org/officeDocument/2006/relationships/hyperlink" Target="#'Sources'!A7" TargetMode="External" Id="rId5" /><Relationship Type="http://schemas.openxmlformats.org/officeDocument/2006/relationships/hyperlink" Target="#'Sources'!A98" TargetMode="External" Id="rId6" /><Relationship Type="http://schemas.openxmlformats.org/officeDocument/2006/relationships/hyperlink" Target="#'Sources'!A9" TargetMode="External" Id="rId7" /><Relationship Type="http://schemas.openxmlformats.org/officeDocument/2006/relationships/hyperlink" Target="#'Sources'!A10" TargetMode="External" Id="rId8" /><Relationship Type="http://schemas.openxmlformats.org/officeDocument/2006/relationships/hyperlink" Target="#'Sources'!A7" TargetMode="External" Id="rId9" /><Relationship Type="http://schemas.openxmlformats.org/officeDocument/2006/relationships/hyperlink" Target="#'Sources'!A18" TargetMode="External" Id="rId10" /><Relationship Type="http://schemas.openxmlformats.org/officeDocument/2006/relationships/hyperlink" Target="#'Sources'!A17" TargetMode="External" Id="rId11" /><Relationship Type="http://schemas.openxmlformats.org/officeDocument/2006/relationships/hyperlink" Target="#'Sources'!A12" TargetMode="External" Id="rId12" /><Relationship Type="http://schemas.openxmlformats.org/officeDocument/2006/relationships/hyperlink" Target="#'Sources'!A14" TargetMode="External" Id="rId13" /><Relationship Type="http://schemas.openxmlformats.org/officeDocument/2006/relationships/hyperlink" Target="#'Sources'!A15" TargetMode="External" Id="rId14" /><Relationship Type="http://schemas.openxmlformats.org/officeDocument/2006/relationships/table" Target="/xl/tables/table5.xml" Id="rId15" /></Relationships>
</file>

<file path=xl/worksheets/_rels/sheet6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ources'!A23" TargetMode="External" Id="rId2" /><Relationship Type="http://schemas.openxmlformats.org/officeDocument/2006/relationships/hyperlink" Target="#'Sources'!A21" TargetMode="External" Id="rId3" /><Relationship Type="http://schemas.openxmlformats.org/officeDocument/2006/relationships/hyperlink" Target="#'Sources'!A27" TargetMode="External" Id="rId4" /><Relationship Type="http://schemas.openxmlformats.org/officeDocument/2006/relationships/hyperlink" Target="#'Sources'!A28" TargetMode="External" Id="rId5" /><Relationship Type="http://schemas.openxmlformats.org/officeDocument/2006/relationships/hyperlink" Target="#'Sources'!A31" TargetMode="External" Id="rId6" /><Relationship Type="http://schemas.openxmlformats.org/officeDocument/2006/relationships/hyperlink" Target="#'Sources'!A29" TargetMode="External" Id="rId7" /><Relationship Type="http://schemas.openxmlformats.org/officeDocument/2006/relationships/hyperlink" Target="#'Sources'!A32" TargetMode="External" Id="rId8" /><Relationship Type="http://schemas.openxmlformats.org/officeDocument/2006/relationships/hyperlink" Target="#'Sources'!A33" TargetMode="External" Id="rId9" /><Relationship Type="http://schemas.openxmlformats.org/officeDocument/2006/relationships/hyperlink" Target="#'Sources'!A36" TargetMode="External" Id="rId10" /><Relationship Type="http://schemas.openxmlformats.org/officeDocument/2006/relationships/hyperlink" Target="#'Sources'!A37" TargetMode="External" Id="rId11" /><Relationship Type="http://schemas.openxmlformats.org/officeDocument/2006/relationships/hyperlink" Target="#'Sources'!A38" TargetMode="External" Id="rId12" /><Relationship Type="http://schemas.openxmlformats.org/officeDocument/2006/relationships/hyperlink" Target="#'Sources'!A39" TargetMode="External" Id="rId13" /><Relationship Type="http://schemas.openxmlformats.org/officeDocument/2006/relationships/hyperlink" Target="#'Sources'!A100" TargetMode="External" Id="rId14" /><Relationship Type="http://schemas.openxmlformats.org/officeDocument/2006/relationships/hyperlink" Target="#'Sources'!A42" TargetMode="External" Id="rId15" /><Relationship Type="http://schemas.openxmlformats.org/officeDocument/2006/relationships/hyperlink" Target="#'Sources'!A73" TargetMode="External" Id="rId16" /><Relationship Type="http://schemas.openxmlformats.org/officeDocument/2006/relationships/hyperlink" Target="#'Sources'!A47" TargetMode="External" Id="rId17" /><Relationship Type="http://schemas.openxmlformats.org/officeDocument/2006/relationships/hyperlink" Target="#'Sources'!A48" TargetMode="External" Id="rId18" /><Relationship Type="http://schemas.openxmlformats.org/officeDocument/2006/relationships/hyperlink" Target="#'Sources'!A45" TargetMode="External" Id="rId19" /><Relationship Type="http://schemas.openxmlformats.org/officeDocument/2006/relationships/hyperlink" Target="#'Sources'!A74" TargetMode="External" Id="rId20" /><Relationship Type="http://schemas.openxmlformats.org/officeDocument/2006/relationships/hyperlink" Target="#'Sources'!A63" TargetMode="External" Id="rId21" /><Relationship Type="http://schemas.openxmlformats.org/officeDocument/2006/relationships/hyperlink" Target="#'Sources'!A64" TargetMode="External" Id="rId22" /><Relationship Type="http://schemas.openxmlformats.org/officeDocument/2006/relationships/hyperlink" Target="#'Sources'!A65" TargetMode="External" Id="rId23" /><Relationship Type="http://schemas.openxmlformats.org/officeDocument/2006/relationships/hyperlink" Target="#'Sources'!A34" TargetMode="External" Id="rId24" /><Relationship Type="http://schemas.openxmlformats.org/officeDocument/2006/relationships/hyperlink" Target="#'Sources'!A80" TargetMode="External" Id="rId25" /><Relationship Type="http://schemas.openxmlformats.org/officeDocument/2006/relationships/hyperlink" Target="#'Sources'!A81" TargetMode="External" Id="rId26" /><Relationship Type="http://schemas.openxmlformats.org/officeDocument/2006/relationships/hyperlink" Target="#'Sources'!A68" TargetMode="External" Id="rId27" /><Relationship Type="http://schemas.openxmlformats.org/officeDocument/2006/relationships/hyperlink" Target="#'Sources'!A46" TargetMode="External" Id="rId28" /><Relationship Type="http://schemas.openxmlformats.org/officeDocument/2006/relationships/hyperlink" Target="#'Sources'!A61" TargetMode="External" Id="rId29" /><Relationship Type="http://schemas.openxmlformats.org/officeDocument/2006/relationships/hyperlink" Target="#'Sources'!A83" TargetMode="External" Id="rId30" /><Relationship Type="http://schemas.openxmlformats.org/officeDocument/2006/relationships/hyperlink" Target="#'Sources'!A84" TargetMode="External" Id="rId31" /><Relationship Type="http://schemas.openxmlformats.org/officeDocument/2006/relationships/hyperlink" Target="#'Sources'!A85" TargetMode="External" Id="rId32" /><Relationship Type="http://schemas.openxmlformats.org/officeDocument/2006/relationships/hyperlink" Target="#'Sources'!A86" TargetMode="External" Id="rId33" /><Relationship Type="http://schemas.openxmlformats.org/officeDocument/2006/relationships/hyperlink" Target="#'Sources'!A87" TargetMode="External" Id="rId34" /><Relationship Type="http://schemas.openxmlformats.org/officeDocument/2006/relationships/hyperlink" Target="#'Sources'!A89" TargetMode="External" Id="rId35" /><Relationship Type="http://schemas.openxmlformats.org/officeDocument/2006/relationships/hyperlink" Target="#'Sources'!A90" TargetMode="External" Id="rId36" /><Relationship Type="http://schemas.openxmlformats.org/officeDocument/2006/relationships/table" Target="/xl/tables/table6.xml" Id="rId37" /></Relationships>
</file>

<file path=xl/worksheets/_rels/sheet7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ources'!A77" TargetMode="External" Id="rId2" /><Relationship Type="http://schemas.openxmlformats.org/officeDocument/2006/relationships/hyperlink" Target="#'Sources'!A21" TargetMode="External" Id="rId3" /><Relationship Type="http://schemas.openxmlformats.org/officeDocument/2006/relationships/hyperlink" Target="#'Sources'!A27" TargetMode="External" Id="rId4" /><Relationship Type="http://schemas.openxmlformats.org/officeDocument/2006/relationships/hyperlink" Target="#'Sources'!A79" TargetMode="External" Id="rId5" /><Relationship Type="http://schemas.openxmlformats.org/officeDocument/2006/relationships/hyperlink" Target="#'Sources'!A21" TargetMode="External" Id="rId6" /><Relationship Type="http://schemas.openxmlformats.org/officeDocument/2006/relationships/hyperlink" Target="#'Sources'!A49" TargetMode="External" Id="rId7" /><Relationship Type="http://schemas.openxmlformats.org/officeDocument/2006/relationships/hyperlink" Target="#'Sources'!A36" TargetMode="External" Id="rId8" /><Relationship Type="http://schemas.openxmlformats.org/officeDocument/2006/relationships/hyperlink" Target="#'Sources'!A17" TargetMode="External" Id="rId9" /><Relationship Type="http://schemas.openxmlformats.org/officeDocument/2006/relationships/hyperlink" Target="#'Sources'!A78" TargetMode="External" Id="rId10" /><Relationship Type="http://schemas.openxmlformats.org/officeDocument/2006/relationships/hyperlink" Target="#'Sources'!A64" TargetMode="External" Id="rId11" /><Relationship Type="http://schemas.openxmlformats.org/officeDocument/2006/relationships/hyperlink" Target="#'Sources'!A75" TargetMode="External" Id="rId12" /><Relationship Type="http://schemas.openxmlformats.org/officeDocument/2006/relationships/hyperlink" Target="#'Sources'!A7" TargetMode="External" Id="rId13" /><Relationship Type="http://schemas.openxmlformats.org/officeDocument/2006/relationships/table" Target="/xl/tables/table7.xml" Id="rId14" /></Relationships>
</file>

<file path=xl/worksheets/_rels/sheet8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ources'!A26" TargetMode="External" Id="rId2" /><Relationship Type="http://schemas.openxmlformats.org/officeDocument/2006/relationships/hyperlink" Target="#'Sources'!A24" TargetMode="External" Id="rId3" /><Relationship Type="http://schemas.openxmlformats.org/officeDocument/2006/relationships/hyperlink" Target="#'Sources'!A32" TargetMode="External" Id="rId4" /><Relationship Type="http://schemas.openxmlformats.org/officeDocument/2006/relationships/hyperlink" Target="#'Sources'!A42" TargetMode="External" Id="rId5" /><Relationship Type="http://schemas.openxmlformats.org/officeDocument/2006/relationships/hyperlink" Target="#'Sources'!A51" TargetMode="External" Id="rId6" /><Relationship Type="http://schemas.openxmlformats.org/officeDocument/2006/relationships/hyperlink" Target="#'Sources'!A40" TargetMode="External" Id="rId7" /><Relationship Type="http://schemas.openxmlformats.org/officeDocument/2006/relationships/hyperlink" Target="#'Sources'!A54" TargetMode="External" Id="rId8" /><Relationship Type="http://schemas.openxmlformats.org/officeDocument/2006/relationships/hyperlink" Target="#'Sources'!A59" TargetMode="External" Id="rId9" /><Relationship Type="http://schemas.openxmlformats.org/officeDocument/2006/relationships/hyperlink" Target="#'Sources'!A57" TargetMode="External" Id="rId10" /><Relationship Type="http://schemas.openxmlformats.org/officeDocument/2006/relationships/hyperlink" Target="#'Sources'!A60" TargetMode="External" Id="rId11" /><Relationship Type="http://schemas.openxmlformats.org/officeDocument/2006/relationships/hyperlink" Target="#'Sources'!A72" TargetMode="External" Id="rId12" /><Relationship Type="http://schemas.openxmlformats.org/officeDocument/2006/relationships/hyperlink" Target="#'Sources'!A65" TargetMode="External" Id="rId13" /><Relationship Type="http://schemas.openxmlformats.org/officeDocument/2006/relationships/table" Target="/xl/tables/table8.xml" Id="rId14" /></Relationships>
</file>

<file path=xl/worksheets/_rels/sheet9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ources'!A21" TargetMode="External" Id="rId2" /><Relationship Type="http://schemas.openxmlformats.org/officeDocument/2006/relationships/hyperlink" Target="#'Sources'!A23" TargetMode="External" Id="rId3" /><Relationship Type="http://schemas.openxmlformats.org/officeDocument/2006/relationships/hyperlink" Target="#'Sources'!A61" TargetMode="External" Id="rId4" /><Relationship Type="http://schemas.openxmlformats.org/officeDocument/2006/relationships/hyperlink" Target="#'Sources'!A24" TargetMode="External" Id="rId5" /><Relationship Type="http://schemas.openxmlformats.org/officeDocument/2006/relationships/hyperlink" Target="#'Sources'!A77" TargetMode="External" Id="rId6" /><Relationship Type="http://schemas.openxmlformats.org/officeDocument/2006/relationships/hyperlink" Target="#'Sources'!A53" TargetMode="External" Id="rId7" /><Relationship Type="http://schemas.openxmlformats.org/officeDocument/2006/relationships/hyperlink" Target="#'Sources'!A49" TargetMode="External" Id="rId8" /><Relationship Type="http://schemas.openxmlformats.org/officeDocument/2006/relationships/hyperlink" Target="#'Sources'!A70" TargetMode="External" Id="rId9" /><Relationship Type="http://schemas.openxmlformats.org/officeDocument/2006/relationships/hyperlink" Target="#'Sources'!A64" TargetMode="External" Id="rId10" /><Relationship Type="http://schemas.openxmlformats.org/officeDocument/2006/relationships/hyperlink" Target="#'Sources'!A7" TargetMode="External" Id="rId11" /><Relationship Type="http://schemas.openxmlformats.org/officeDocument/2006/relationships/table" Target="/xl/tables/table9.xml" Id="rId12" /></Relationships>
</file>

<file path=xl/worksheets/_rels/sheet10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https://www.pmindia.gov.in/en/pms-profile/" TargetMode="External" Id="rId2" /><Relationship Type="http://schemas.openxmlformats.org/officeDocument/2006/relationships/hyperlink" Target="https://www.pmindia.gov.in/en/personal_life_story/personal-life-story/" TargetMode="External" Id="rId3" /><Relationship Type="http://schemas.openxmlformats.org/officeDocument/2006/relationships/hyperlink" Target="https://www.pmindia.gov.in/en/" TargetMode="External" Id="rId4" /><Relationship Type="http://schemas.openxmlformats.org/officeDocument/2006/relationships/hyperlink" Target="https://www.eci.gov.in/ByeElection/ByeFeb2002/bye_2002_guj_RajkotII.htm" TargetMode="External" Id="rId5" /><Relationship Type="http://schemas.openxmlformats.org/officeDocument/2006/relationships/hyperlink" Target="https://www.oneindia.com/maninagar-assembly-elections-gj-53/" TargetMode="External" Id="rId6" /><Relationship Type="http://schemas.openxmlformats.org/officeDocument/2006/relationships/hyperlink" Target="https://timesofindia.indiatimes.com/city/ahmedabad/modi-wins-maninagar-seat-by-75333-votes/articleshow/31344603.cms" TargetMode="External" Id="rId7" /><Relationship Type="http://schemas.openxmlformats.org/officeDocument/2006/relationships/hyperlink" Target="https://www.electiontak.in/lok-sabha-2014/uttar-pradesh/varanasi-constituency-results-24577" TargetMode="External" Id="rId8" /><Relationship Type="http://schemas.openxmlformats.org/officeDocument/2006/relationships/hyperlink" Target="https://devgatha.in/wp-content/uploads/2025/06/constituency-wise-detailed-result.pdf" TargetMode="External" Id="rId9" /><Relationship Type="http://schemas.openxmlformats.org/officeDocument/2006/relationships/hyperlink" Target="https://www.adrindia.org/sites/default/files/Analysis_of_Vote_Share_Margin_Of_Victory_Lok_Sabha__2019.pdf" TargetMode="External" Id="rId10" /><Relationship Type="http://schemas.openxmlformats.org/officeDocument/2006/relationships/hyperlink" Target="https://www.amarujala.com/election/lok-sabha-elections/uttar-pradesh/constituencies/varanasi-77" TargetMode="External" Id="rId11" /><Relationship Type="http://schemas.openxmlformats.org/officeDocument/2006/relationships/hyperlink" Target="https://www.indiatodayne.in/elections/story/pm-narendra-modi-wins-varanasi-parliamentary-seat-with-over-612000-votes-1021240-2024-06-04" TargetMode="External" Id="rId12" /><Relationship Type="http://schemas.openxmlformats.org/officeDocument/2006/relationships/hyperlink" Target="https://apnews.com/article/0506b077b41cc39eb5a76b7e49b7076e" TargetMode="External" Id="rId13" /><Relationship Type="http://schemas.openxmlformats.org/officeDocument/2006/relationships/hyperlink" Target="https://arunachalgovernor.gov.in/pr/2019/190530%20Governor%20attends%20Swearing-in%20ceremony%20of%20the%20Prime%20MInister.pdf" TargetMode="External" Id="rId14" /><Relationship Type="http://schemas.openxmlformats.org/officeDocument/2006/relationships/hyperlink" Target="https://indianexpress.com/article/political-pulse/narendra-modi-resigns-as-gujarat-chief-minister/" TargetMode="External" Id="rId15" /><Relationship Type="http://schemas.openxmlformats.org/officeDocument/2006/relationships/hyperlink" Target="https://economictimes.indiatimes.com/news/politics-and-nation/anandiben-mafatbhai-patel-takes-oath-as-gujarat-chief-minister/articleshow/35491163.cms" TargetMode="External" Id="rId16" /><Relationship Type="http://schemas.openxmlformats.org/officeDocument/2006/relationships/hyperlink" Target="https://carnegieendowment.org/research/2013/10/the-modi-debate-worth-having-in-india" TargetMode="External" Id="rId17" /><Relationship Type="http://schemas.openxmlformats.org/officeDocument/2006/relationships/hyperlink" Target="https://carnegieendowment.org/posts/2017/11/gujarat-model" TargetMode="External" Id="rId18" /><Relationship Type="http://schemas.openxmlformats.org/officeDocument/2006/relationships/hyperlink" Target="https://www.iwmi.org/news/twenty-five-years-of-the-iwmi-tata-partnership/" TargetMode="External" Id="rId19" /><Relationship Type="http://schemas.openxmlformats.org/officeDocument/2006/relationships/hyperlink" Target="https://webapi.sci.gov.in/supremecourt/2018/34207/34207_2018_3_1502_36189_Judgement_24-Jun-2022.pdf" TargetMode="External" Id="rId20" /><Relationship Type="http://schemas.openxmlformats.org/officeDocument/2006/relationships/hyperlink" Target="https://www.scobserver.in/reports/zakia-jafri-judgment-summary/amp/" TargetMode="External" Id="rId21" /><Relationship Type="http://schemas.openxmlformats.org/officeDocument/2006/relationships/hyperlink" Target="https://nhrc.nic.in/assets/uploads/publication/NHRCJournal2002.pdf" TargetMode="External" Id="rId22" /><Relationship Type="http://schemas.openxmlformats.org/officeDocument/2006/relationships/hyperlink" Target="https://ies.gov.in/arthapedia/concept/pradhan-mantri-jan-dhan-yojna-pmjdy" TargetMode="External" Id="rId23" /><Relationship Type="http://schemas.openxmlformats.org/officeDocument/2006/relationships/hyperlink" Target="https://www.npci.org.in/PDF/npci/press-releases/2017/NPCI-UPI-transactions-June.pdf" TargetMode="External" Id="rId24" /><Relationship Type="http://schemas.openxmlformats.org/officeDocument/2006/relationships/hyperlink" Target="https://www.pmuy.gov.in/about.html" TargetMode="External" Id="rId25" /><Relationship Type="http://schemas.openxmlformats.org/officeDocument/2006/relationships/hyperlink" Target="https://cag.gov.in/uploads/download_audit_report/2019/Report_No_14_of_2019_Performance_Audit_of_Pradhan_Mantri_Ujjwala_Yojana_Ministry_of_Petroleum_and_Natural_Gas_0.pdf" TargetMode="External" Id="rId26" /><Relationship Type="http://schemas.openxmlformats.org/officeDocument/2006/relationships/hyperlink" Target="https://www.nature.com/articles/s41598-024-71268-8" TargetMode="External" Id="rId27" /><Relationship Type="http://schemas.openxmlformats.org/officeDocument/2006/relationships/hyperlink" Target="https://www.nber.org/papers/w25370" TargetMode="External" Id="rId28" /><Relationship Type="http://schemas.openxmlformats.org/officeDocument/2006/relationships/hyperlink" Target="https://www.gstcouncil.gov.in/sites/default/files/Minutes/Signed-Minutes-17th-GST-Council-Meeting.pdf" TargetMode="External" Id="rId29" /><Relationship Type="http://schemas.openxmlformats.org/officeDocument/2006/relationships/hyperlink" Target="https://gstcouncil.gov.in/sites/default/files/2025-09/press_release_press_information_bureau_0.pdf" TargetMode="External" Id="rId30" /><Relationship Type="http://schemas.openxmlformats.org/officeDocument/2006/relationships/hyperlink" Target="https://www.pib.gov.in/PressReleasePage.aspx?PRID=2163560&amp;lang=2&amp;reg=3" TargetMode="External" Id="rId31" /><Relationship Type="http://schemas.openxmlformats.org/officeDocument/2006/relationships/hyperlink" Target="https://www.niti.gov.in/about-us/objectives-and-features" TargetMode="External" Id="rId32" /><Relationship Type="http://schemas.openxmlformats.org/officeDocument/2006/relationships/hyperlink" Target="https://www.pmindia.gov.in/en/news_updates/cabinet-approves-pradhan-mantri-kisan-samman-nidhi-pm-kisan-scheme/" TargetMode="External" Id="rId33" /><Relationship Type="http://schemas.openxmlformats.org/officeDocument/2006/relationships/hyperlink" Target="https://prsindia.org/billtrack/the-farm-laws-repeal-bill-2021" TargetMode="External" Id="rId34" /><Relationship Type="http://schemas.openxmlformats.org/officeDocument/2006/relationships/hyperlink" Target="https://www.scobserver.in/reports/abrogation-of-article-370-judgement-summary/" TargetMode="External" Id="rId35" /><Relationship Type="http://schemas.openxmlformats.org/officeDocument/2006/relationships/hyperlink" Target="https://www.mha.gov.in/sites/default/files/2024-09/TheCitizenshipAmendmentRule_10092024.pdf" TargetMode="External" Id="rId36" /><Relationship Type="http://schemas.openxmlformats.org/officeDocument/2006/relationships/hyperlink" Target="https://www.pmindia.gov.in/en/news_updates/pms-important-message-on-citizenship-amendment-act-2019/" TargetMode="External" Id="rId37" /><Relationship Type="http://schemas.openxmlformats.org/officeDocument/2006/relationships/hyperlink" Target="https://www.pmindia.gov.in/en/news_updates/pm-calls-for-complete-lockdown-of-entire-nation-for-21-days/" TargetMode="External" Id="rId38" /><Relationship Type="http://schemas.openxmlformats.org/officeDocument/2006/relationships/hyperlink" Target="https://cdn.who.int/media/docs/default-source/world-health-data-platform/covid-19-excessmortality/covid-methods-paper-sup-revision.pdf?sfvrsn=65f20a4f_1" TargetMode="External" Id="rId39" /><Relationship Type="http://schemas.openxmlformats.org/officeDocument/2006/relationships/hyperlink" Target="https://www.pib.gov.in/PressReleasePage.aspx?PRID=1823012&amp;lang=2&amp;reg=48" TargetMode="External" Id="rId40" /><Relationship Type="http://schemas.openxmlformats.org/officeDocument/2006/relationships/hyperlink" Target="https://prsindia.org/billtrack/the-constitution-one-hundred-twenty-eighth-amendment-bill-2023" TargetMode="External" Id="rId41" /><Relationship Type="http://schemas.openxmlformats.org/officeDocument/2006/relationships/hyperlink" Target="https://prsindia.org/billtrack/the-constitution-131st-amendment-bill-2026" TargetMode="External" Id="rId42" /><Relationship Type="http://schemas.openxmlformats.org/officeDocument/2006/relationships/hyperlink" Target="https://www.pib.gov.in/Pressreleaseshare.aspx?PRID=1845380&amp;lang=2&amp;reg=3" TargetMode="External" Id="rId43" /><Relationship Type="http://schemas.openxmlformats.org/officeDocument/2006/relationships/hyperlink" Target="https://www.pib.gov.in/FactsheetDetails.aspx?Id=148565&amp;lang=2&amp;reg=3" TargetMode="External" Id="rId44" /><Relationship Type="http://schemas.openxmlformats.org/officeDocument/2006/relationships/hyperlink" Target="https://soas-repository.worktribe.com/output/346043/modi-masculinity-media-manhood-and-traditions-in-a-time-of-consumerism" TargetMode="External" Id="rId45" /><Relationship Type="http://schemas.openxmlformats.org/officeDocument/2006/relationships/hyperlink" Target="https://www.indiacode.nic.in/indiacode/handle/123456789/1824?col=123456789%2F1362&amp;view_type=search" TargetMode="External" Id="rId46" /><Relationship Type="http://schemas.openxmlformats.org/officeDocument/2006/relationships/hyperlink" Target="https://www.scobserver.in/reports/electoral-bonds-constitution-bench-judgement-summary/" TargetMode="External" Id="rId47" /><Relationship Type="http://schemas.openxmlformats.org/officeDocument/2006/relationships/hyperlink" Target="https://apnews.com/article/8de67ea52eebfad104095b4db056e90e" TargetMode="External" Id="rId48" /><Relationship Type="http://schemas.openxmlformats.org/officeDocument/2006/relationships/hyperlink" Target="https://freedomhouse.org/country/india/freedom-world/2026" TargetMode="External" Id="rId49" /><Relationship Type="http://schemas.openxmlformats.org/officeDocument/2006/relationships/hyperlink" Target="https://www.hrw.org/news/2024/08/14/india-hate-speech-fueled-modis-election-campaign" TargetMode="External" Id="rId50" /><Relationship Type="http://schemas.openxmlformats.org/officeDocument/2006/relationships/hyperlink" Target="https://www.hrw.org/news/2026/02/04/india-religious-minorities-critics-unlawfully-targeted" TargetMode="External" Id="rId51" /><Relationship Type="http://schemas.openxmlformats.org/officeDocument/2006/relationships/hyperlink" Target="https://www.pmindia.gov.in/en/news_updates/the-interview-of-pm-narendra-modi-with-time/" TargetMode="External" Id="rId52" /><Relationship Type="http://schemas.openxmlformats.org/officeDocument/2006/relationships/hyperlink" Target="https://www.scobserver.in/cases/manohar-lal-sharma-v-union-of-india-pegasus-spyware-probe-case-background/" TargetMode="External" Id="rId53" /><Relationship Type="http://schemas.openxmlformats.org/officeDocument/2006/relationships/hyperlink" Target="https://www.scobserver.in/journal/2022-supreme-court-review-freedom-of-speech/" TargetMode="External" Id="rId54" /><Relationship Type="http://schemas.openxmlformats.org/officeDocument/2006/relationships/hyperlink" Target="https://www.scconline.com/blog/post/2019/11/14/breaking-sc-dismisses-the-petition-seeking-review-of-the-rafale-verdict/" TargetMode="External" Id="rId55" /><Relationship Type="http://schemas.openxmlformats.org/officeDocument/2006/relationships/hyperlink" Target="https://webapi.sci.gov.in/supremecourt/2023/5354/5354_2023_1_1501_49132_Judgement_03-Jan-2024.pdf" TargetMode="External" Id="rId56" /><Relationship Type="http://schemas.openxmlformats.org/officeDocument/2006/relationships/hyperlink" Target="https://thedocs.worldbank.org/en/doc/4262e1e15b463ecb360cec4ad78cf062-0310012026/original/April-2026-India-Development-Update.pdf" TargetMode="External" Id="rId57" /><Relationship Type="http://schemas.openxmlformats.org/officeDocument/2006/relationships/hyperlink" Target="https://www.ilo.org/publications/india-employment-report-2024-youth-employment-education-and-skills" TargetMode="External" Id="rId58" /><Relationship Type="http://schemas.openxmlformats.org/officeDocument/2006/relationships/hyperlink" Target="https://www.unfccc.int/sites/default/files/NDC/2022-08/India%20Updated%20First%20Nationally%20Determined%20Contrib.pdf" TargetMode="External" Id="rId59" /><Relationship Type="http://schemas.openxmlformats.org/officeDocument/2006/relationships/hyperlink" Target="https://www.pmindia.gov.in/en/news_updates/towards-a-brighter-tomorrow-indias-g20-presidency-and-the-dawn-of-a-new-multilateralism/" TargetMode="External" Id="rId60" /><Relationship Type="http://schemas.openxmlformats.org/officeDocument/2006/relationships/hyperlink" Target="https://www.mea.gov.in/media-briefings.htm?dtl%2F39482=" TargetMode="External" Id="rId61" /><Relationship Type="http://schemas.openxmlformats.org/officeDocument/2006/relationships/hyperlink" Target="https://apnews.com/article/1de0ca13c13899f0bd3530b4808d45ad" TargetMode="External" Id="rId62" /><Relationship Type="http://schemas.openxmlformats.org/officeDocument/2006/relationships/hyperlink" Target="https://www.pib.gov.in/PressReleasePage.aspx?PRID=2128748&amp;lang=1&amp;reg=3" TargetMode="External" Id="rId63" /><Relationship Type="http://schemas.openxmlformats.org/officeDocument/2006/relationships/hyperlink" Target="https://ec.europa.eu/commission/presscorner/api/files/document/print/en/ip_26_184/IP_26_184_EN.pdf" TargetMode="External" Id="rId64" /><Relationship Type="http://schemas.openxmlformats.org/officeDocument/2006/relationships/hyperlink" Target="https://commission.europa.eu/topics/trade/eu-india-trade-agreement_en" TargetMode="External" Id="rId65" /><Relationship Type="http://schemas.openxmlformats.org/officeDocument/2006/relationships/hyperlink" Target="https://apnews.com/article/36f3915f18d2298bb65bfb1c55a25ed4" TargetMode="External" Id="rId66" /><Relationship Type="http://schemas.openxmlformats.org/officeDocument/2006/relationships/hyperlink" Target="https://results.eci.gov.in/ResultAcGenMay2026/partywiseresult-S25.htm" TargetMode="External" Id="rId67" /><Relationship Type="http://schemas.openxmlformats.org/officeDocument/2006/relationships/hyperlink" Target="https://www.business-standard.com/india-news/pm-narendra-modi-manipur-visit-ethnic-violence-imphal-development-projects-125091300145_1.html" TargetMode="External" Id="rId68" /><Relationship Type="http://schemas.openxmlformats.org/officeDocument/2006/relationships/hyperlink" Target="https://www.pib.gov.in/Pressreleaseshare.aspx?PRID=1642061&amp;lang=2&amp;reg=48" TargetMode="External" Id="rId69" /><Relationship Type="http://schemas.openxmlformats.org/officeDocument/2006/relationships/hyperlink" Target="https://www.pib.gov.in/PressReleasePage.aspx?PRID=2091508&amp;lang=2&amp;reg=3" TargetMode="External" Id="rId70" /><Relationship Type="http://schemas.openxmlformats.org/officeDocument/2006/relationships/hyperlink" Target="https://www.pmindia.gov.in/en/news_updates/pm-participates-in-pran-pratishtha-ceremony-of-shri-ramlalla-in-the-newly-built-shri-ram-janmbhoomi-mandir-in-ayodhya/?comment=disable" TargetMode="External" Id="rId71" /><Relationship Type="http://schemas.openxmlformats.org/officeDocument/2006/relationships/hyperlink" Target="https://apnews.com/article/12102e8dd13a677b15d8760b4252aa7a" TargetMode="External" Id="rId72" /><Relationship Type="http://schemas.openxmlformats.org/officeDocument/2006/relationships/hyperlink" Target="https://www.jstor.org/stable/j.ctv1dc9jzx" TargetMode="External" Id="rId73" /><Relationship Type="http://schemas.openxmlformats.org/officeDocument/2006/relationships/hyperlink" Target="https://www.pewresearch.org/religion/2021/06/29/religion-in-india-tolerance-and-segregation/" TargetMode="External" Id="rId74" /><Relationship Type="http://schemas.openxmlformats.org/officeDocument/2006/relationships/hyperlink" Target="https://www.pmindia.gov.in/en/news_updates/pms-address-in-the-100th-episode-of-mann-ki-baat/" TargetMode="External" Id="rId75" /><Relationship Type="http://schemas.openxmlformats.org/officeDocument/2006/relationships/hyperlink" Target="https://www.pib.gov.in/PressReleasePage.aspx?PRID=2194018&amp;lang=1&amp;reg=1" TargetMode="External" Id="rId76" /><Relationship Type="http://schemas.openxmlformats.org/officeDocument/2006/relationships/hyperlink" Target="https://prsindia.org/policy/monthly-policy-review/december-2025" TargetMode="External" Id="rId77" /><Relationship Type="http://schemas.openxmlformats.org/officeDocument/2006/relationships/hyperlink" Target="https://myneta.info/gujarat2012/candidate.php?candidate_id=1591" TargetMode="External" Id="rId78" /><Relationship Type="http://schemas.openxmlformats.org/officeDocument/2006/relationships/hyperlink" Target="https://nicobars.andaman.nic.in/scheme/ayushman-bharat-pm-jay-pradhan-mantri-jan-arogya-yojana/" TargetMode="External" Id="rId79" /><Relationship Type="http://schemas.openxmlformats.org/officeDocument/2006/relationships/hyperlink" Target="https://www.pmindia.gov.in/en/news_updates/free-foodgrains-for-81-35-crore-beneficiaries-for-five-years-cabinet-decision/?comment=disable" TargetMode="External" Id="rId80" /><Relationship Type="http://schemas.openxmlformats.org/officeDocument/2006/relationships/hyperlink" Target="https://www.pib.gov.in/PressReleasePage.aspx?PRID=2023821&amp;lang=2&amp;reg=48" TargetMode="External" Id="rId81" /><Relationship Type="http://schemas.openxmlformats.org/officeDocument/2006/relationships/hyperlink" Target="https://www.pib.gov.in/Pressreleaseshare.aspx?PRID=1842157&amp;lang=2&amp;reg=48" TargetMode="External" Id="rId82" /><Relationship Type="http://schemas.openxmlformats.org/officeDocument/2006/relationships/hyperlink" Target="https://www.pib.gov.in/PressReleasePage.aspx?PRID=2039119&amp;lang=2&amp;reg=48" TargetMode="External" Id="rId83" /><Relationship Type="http://schemas.openxmlformats.org/officeDocument/2006/relationships/hyperlink" Target="https://indianexpress.com/article/express-exclusive/in-3-year-pli-push-phones-pharma-food-dominate-new-jobs-creation-9705046/" TargetMode="External" Id="rId84" /><Relationship Type="http://schemas.openxmlformats.org/officeDocument/2006/relationships/hyperlink" Target="https://www.mea.gov.in/Portal/CountryNews/10996_Press_Relase_MEA_26Feb2019.pdf" TargetMode="External" Id="rId85" /><Relationship Type="http://schemas.openxmlformats.org/officeDocument/2006/relationships/hyperlink" Target="https://www.indembassybern.gov.in/section/press-releases/phone-call-between-external-affairs-minister-dr-s-jaishankar-and-foreign-minister-of-china-h-e-mr-wang-yi/" TargetMode="External" Id="rId86" /><Relationship Type="http://schemas.openxmlformats.org/officeDocument/2006/relationships/hyperlink" Target="https://www.pmindia.gov.in/en/news_updates/meeting-of-pm-with-mr-xi-jinping-president-of-the-peoples-republic-of-china-on-the-margins-of-the-16th-brics-summit/" TargetMode="External" Id="rId87" /><Relationship Type="http://schemas.openxmlformats.org/officeDocument/2006/relationships/hyperlink" Target="https://prsindia.org/files/parliament/vital_stats/Vital_Stats_17thLS_Profile_Final_0.pdf" TargetMode="External" Id="rId88" /><Relationship Type="http://schemas.openxmlformats.org/officeDocument/2006/relationships/hyperlink" Target="https://www.rss.org/Encyc/2017/5/20/Basic-FAQ-on-RSS.html" TargetMode="External" Id="rId89" /><Relationship Type="http://schemas.openxmlformats.org/officeDocument/2006/relationships/hyperlink" Target="https://www.rbi.org.in/scripts/bs_viewcontent.aspx?Id=2253" TargetMode="External" Id="rId90" /><Relationship Type="http://schemas.openxmlformats.org/officeDocument/2006/relationships/hyperlink" Target="https://www.rbi.org.in/commonperson/English/Scripts/speeches.aspx?Id=3161" TargetMode="External" Id="rId91" /><Relationship Type="http://schemas.openxmlformats.org/officeDocument/2006/relationships/hyperlink" Target="https://www.pmindia.gov.in/en/former-prime-ministers/" TargetMode="External" Id="rId92" /><Relationship Type="http://schemas.openxmlformats.org/officeDocument/2006/relationships/hyperlink" Target="https://www.pib.gov.in/PressReleseDetailm.aspx?PRID=2166235&amp;lang=2&amp;reg=48" TargetMode="External" Id="rId93" /><Relationship Type="http://schemas.openxmlformats.org/officeDocument/2006/relationships/hyperlink" Target="https://www.livemint.com/politics/news/my-gratitude-to-people-of-india-pm-narendra-modi-recalls-his-2001-gujarat-cm-oath-in-nostalgic-post-on-x-11759815208224.html" TargetMode="External" Id="rId94" /><Relationship Type="http://schemas.openxmlformats.org/officeDocument/2006/relationships/hyperlink" Target="https://timesofindia.indiatimes.com/city/pune/modi-gets-the-better-of-patel/articleshow/1426311365.cms" TargetMode="External" Id="rId95" /><Relationship Type="http://schemas.openxmlformats.org/officeDocument/2006/relationships/hyperlink" Target="https://prsindia.org/files/bills_acts/bills_parliament/2019/Citizenship%202019%20Bill%20Text.pdf" TargetMode="External" Id="rId96" /><Relationship Type="http://schemas.openxmlformats.org/officeDocument/2006/relationships/hyperlink" Target="https://www.hrw.org/world-report/2025/country-chapters/india" TargetMode="External" Id="rId97" /><Relationship Type="http://schemas.openxmlformats.org/officeDocument/2006/relationships/hyperlink" Target="https://time.com/4514230/india-kashmir-pakistan-surgical-strikes/" TargetMode="External" Id="rId98" /><Relationship Type="http://schemas.openxmlformats.org/officeDocument/2006/relationships/table" Target="/xl/tables/table10.xml" Id="rId99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tabColor rgb="00146B72"/>
    <s:outlinePr summaryBelow="1" summaryRight="0"/>
    <s:pageSetUpPr fitToPage="1"/>
  </s:sheetPr>
  <s:dimension ref="A1:G40"/>
  <s:sheetViews>
    <s:sheetView showGridLines="0" zoomScale="90" workbookViewId="0">
      <s:pane xSplit="2" ySplit="5" topLeftCell="C6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13" customWidth="1" min="1" max="1"/>
    <s:col width="29" customWidth="1" min="2" max="2"/>
    <s:col width="67" customWidth="1" min="3" max="3"/>
    <s:col width="29" customWidth="1" min="4" max="4"/>
    <s:col width="22" customWidth="1" min="5" max="5"/>
    <s:col width="29" customWidth="1" min="6" max="6"/>
    <s:col width="29" customWidth="1" min="7" max="7"/>
  </s:cols>
  <s:sheetData>
    <s:row r="1" ht="36" customHeight="1">
      <s:c r="A1" s="1" t="inlineStr">
        <s:is>
          <s:t>NARENDRA MODI  |  OVERVIEW</s:t>
        </s:is>
      </s:c>
    </s:row>
    <s:row r="2" ht="24" customHeight="1">
      <s:c r="A2" s="2" t="inlineStr">
        <s:is>
          <s:t>As of 24 Sep 2026  •  Source IDs link to the source register  •  Scroll right for evidence notes</s:t>
        </s:is>
      </s:c>
    </s:row>
    <s:row r="3">
      <s:c r="A3" s="3" t="inlineStr">
        <s:is>
          <s:t>CONTENTS</s:t>
        </s:is>
      </s:c>
    </s:row>
    <s:row r="5" ht="34" customHeight="1">
      <s:c r="A5" s="4" t="inlineStr">
        <s:is>
          <s:t>Record ID</s:t>
        </s:is>
      </s:c>
      <s:c r="B5" s="4" t="inlineStr">
        <s:is>
          <s:t>Topic</s:t>
        </s:is>
      </s:c>
      <s:c r="C5" s="4" t="inlineStr">
        <s:is>
          <s:t>Finding / synthesis</s:t>
        </s:is>
      </s:c>
      <s:c r="D5" s="4" t="inlineStr">
        <s:is>
          <s:t>Claim type</s:t>
        </s:is>
      </s:c>
      <s:c r="E5" s="4" t="inlineStr">
        <s:is>
          <s:t>Source IDs</s:t>
        </s:is>
      </s:c>
      <s:c r="F5" s="4" t="inlineStr">
        <s:is>
          <s:t>Qualification / reading guide</s:t>
        </s:is>
      </s:c>
      <s:c r="G5" s="4" t="inlineStr">
        <s:is>
          <s:t>Corroboration</s:t>
        </s:is>
      </s:c>
    </s:row>
    <s:row r="6" ht="64" customHeight="1">
      <s:c r="A6" s="5" t="inlineStr">
        <s:is>
          <s:t>OV01</s:t>
        </s:is>
      </s:c>
      <s:c r="B6" s="5" t="inlineStr">
        <s:is>
          <s:t>Identity</s:t>
        </s:is>
      </s:c>
      <s:c r="C6" s="5" t="inlineStr">
        <s:is>
          <s:t>Narendra Damodardas Modi; commonly Narendra Modi; born 17 September 1950 in Vadnagar, now Gujarat. Living.</s:t>
        </s:is>
      </s:c>
      <s:c r="D6" s="5" t="inlineStr">
        <s:is>
          <s:t>Recorded fact</s:t>
        </s:is>
      </s:c>
      <s:c r="E6" s="6" t="inlineStr">
        <s:is>
          <s:t>S001; S002</s:t>
        </s:is>
      </s:c>
      <s:c r="F6" s="5" t="inlineStr">
        <s:is>
          <s:t>Narendra Modi is the subject throughout; no comparison or ranking.</s:t>
        </s:is>
      </s:c>
      <s:c r="G6" s="5" t="inlineStr">
        <s:is>
          <s:t>Interested source only</s:t>
        </s:is>
      </s:c>
    </s:row>
    <s:row r="7" ht="80" customHeight="1">
      <s:c r="A7" s="7" t="inlineStr">
        <s:is>
          <s:t>OV02</s:t>
        </s:is>
      </s:c>
      <s:c r="B7" s="7" t="inlineStr">
        <s:is>
          <s:t>Current status</s:t>
        </s:is>
      </s:c>
      <s:c r="C7" s="7" t="inlineStr">
        <s:is>
          <s:t>Prime Minister of India, third consecutive term beginning 9 June 2024; BJP politician and Varanasi MP. Research as of 24 September 2026.</s:t>
        </s:is>
      </s:c>
      <s:c r="D7" s="7" t="inlineStr">
        <s:is>
          <s:t>Recorded fact</s:t>
        </s:is>
      </s:c>
      <s:c r="E7" s="8" t="inlineStr">
        <s:is>
          <s:t>S003; S001; S010</s:t>
        </s:is>
      </s:c>
      <s:c r="F7" s="7" t="inlineStr">
        <s:is>
          <s:t>Current incumbency checked; each legal or policy entry states its own latest verified status.</s:t>
        </s:is>
      </s:c>
      <s:c r="G7" s="7" t="inlineStr">
        <s:is>
          <s:t>Primary record</s:t>
        </s:is>
      </s:c>
    </s:row>
    <s:row r="8" ht="48" customHeight="1">
      <s:c r="A8" s="5" t="inlineStr">
        <s:is>
          <s:t>OV03</s:t>
        </s:is>
      </s:c>
      <s:c r="B8" s="5" t="inlineStr">
        <s:is>
          <s:t>Geography and pathway</s:t>
        </s:is>
      </s:c>
      <s:c r="C8" s="5" t="inlineStr">
        <s:is>
          <s:t>RSS organization → Gujarat BJP → Gujarat executive → national executive, with a parliamentary base in Varanasi.</s:t>
        </s:is>
      </s:c>
      <s:c r="D8" s="5" t="inlineStr">
        <s:is>
          <s:t>Analysis</s:t>
        </s:is>
      </s:c>
      <s:c r="E8" s="6" t="inlineStr">
        <s:is>
          <s:t>S002; S014; S010</s:t>
        </s:is>
      </s:c>
      <s:c r="F8" s="5" t="inlineStr">
        <s:is>
          <s:t>Early career dates are approximate where noted.</s:t>
        </s:is>
      </s:c>
      <s:c r="G8" s="5" t="inlineStr">
        <s:is>
          <s:t>Primary record</s:t>
        </s:is>
      </s:c>
    </s:row>
    <s:row r="9" ht="80" customHeight="1">
      <s:c r="A9" s="7" t="inlineStr">
        <s:is>
          <s:t>OV04</s:t>
        </s:is>
      </s:c>
      <s:c r="B9" s="7" t="inlineStr">
        <s:is>
          <s:t>Education and public identity</s:t>
        </s:is>
      </s:c>
      <s:c r="C9" s="7" t="inlineStr">
        <s:is>
          <s:t>MA in political science (Gujarat University, 1983) is recorded in his 2012 affidavit. Official biography identifies an OBC background.</s:t>
        </s:is>
      </s:c>
      <s:c r="D9" s="7" t="inlineStr">
        <s:is>
          <s:t>Attributed position</s:t>
        </s:is>
      </s:c>
      <s:c r="E9" s="8" t="inlineStr">
        <s:is>
          <s:t>S077; S001</s:t>
        </s:is>
      </s:c>
      <s:c r="F9" s="7" t="inlineStr">
        <s:is>
          <s:t>Credential declaration is not independent verification. Do not infer caste from surname.</s:t>
        </s:is>
      </s:c>
      <s:c r="G9" s="7" t="inlineStr">
        <s:is>
          <s:t>Primary record</s:t>
        </s:is>
      </s:c>
    </s:row>
    <s:row r="10" ht="64" customHeight="1">
      <s:c r="A10" s="5" t="inlineStr">
        <s:is>
          <s:t>OV05</s:t>
        </s:is>
      </s:c>
      <s:c r="B10" s="5" t="inlineStr">
        <s:is>
          <s:t>P1 | Organization</s:t>
        </s:is>
      </s:c>
      <s:c r="C10" s="5" t="inlineStr">
        <s:is>
          <s:t>1970s–2001: organizational work preceded elected office.</s:t>
        </s:is>
      </s:c>
      <s:c r="D10" s="5" t="inlineStr">
        <s:is>
          <s:t>Analysis</s:t>
        </s:is>
      </s:c>
      <s:c r="E10" s="6" t="inlineStr">
        <s:is>
          <s:t>S002</s:t>
        </s:is>
      </s:c>
      <s:c r="F10" s="5" t="inlineStr">
        <s:is>
          <s:t>RSS and BJP roles must not be represented as governmental offices.</s:t>
        </s:is>
      </s:c>
      <s:c r="G10" s="5" t="inlineStr">
        <s:is>
          <s:t>Interested source only</s:t>
        </s:is>
      </s:c>
    </s:row>
    <s:row r="11" ht="64" customHeight="1">
      <s:c r="A11" s="7" t="inlineStr">
        <s:is>
          <s:t>OV06</s:t>
        </s:is>
      </s:c>
      <s:c r="B11" s="7" t="inlineStr">
        <s:is>
          <s:t>P2 | Gujarat</s:t>
        </s:is>
      </s:c>
      <s:c r="C11" s="7" t="inlineStr">
        <s:is>
          <s:t>2001–2014: repeated state victories and a development reputation coexisted with enduring scrutiny of the 2002 violence.</s:t>
        </s:is>
      </s:c>
      <s:c r="D11" s="7" t="inlineStr">
        <s:is>
          <s:t>Analysis</s:t>
        </s:is>
      </s:c>
      <s:c r="E11" s="8" t="inlineStr">
        <s:is>
          <s:t>S005; S016; S021</s:t>
        </s:is>
      </s:c>
      <s:c r="F11" s="7" t="inlineStr">
        <s:is>
          <s:t>Growth comparisons and individual criminal liability are separate questions.</s:t>
        </s:is>
      </s:c>
      <s:c r="G11" s="7" t="inlineStr">
        <s:is>
          <s:t>Multiple independent sources</s:t>
        </s:is>
      </s:c>
    </s:row>
    <s:row r="12" ht="64" customHeight="1">
      <s:c r="A12" s="5" t="inlineStr">
        <s:is>
          <s:t>OV07</s:t>
        </s:is>
      </s:c>
      <s:c r="B12" s="5" t="inlineStr">
        <s:is>
          <s:t>P3 | National majority</s:t>
        </s:is>
      </s:c>
      <s:c r="C12" s="5" t="inlineStr">
        <s:is>
          <s:t>2014–2024: national policy expansion, Hindu-nationalist institutional change and highly personalized communication.</s:t>
        </s:is>
      </s:c>
      <s:c r="D12" s="5" t="inlineStr">
        <s:is>
          <s:t>Analysis</s:t>
        </s:is>
      </s:c>
      <s:c r="E12" s="6" t="inlineStr">
        <s:is>
          <s:t>S031; S022; S070; S074</s:t>
        </s:is>
      </s:c>
      <s:c r="F12" s="5" t="inlineStr">
        <s:is>
          <s:t>The 2019 election separates the two ministerial terms.</s:t>
        </s:is>
      </s:c>
      <s:c r="G12" s="5" t="inlineStr">
        <s:is>
          <s:t>Primary record</s:t>
        </s:is>
      </s:c>
    </s:row>
    <s:row r="13" ht="64" customHeight="1">
      <s:c r="A13" s="7" t="inlineStr">
        <s:is>
          <s:t>OV08</s:t>
        </s:is>
      </s:c>
      <s:c r="B13" s="7" t="inlineStr">
        <s:is>
          <s:t>P4 | Coalition government</s:t>
        </s:is>
      </s:c>
      <s:c r="C13" s="7" t="inlineStr">
        <s:is>
          <s:t>From 2024: allies became necessary for a Lok Sabha majority. Subsequent state victories and a failed constitutional amendment show both strength and limits.</s:t>
        </s:is>
      </s:c>
      <s:c r="D13" s="7" t="inlineStr">
        <s:is>
          <s:t>Analysis</s:t>
        </s:is>
      </s:c>
      <s:c r="E13" s="8" t="inlineStr">
        <s:is>
          <s:t>S012; S065; S066; S041</s:t>
        </s:is>
      </s:c>
      <s:c r="F13" s="7" t="inlineStr">
        <s:is>
          <s:t>Election results are dated snapshots, not current seat-strength estimates.</s:t>
        </s:is>
      </s:c>
      <s:c r="G13" s="7" t="inlineStr">
        <s:is>
          <s:t>Primary record</s:t>
        </s:is>
      </s:c>
    </s:row>
    <s:row r="14" ht="80" customHeight="1">
      <s:c r="A14" s="5" t="inlineStr">
        <s:is>
          <s:t>OV09</s:t>
        </s:is>
      </s:c>
      <s:c r="B14" s="5" t="inlineStr">
        <s:is>
          <s:t>Governance contributions</s:t>
        </s:is>
      </s:c>
      <s:c r="C14" s="5" t="inlineStr">
        <s:is>
          <s:t>Important interventions include rural electricity reform in Gujarat, financial inclusion, digital payments, sanitation and national infrastructure.</s:t>
        </s:is>
      </s:c>
      <s:c r="D14" s="5" t="inlineStr">
        <s:is>
          <s:t>Analysis</s:t>
        </s:is>
      </s:c>
      <s:c r="E14" s="6" t="inlineStr">
        <s:is>
          <s:t>S018; S022; S023; S026; S069</s:t>
        </s:is>
      </s:c>
      <s:c r="F14" s="5" t="inlineStr">
        <s:is>
          <s:t>Credit is shared with officials, states, banks, researchers and inherited institutions.</s:t>
        </s:is>
      </s:c>
      <s:c r="G14" s="5" t="inlineStr">
        <s:is>
          <s:t>Primary record</s:t>
        </s:is>
      </s:c>
    </s:row>
    <s:row r="15" ht="80" customHeight="1">
      <s:c r="A15" s="7" t="inlineStr">
        <s:is>
          <s:t>OV10</s:t>
        </s:is>
      </s:c>
      <s:c r="B15" s="7" t="inlineStr">
        <s:is>
          <s:t>Economic assessment</s:t>
        </s:is>
      </s:c>
      <s:c r="C15" s="7" t="inlineStr">
        <s:is>
          <s:t>Poverty estimates indicate substantial improvement across a period spanning successive governments. Employment quality and disruption from demonetization complicate a simple success narrative.</s:t>
        </s:is>
      </s:c>
      <s:c r="D15" s="7" t="inlineStr">
        <s:is>
          <s:t>Analysis</s:t>
        </s:is>
      </s:c>
      <s:c r="E15" s="8" t="inlineStr">
        <s:is>
          <s:t>S056; S057; S027</s:t>
        </s:is>
      </s:c>
      <s:c r="F15" s="7" t="inlineStr">
        <s:is>
          <s:t>Do not compare different poverty thresholds or GDP base-year series without adjustment.</s:t>
        </s:is>
      </s:c>
      <s:c r="G15" s="7" t="inlineStr">
        <s:is>
          <s:t>Multiple independent sources</s:t>
        </s:is>
      </s:c>
    </s:row>
    <s:row r="16" ht="64" customHeight="1">
      <s:c r="A16" s="5" t="inlineStr">
        <s:is>
          <s:t>OV11</s:t>
        </s:is>
      </s:c>
      <s:c r="B16" s="5" t="inlineStr">
        <s:is>
          <s:t>Accountability</s:t>
        </s:is>
      </s:c>
      <s:c r="C16" s="5" t="inlineStr">
        <s:is>
          <s:t>The 2022 Gujarat conspiracy-complaint outcome and the 2024 electoral-bonds ruling must be stated precisely. Neither is a personal corruption or riot conviction of Modi.</s:t>
        </s:is>
      </s:c>
      <s:c r="D16" s="5" t="inlineStr">
        <s:is>
          <s:t>Analysis</s:t>
        </s:is>
      </s:c>
      <s:c r="E16" s="6" t="inlineStr">
        <s:is>
          <s:t>S019; S046</s:t>
        </s:is>
      </s:c>
      <s:c r="F16" s="5" t="inlineStr">
        <s:is>
          <s:t>Wider political and administrative criticisms remain analytically distinct.</s:t>
        </s:is>
      </s:c>
      <s:c r="G16" s="5" t="inlineStr">
        <s:is>
          <s:t>Primary record</s:t>
        </s:is>
      </s:c>
    </s:row>
    <s:row r="17" ht="64" customHeight="1">
      <s:c r="A17" s="7" t="inlineStr">
        <s:is>
          <s:t>OV12</s:t>
        </s:is>
      </s:c>
      <s:c r="B17" s="7" t="inlineStr">
        <s:is>
          <s:t>Gender</s:t>
        </s:is>
      </s:c>
      <s:c r="C17" s="7" t="inlineStr">
        <s:is>
          <s:t>Leadership imagery has been analyzed through masculinity; women-focused programs and reservation legislation require separate assessment of implementation and effects.</s:t>
        </s:is>
      </s:c>
      <s:c r="D17" s="7" t="inlineStr">
        <s:is>
          <s:t>Analysis</s:t>
        </s:is>
      </s:c>
      <s:c r="E17" s="8" t="inlineStr">
        <s:is>
          <s:t>S044; S025; S040; S041</s:t>
        </s:is>
      </s:c>
      <s:c r="F17" s="7" t="inlineStr">
        <s:is>
          <s:t>No automatic inference from symbolism to empowerment or female voting.</s:t>
        </s:is>
      </s:c>
      <s:c r="G17" s="7" t="inlineStr">
        <s:is>
          <s:t>Primary record</s:t>
        </s:is>
      </s:c>
    </s:row>
    <s:row r="18" ht="64" customHeight="1">
      <s:c r="A18" s="5" t="inlineStr">
        <s:is>
          <s:t>OV13</s:t>
        </s:is>
      </s:c>
      <s:c r="B18" s="5" t="inlineStr">
        <s:is>
          <s:t>Historical significance</s:t>
        </s:is>
      </s:c>
      <s:c r="C18" s="5" t="inlineStr">
        <s:is>
          <s:t>A central figure in the BJP’s national ascendancy and the integration of welfare delivery, national identity and leader-centered campaigning.</s:t>
        </s:is>
      </s:c>
      <s:c r="D18" s="5" t="inlineStr">
        <s:is>
          <s:t>Analysis</s:t>
        </s:is>
      </s:c>
      <s:c r="E18" s="6" t="inlineStr">
        <s:is>
          <s:t>S072; S022; S074; S012</s:t>
        </s:is>
      </s:c>
      <s:c r="F18" s="5" t="inlineStr">
        <s:is>
          <s:t>Living political career: legacy remains provisional and contested.</s:t>
        </s:is>
      </s:c>
      <s:c r="G18" s="5" t="inlineStr">
        <s:is>
          <s:t>Primary record</s:t>
        </s:is>
      </s:c>
    </s:row>
    <s:row r="19" ht="64" customHeight="1">
      <s:c r="A19" s="7" t="inlineStr">
        <s:is>
          <s:t>OV14</s:t>
        </s:is>
      </s:c>
      <s:c r="B19" s="7" t="inlineStr">
        <s:is>
          <s:t>Open questions</s:t>
        </s:is>
      </s:c>
      <s:c r="C19" s="7" t="inlineStr">
        <s:is>
          <s:t>Long-run employment, welfare quality, federal accommodation, civil liberties and implementation of third-term reforms remain central tests.</s:t>
        </s:is>
      </s:c>
      <s:c r="D19" s="7" t="inlineStr">
        <s:is>
          <s:t>Analysis</s:t>
        </s:is>
      </s:c>
      <s:c r="E19" s="8" t="inlineStr">
        <s:is>
          <s:t>S057; S048; S041; S075; S064</s:t>
        </s:is>
      </s:c>
      <s:c r="F19" s="7" t="inlineStr">
        <s:is>
          <s:t>Use supporting sheets for evidence, disagreement and precise status.</s:t>
        </s:is>
      </s:c>
      <s:c r="G19" s="7" t="inlineStr">
        <s:is>
          <s:t>Primary record</s:t>
        </s:is>
      </s:c>
    </s:row>
    <s:row r="20" ht="80" customHeight="1">
      <s:c r="A20" s="5" t="inlineStr">
        <s:is>
          <s:t>OV15</s:t>
        </s:is>
      </s:c>
      <s:c r="B20" s="5" t="inlineStr">
        <s:is>
          <s:t>Sources and method</s:t>
        </s:is>
      </s:c>
      <s:c r="C20" s="5" t="inlineStr">
        <s:is>
          <s:t>Primary records establish actions and formal outcomes; independent research supplies evaluation. Interested statements and advocacy judgments are labeled.</s:t>
        </s:is>
      </s:c>
      <s:c r="D20" s="5" t="inlineStr">
        <s:is>
          <s:t>Research method</s:t>
        </s:is>
      </s:c>
      <s:c r="E20" s="6" t="inlineStr">
        <s:is>
          <s:t>S019; S025; S027; S051; S048</s:t>
        </s:is>
      </s:c>
      <s:c r="F20" s="5" t="inlineStr">
        <s:is>
          <s:t>Source IDs resolve in Sources. Source notes disclose abstracts, mirrors and access limits.</s:t>
        </s:is>
      </s:c>
      <s:c r="G20" s="5" t="inlineStr">
        <s:is>
          <s:t>Primary record</s:t>
        </s:is>
      </s:c>
    </s:row>
    <s:row r="21" ht="80" customHeight="1">
      <s:c r="A21" s="7" t="inlineStr">
        <s:is>
          <s:t>OV16</s:t>
        </s:is>
      </s:c>
      <s:c r="B21" s="7" t="inlineStr">
        <s:is>
          <s:t>Coverage limits</s:t>
        </s:is>
      </s:c>
      <s:c r="C21" s="7" t="inlineStr">
        <s:is>
          <s:t>Selective substantial profile, not an exhaustive chronology. Some historical election originals and early organizational records remain unverified; gaps are explicit.</s:t>
        </s:is>
      </s:c>
      <s:c r="D21" s="7" t="inlineStr">
        <s:is>
          <s:t>Research method</s:t>
        </s:is>
      </s:c>
      <s:c r="E21" s="8" t="inlineStr">
        <s:is>
          <s:t>S005; S008; S002</s:t>
        </s:is>
      </s:c>
      <s:c r="F21" s="7" t="inlineStr">
        <s:is>
          <s:t>Post-2024 coverage includes selected verified events through the research cutoff.</s:t>
        </s:is>
      </s:c>
      <s:c r="G21" s="7" t="inlineStr">
        <s:is>
          <s:t>Primary record</s:t>
        </s:is>
      </s:c>
    </s:row>
    <s:row r="24" ht="24" customHeight="1">
      <s:c r="A24" s="9" t="inlineStr">
        <s:is>
          <s:t>RESEARCH COUNTS</s:t>
        </s:is>
      </s:c>
    </s:row>
    <s:row r="25" ht="24" customHeight="1">
      <s:c r="B25" s="10" t="inlineStr">
        <s:is>
          <s:t>Personal constituency contests</s:t>
        </s:is>
      </s:c>
      <s:c r="D25" s="11">
        <s:f>COUNTIF(Elections!D6:D18,"Contestant")</s:f>
        <s:v>8</s:v>
      </s:c>
    </s:row>
    <s:row r="26" ht="24" customHeight="1">
      <s:c r="B26" s="10" t="inlineStr">
        <s:is>
          <s:t>Personal constituency victories</s:t>
        </s:is>
      </s:c>
      <s:c r="D26" s="11">
        <s:f>COUNTIF(Elections!E6:E18,"Won")</s:f>
        <s:v>8</s:v>
      </s:c>
    </s:row>
    <s:row r="27" ht="24" customHeight="1">
      <s:c r="B27" s="10" t="inlineStr">
        <s:is>
          <s:t>Policy and governance records</s:t>
        </s:is>
      </s:c>
      <s:c r="D27" s="11">
        <s:f>COUNTA('Policy &amp; Governance'!A6:A40)</s:f>
        <s:v>35</s:v>
      </s:c>
    </s:row>
    <s:row r="28" ht="24" customHeight="1">
      <s:c r="B28" s="10" t="inlineStr">
        <s:is>
          <s:t>External sources</s:t>
        </s:is>
      </s:c>
      <s:c r="D28" s="11">
        <s:f>COUNTA(Sources!A6:A102)</s:f>
        <s:v>97</s:v>
      </s:c>
    </s:row>
    <s:row r="29" ht="24" customHeight="1">
      <s:c r="B29" s="10" t="inlineStr">
        <s:is>
          <s:t>Context coverage records</s:t>
        </s:is>
      </s:c>
      <s:c r="D29" s="11">
        <s:f>COUNTA('Context &amp; Constraints'!A6:A85)</s:f>
        <s:v>80</s:v>
      </s:c>
    </s:row>
    <s:row r="31" ht="24" customHeight="1">
      <s:c r="B31" s="9" t="inlineStr">
        <s:is>
          <s:t>READ THE WORKBOOK</s:t>
        </s:is>
      </s:c>
    </s:row>
    <s:row r="32" ht="22" customHeight="1">
      <s:c r="B32" s="12" t="inlineStr">
        <s:is>
          <s:t>Context &amp; Constraints</s:t>
        </s:is>
      </s:c>
      <s:c r="C32" t="inlineStr">
        <s:is>
          <s:t>80 records</s:t>
        </s:is>
      </s:c>
    </s:row>
    <s:row r="33" ht="22" customHeight="1">
      <s:c r="B33" s="12" t="inlineStr">
        <s:is>
          <s:t>Career Timeline</s:t>
        </s:is>
      </s:c>
      <s:c r="C33" t="inlineStr">
        <s:is>
          <s:t>44 records</s:t>
        </s:is>
      </s:c>
    </s:row>
    <s:row r="34" ht="22" customHeight="1">
      <s:c r="B34" s="12" t="inlineStr">
        <s:is>
          <s:t>Elections</s:t>
        </s:is>
      </s:c>
      <s:c r="C34" t="inlineStr">
        <s:is>
          <s:t>13 records</s:t>
        </s:is>
      </s:c>
    </s:row>
    <s:row r="35" ht="22" customHeight="1">
      <s:c r="B35" s="12" t="inlineStr">
        <s:is>
          <s:t>Offices &amp; Party</s:t>
        </s:is>
      </s:c>
      <s:c r="C35" t="inlineStr">
        <s:is>
          <s:t>13 records</s:t>
        </s:is>
      </s:c>
    </s:row>
    <s:row r="36" ht="22" customHeight="1">
      <s:c r="B36" s="12" t="inlineStr">
        <s:is>
          <s:t>Policy &amp; Governance</s:t>
        </s:is>
      </s:c>
      <s:c r="C36" t="inlineStr">
        <s:is>
          <s:t>35 records</s:t>
        </s:is>
      </s:c>
    </s:row>
    <s:row r="37" ht="22" customHeight="1">
      <s:c r="B37" s="12" t="inlineStr">
        <s:is>
          <s:t>Ideas &amp; Political Method</s:t>
        </s:is>
      </s:c>
      <s:c r="C37" t="inlineStr">
        <s:is>
          <s:t>12 records</s:t>
        </s:is>
      </s:c>
    </s:row>
    <s:row r="38" ht="22" customHeight="1">
      <s:c r="B38" s="12" t="inlineStr">
        <s:is>
          <s:t>Controversies</s:t>
        </s:is>
      </s:c>
      <s:c r="C38" t="inlineStr">
        <s:is>
          <s:t>12 records</s:t>
        </s:is>
      </s:c>
    </s:row>
    <s:row r="39" ht="22" customHeight="1">
      <s:c r="B39" s="12" t="inlineStr">
        <s:is>
          <s:t>Legacy &amp; Assessments</s:t>
        </s:is>
      </s:c>
      <s:c r="C39" t="inlineStr">
        <s:is>
          <s:t>10 records</s:t>
        </s:is>
      </s:c>
    </s:row>
    <s:row r="40" ht="22" customHeight="1">
      <s:c r="B40" s="12" t="inlineStr">
        <s:is>
          <s:t>Sources</s:t>
        </s:is>
      </s:c>
      <s:c r="C40" t="inlineStr">
        <s:is>
          <s:t>97 records</s:t>
        </s:is>
      </s:c>
    </s:row>
  </s:sheetData>
  <s:autoFilter ref="A5:G21"/>
  <s:mergeCells count="9">
    <s:mergeCell ref="A2:F2"/>
    <s:mergeCell ref="B29:C29"/>
    <s:mergeCell ref="B25:C25"/>
    <s:mergeCell ref="B31:D31"/>
    <s:mergeCell ref="A1:F1"/>
    <s:mergeCell ref="B28:C28"/>
    <s:mergeCell ref="B26:C26"/>
    <s:mergeCell ref="B27:C27"/>
    <s:mergeCell ref="A24:C24"/>
  </s:mergeCells>
  <s:hyperlinks>
    <s:hyperlink ref="A3" r:id="rId1"/>
    <s:hyperlink ref="E6" r:id="rId2"/>
    <s:hyperlink ref="E7" r:id="rId3"/>
    <s:hyperlink ref="E8" r:id="rId4"/>
    <s:hyperlink ref="E9" r:id="rId5"/>
    <s:hyperlink ref="E10" r:id="rId6"/>
    <s:hyperlink ref="E11" r:id="rId7"/>
    <s:hyperlink ref="E12" r:id="rId8"/>
    <s:hyperlink ref="E13" r:id="rId9"/>
    <s:hyperlink ref="E14" r:id="rId10"/>
    <s:hyperlink ref="E15" r:id="rId11"/>
    <s:hyperlink ref="E16" r:id="rId12"/>
    <s:hyperlink ref="E17" r:id="rId13"/>
    <s:hyperlink ref="E18" r:id="rId14"/>
    <s:hyperlink ref="E19" r:id="rId15"/>
    <s:hyperlink ref="E20" r:id="rId16"/>
    <s:hyperlink ref="E21" r:id="rId17"/>
    <s:hyperlink ref="B32" r:id="rId18"/>
    <s:hyperlink ref="B33" r:id="rId19"/>
    <s:hyperlink ref="B34" r:id="rId20"/>
    <s:hyperlink ref="B35" r:id="rId21"/>
    <s:hyperlink ref="B36" r:id="rId22"/>
    <s:hyperlink ref="B37" r:id="rId23"/>
    <s:hyperlink ref="B38" r:id="rId24"/>
    <s:hyperlink ref="B39" r:id="rId25"/>
    <s:hyperlink ref="B40" r:id="rId26"/>
  </s:hyperlinks>
  <s:printOptions horizontalCentered="0"/>
  <s:pageMargins left="0.75" right="0.75" top="1" bottom="1" header="0.5" footer="0.5"/>
  <s:pageSetup orientation="landscape" paperSize="8" fitToHeight="0" fitToWidth="2"/>
  <s:headerFooter>
    <s:oddHeader/>
    <s:oddFooter>&amp;C&amp;8 Narendra Modi research | 24 Sep 2026 | Page &amp;P of &amp;N</s:oddFooter>
    <s:evenHeader/>
    <s:evenFooter/>
    <s:firstHeader/>
    <s:firstFooter/>
  </s:headerFooter>
  <s:tableParts count="1">
    <s:tablePart r:id="rId27"/>
  </s:tableParts>
</s:worksheet>
</file>

<file path=xl/worksheets/sheet2.xml><?xml version="1.0" encoding="utf-8"?>
<s:worksheet xmlns:r="http://schemas.openxmlformats.org/officeDocument/2006/relationships" xmlns:s="http://schemas.openxmlformats.org/spreadsheetml/2006/main">
  <s:sheetPr>
    <s:tabColor rgb="0017324D"/>
    <s:outlinePr summaryBelow="1" summaryRight="0"/>
    <s:pageSetUpPr fitToPage="1"/>
  </s:sheetPr>
  <s:dimension ref="A1:N85"/>
  <s:sheetViews>
    <s:sheetView showGridLines="0" zoomScale="85" workbookViewId="0">
      <s:pane xSplit="2" ySplit="5" topLeftCell="C6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13" customWidth="1" min="1" max="1"/>
    <s:col width="16" customWidth="1" min="2" max="2"/>
    <s:col width="29" customWidth="1" min="3" max="3"/>
    <s:col width="29" customWidth="1" min="4" max="4"/>
    <s:col width="29" customWidth="1" min="5" max="5"/>
    <s:col width="48" customWidth="1" min="6" max="6"/>
    <s:col width="67" customWidth="1" min="7" max="7"/>
    <s:col width="29" customWidth="1" min="8" max="8"/>
    <s:col width="29" customWidth="1" min="9" max="9"/>
    <s:col width="48" customWidth="1" min="10" max="10"/>
    <s:col width="29" customWidth="1" min="11" max="11"/>
    <s:col width="29" customWidth="1" min="12" max="12"/>
    <s:col width="22" customWidth="1" min="13" max="13"/>
    <s:col width="48" customWidth="1" min="14" max="14"/>
  </s:cols>
  <s:sheetData>
    <s:row r="1" ht="36" customHeight="1">
      <s:c r="A1" s="1" t="inlineStr">
        <s:is>
          <s:t>NARENDRA MODI  |  CONTEXT &amp; CONSTRAINTS</s:t>
        </s:is>
      </s:c>
    </s:row>
    <s:row r="2" ht="24" customHeight="1">
      <s:c r="A2" s="2" t="inlineStr">
        <s:is>
          <s:t>As of 24 Sep 2026  •  Source IDs link to the source register  •  Scroll right for evidence notes</s:t>
        </s:is>
      </s:c>
    </s:row>
    <s:row r="3">
      <s:c r="A3" s="3" t="inlineStr">
        <s:is>
          <s:t>CONTENTS</s:t>
        </s:is>
      </s:c>
    </s:row>
    <s:row r="5" ht="34" customHeight="1">
      <s:c r="A5" s="4" t="inlineStr">
        <s:is>
          <s:t>Context ID</s:t>
        </s:is>
      </s:c>
      <s:c r="B5" s="4" t="inlineStr">
        <s:is>
          <s:t>Career phase</s:t>
        </s:is>
      </s:c>
      <s:c r="C5" s="4" t="inlineStr">
        <s:is>
          <s:t>Period</s:t>
        </s:is>
      </s:c>
      <s:c r="D5" s="4" t="inlineStr">
        <s:is>
          <s:t>Coverage dimension</s:t>
        </s:is>
      </s:c>
      <s:c r="E5" s="4" t="inlineStr">
        <s:is>
          <s:t>Coverage item</s:t>
        </s:is>
      </s:c>
      <s:c r="F5" s="4" t="inlineStr">
        <s:is>
          <s:t>Research disposition</s:t>
        </s:is>
      </s:c>
      <s:c r="G5" s="4" t="inlineStr">
        <s:is>
          <s:t>Finding</s:t>
        </s:is>
      </s:c>
      <s:c r="H5" s="4" t="inlineStr">
        <s:is>
          <s:t>Contemporary comparison group</s:t>
        </s:is>
      </s:c>
      <s:c r="I5" s="4" t="inlineStr">
        <s:is>
          <s:t>Presentism caution</s:t>
        </s:is>
      </s:c>
      <s:c r="J5" s="4" t="inlineStr">
        <s:is>
          <s:t>Evidence limitation</s:t>
        </s:is>
      </s:c>
      <s:c r="K5" s="4" t="inlineStr">
        <s:is>
          <s:t>Claim type</s:t>
        </s:is>
      </s:c>
      <s:c r="L5" s="4" t="inlineStr">
        <s:is>
          <s:t>Corroboration</s:t>
        </s:is>
      </s:c>
      <s:c r="M5" s="4" t="inlineStr">
        <s:is>
          <s:t>Source IDs</s:t>
        </s:is>
      </s:c>
      <s:c r="N5" s="4" t="inlineStr">
        <s:is>
          <s:t>Research note</s:t>
        </s:is>
      </s:c>
    </s:row>
    <s:row r="6" ht="80" customHeight="1">
      <s:c r="A6" s="5" t="inlineStr">
        <s:is>
          <s:t>P1-E01</s:t>
        </s:is>
      </s:c>
      <s:c r="B6" s="5" t="inlineStr">
        <s:is>
          <s:t>P1</s:t>
        </s:is>
      </s:c>
      <s:c r="C6" s="5" t="inlineStr">
        <s:is>
          <s:t>1972–2001</s:t>
        </s:is>
      </s:c>
      <s:c r="D6" s="5" t="inlineStr">
        <s:is>
          <s:t>Era</s:t>
        </s:is>
      </s:c>
      <s:c r="E6" s="5" t="inlineStr">
        <s:is>
          <s:t>Party system</s:t>
        </s:is>
      </s:c>
      <s:c r="F6" s="5" t="inlineStr">
        <s:is>
          <s:t>Material finding</s:t>
        </s:is>
      </s:c>
      <s:c r="G6" s="5" t="inlineStr">
        <s:is>
          <s:t>Congress competition and BJP expansion shaped an organizational career before executive office.</s:t>
        </s:is>
      </s:c>
      <s:c r="H6" s="5" t="inlineStr">
        <s:is>
          <s:t>RSS/BJP organizers and contemporary party secretaries</s:t>
        </s:is>
      </s:c>
      <s:c r="I6" s="5" t="inlineStr">
        <s:is>
          <s:t>Use contemporaneous institutions and alternatives; later concepts do not excuse earlier conduct.</s:t>
        </s:is>
      </s:c>
      <s:c r="J6" s="5" t="inlineStr">
        <s:is>
          <s:t>Retrospective official accounts; independent early-life documentation is limited.</s:t>
        </s:is>
      </s:c>
      <s:c r="K6" s="5" t="inlineStr">
        <s:is>
          <s:t>Analysis</s:t>
        </s:is>
      </s:c>
      <s:c r="L6" s="5" t="inlineStr">
        <s:is>
          <s:t>Interested source only</s:t>
        </s:is>
      </s:c>
      <s:c r="M6" s="6" t="inlineStr">
        <s:is>
          <s:t>S002</s:t>
        </s:is>
      </s:c>
      <s:c r="N6" s="5" t="inlineStr">
        <s:is>
          <s:t>Interpret alongside the named phase and source limitations.</s:t>
        </s:is>
      </s:c>
    </s:row>
    <s:row r="7" ht="80" customHeight="1">
      <s:c r="A7" s="7" t="inlineStr">
        <s:is>
          <s:t>P1-E02</s:t>
        </s:is>
      </s:c>
      <s:c r="B7" s="7" t="inlineStr">
        <s:is>
          <s:t>P1</s:t>
        </s:is>
      </s:c>
      <s:c r="C7" s="7" t="inlineStr">
        <s:is>
          <s:t>1972–2001</s:t>
        </s:is>
      </s:c>
      <s:c r="D7" s="7" t="inlineStr">
        <s:is>
          <s:t>Era</s:t>
        </s:is>
      </s:c>
      <s:c r="E7" s="7" t="inlineStr">
        <s:is>
          <s:t>Constitutional and institutional environment</s:t>
        </s:is>
      </s:c>
      <s:c r="F7" s="13" t="inlineStr">
        <s:is>
          <s:t>Research limitation</s:t>
        </s:is>
      </s:c>
      <s:c r="G7" s="7" t="inlineStr">
        <s:is>
          <s:t>Official biography places activism during the Emergency; independent verification of his precise activities remains limited.</s:t>
        </s:is>
      </s:c>
      <s:c r="H7" s="7" t="inlineStr">
        <s:is>
          <s:t>RSS/BJP organizers and contemporary party secretaries</s:t>
        </s:is>
      </s:c>
      <s:c r="I7" s="7" t="inlineStr">
        <s:is>
          <s:t>Use contemporaneous institutions and alternatives; later concepts do not excuse earlier conduct.</s:t>
        </s:is>
      </s:c>
      <s:c r="J7" s="7" t="inlineStr">
        <s:is>
          <s:t>Retrospective official accounts; independent early-life documentation is limited.</s:t>
        </s:is>
      </s:c>
      <s:c r="K7" s="7" t="inlineStr">
        <s:is>
          <s:t>Disputed/uncertain</s:t>
        </s:is>
      </s:c>
      <s:c r="L7" s="7" t="inlineStr">
        <s:is>
          <s:t>Unresolved</s:t>
        </s:is>
      </s:c>
      <s:c r="M7" s="8" t="inlineStr">
        <s:is>
          <s:t>S002</s:t>
        </s:is>
      </s:c>
      <s:c r="N7" s="7" t="inlineStr">
        <s:is>
          <s:t>Gap rows cite the record reviewed, not proof of absence.</s:t>
        </s:is>
      </s:c>
    </s:row>
    <s:row r="8" ht="80" customHeight="1">
      <s:c r="A8" s="5" t="inlineStr">
        <s:is>
          <s:t>P1-E03</s:t>
        </s:is>
      </s:c>
      <s:c r="B8" s="5" t="inlineStr">
        <s:is>
          <s:t>P1</s:t>
        </s:is>
      </s:c>
      <s:c r="C8" s="5" t="inlineStr">
        <s:is>
          <s:t>1972–2001</s:t>
        </s:is>
      </s:c>
      <s:c r="D8" s="5" t="inlineStr">
        <s:is>
          <s:t>Era</s:t>
        </s:is>
      </s:c>
      <s:c r="E8" s="5" t="inlineStr">
        <s:is>
          <s:t>Electoral environment</s:t>
        </s:is>
      </s:c>
      <s:c r="F8" s="5" t="inlineStr">
        <s:is>
          <s:t>Material finding</s:t>
        </s:is>
      </s:c>
      <s:c r="G8" s="5" t="inlineStr">
        <s:is>
          <s:t>Party appointments preceded the first documented personal contest in Rajkot II in 2002.</s:t>
        </s:is>
      </s:c>
      <s:c r="H8" s="5" t="inlineStr">
        <s:is>
          <s:t>RSS/BJP organizers and contemporary party secretaries</s:t>
        </s:is>
      </s:c>
      <s:c r="I8" s="5" t="inlineStr">
        <s:is>
          <s:t>Use contemporaneous institutions and alternatives; later concepts do not excuse earlier conduct.</s:t>
        </s:is>
      </s:c>
      <s:c r="J8" s="5" t="inlineStr">
        <s:is>
          <s:t>Retrospective official accounts; independent early-life documentation is limited.</s:t>
        </s:is>
      </s:c>
      <s:c r="K8" s="5" t="inlineStr">
        <s:is>
          <s:t>Analysis</s:t>
        </s:is>
      </s:c>
      <s:c r="L8" s="5" t="inlineStr">
        <s:is>
          <s:t>Single credible source</s:t>
        </s:is>
      </s:c>
      <s:c r="M8" s="6" t="inlineStr">
        <s:is>
          <s:t>S004</s:t>
        </s:is>
      </s:c>
      <s:c r="N8" s="5" t="inlineStr">
        <s:is>
          <s:t>Interpret alongside the named phase and source limitations.</s:t>
        </s:is>
      </s:c>
    </s:row>
    <s:row r="9" ht="80" customHeight="1">
      <s:c r="A9" s="7" t="inlineStr">
        <s:is>
          <s:t>P1-E04</s:t>
        </s:is>
      </s:c>
      <s:c r="B9" s="7" t="inlineStr">
        <s:is>
          <s:t>P1</s:t>
        </s:is>
      </s:c>
      <s:c r="C9" s="7" t="inlineStr">
        <s:is>
          <s:t>1972–2001</s:t>
        </s:is>
      </s:c>
      <s:c r="D9" s="7" t="inlineStr">
        <s:is>
          <s:t>Era</s:t>
        </s:is>
      </s:c>
      <s:c r="E9" s="7" t="inlineStr">
        <s:is>
          <s:t>Economic regime</s:t>
        </s:is>
      </s:c>
      <s:c r="F9" s="7" t="inlineStr">
        <s:is>
          <s:t>Material finding</s:t>
        </s:is>
      </s:c>
      <s:c r="G9" s="7" t="inlineStr">
        <s:is>
          <s:t>The 1991 balance-of-payments crisis accelerated liberalization; Modi held organizational, not Union economic-policy, responsibility.</s:t>
        </s:is>
      </s:c>
      <s:c r="H9" s="7" t="inlineStr">
        <s:is>
          <s:t>RSS/BJP organizers and contemporary party secretaries</s:t>
        </s:is>
      </s:c>
      <s:c r="I9" s="7" t="inlineStr">
        <s:is>
          <s:t>Use contemporaneous institutions and alternatives; later concepts do not excuse earlier conduct.</s:t>
        </s:is>
      </s:c>
      <s:c r="J9" s="7" t="inlineStr">
        <s:is>
          <s:t>Retrospective official accounts; independent early-life documentation is limited.</s:t>
        </s:is>
      </s:c>
      <s:c r="K9" s="7" t="inlineStr">
        <s:is>
          <s:t>Analysis</s:t>
        </s:is>
      </s:c>
      <s:c r="L9" s="7" t="inlineStr">
        <s:is>
          <s:t>Single credible source</s:t>
        </s:is>
      </s:c>
      <s:c r="M9" s="8" t="inlineStr">
        <s:is>
          <s:t>S089</s:t>
        </s:is>
      </s:c>
      <s:c r="N9" s="7" t="inlineStr">
        <s:is>
          <s:t>Interpret alongside the named phase and source limitations.</s:t>
        </s:is>
      </s:c>
    </s:row>
    <s:row r="10" ht="80" customHeight="1">
      <s:c r="A10" s="5" t="inlineStr">
        <s:is>
          <s:t>P1-E05</s:t>
        </s:is>
      </s:c>
      <s:c r="B10" s="5" t="inlineStr">
        <s:is>
          <s:t>P1</s:t>
        </s:is>
      </s:c>
      <s:c r="C10" s="5" t="inlineStr">
        <s:is>
          <s:t>1972–2001</s:t>
        </s:is>
      </s:c>
      <s:c r="D10" s="5" t="inlineStr">
        <s:is>
          <s:t>Era</s:t>
        </s:is>
      </s:c>
      <s:c r="E10" s="5" t="inlineStr">
        <s:is>
          <s:t>International system</s:t>
        </s:is>
      </s:c>
      <s:c r="F10" s="5" t="inlineStr">
        <s:is>
          <s:t>Material finding</s:t>
        </s:is>
      </s:c>
      <s:c r="G10" s="5" t="inlineStr">
        <s:is>
          <s:t>The Gulf War and Soviet collapse formed part of the changing international economic setting around India’s 1991 crisis.</s:t>
        </s:is>
      </s:c>
      <s:c r="H10" s="5" t="inlineStr">
        <s:is>
          <s:t>RSS/BJP organizers and contemporary party secretaries</s:t>
        </s:is>
      </s:c>
      <s:c r="I10" s="5" t="inlineStr">
        <s:is>
          <s:t>Use contemporaneous institutions and alternatives; later concepts do not excuse earlier conduct.</s:t>
        </s:is>
      </s:c>
      <s:c r="J10" s="5" t="inlineStr">
        <s:is>
          <s:t>Retrospective official accounts; independent early-life documentation is limited.</s:t>
        </s:is>
      </s:c>
      <s:c r="K10" s="5" t="inlineStr">
        <s:is>
          <s:t>Analysis</s:t>
        </s:is>
      </s:c>
      <s:c r="L10" s="5" t="inlineStr">
        <s:is>
          <s:t>Single credible source</s:t>
        </s:is>
      </s:c>
      <s:c r="M10" s="6" t="inlineStr">
        <s:is>
          <s:t>S090</s:t>
        </s:is>
      </s:c>
      <s:c r="N10" s="5" t="inlineStr">
        <s:is>
          <s:t>Interpret alongside the named phase and source limitations.</s:t>
        </s:is>
      </s:c>
    </s:row>
    <s:row r="11" ht="80" customHeight="1">
      <s:c r="A11" s="7" t="inlineStr">
        <s:is>
          <s:t>P1-E06</s:t>
        </s:is>
      </s:c>
      <s:c r="B11" s="7" t="inlineStr">
        <s:is>
          <s:t>P1</s:t>
        </s:is>
      </s:c>
      <s:c r="C11" s="7" t="inlineStr">
        <s:is>
          <s:t>1972–2001</s:t>
        </s:is>
      </s:c>
      <s:c r="D11" s="7" t="inlineStr">
        <s:is>
          <s:t>Era</s:t>
        </s:is>
      </s:c>
      <s:c r="E11" s="7" t="inlineStr">
        <s:is>
          <s:t>Media and campaign environment</s:t>
        </s:is>
      </s:c>
      <s:c r="F11" s="13" t="inlineStr">
        <s:is>
          <s:t>Evidence not found</s:t>
        </s:is>
      </s:c>
      <s:c r="G11" s="7" t="inlineStr">
        <s:is>
          <s:t>Early campaign-media practice is sparsely documented in the consulted biography.</s:t>
        </s:is>
      </s:c>
      <s:c r="H11" s="7" t="inlineStr">
        <s:is>
          <s:t>RSS/BJP organizers and contemporary party secretaries</s:t>
        </s:is>
      </s:c>
      <s:c r="I11" s="7" t="inlineStr">
        <s:is>
          <s:t>Use contemporaneous institutions and alternatives; later concepts do not excuse earlier conduct.</s:t>
        </s:is>
      </s:c>
      <s:c r="J11" s="7" t="inlineStr">
        <s:is>
          <s:t>Retrospective official accounts; independent early-life documentation is limited.</s:t>
        </s:is>
      </s:c>
      <s:c r="K11" s="7" t="inlineStr">
        <s:is>
          <s:t>Disputed/uncertain</s:t>
        </s:is>
      </s:c>
      <s:c r="L11" s="7" t="inlineStr">
        <s:is>
          <s:t>Unresolved</s:t>
        </s:is>
      </s:c>
      <s:c r="M11" s="8" t="inlineStr">
        <s:is>
          <s:t>S002</s:t>
        </s:is>
      </s:c>
      <s:c r="N11" s="7" t="inlineStr">
        <s:is>
          <s:t>Gap rows cite the record reviewed, not proof of absence.</s:t>
        </s:is>
      </s:c>
    </s:row>
    <s:row r="12" ht="80" customHeight="1">
      <s:c r="A12" s="5" t="inlineStr">
        <s:is>
          <s:t>P1-E07</s:t>
        </s:is>
      </s:c>
      <s:c r="B12" s="5" t="inlineStr">
        <s:is>
          <s:t>P1</s:t>
        </s:is>
      </s:c>
      <s:c r="C12" s="5" t="inlineStr">
        <s:is>
          <s:t>1972–2001</s:t>
        </s:is>
      </s:c>
      <s:c r="D12" s="5" t="inlineStr">
        <s:is>
          <s:t>Era</s:t>
        </s:is>
      </s:c>
      <s:c r="E12" s="5" t="inlineStr">
        <s:is>
          <s:t>Political organization</s:t>
        </s:is>
      </s:c>
      <s:c r="F12" s="5" t="inlineStr">
        <s:is>
          <s:t>Material finding</s:t>
        </s:is>
      </s:c>
      <s:c r="G12" s="5" t="inlineStr">
        <s:is>
          <s:t>Pracharak and party-secretary positions supplied an organizational route to political leadership.</s:t>
        </s:is>
      </s:c>
      <s:c r="H12" s="5" t="inlineStr">
        <s:is>
          <s:t>RSS/BJP organizers and contemporary party secretaries</s:t>
        </s:is>
      </s:c>
      <s:c r="I12" s="5" t="inlineStr">
        <s:is>
          <s:t>Use contemporaneous institutions and alternatives; later concepts do not excuse earlier conduct.</s:t>
        </s:is>
      </s:c>
      <s:c r="J12" s="5" t="inlineStr">
        <s:is>
          <s:t>Retrospective official accounts; independent early-life documentation is limited.</s:t>
        </s:is>
      </s:c>
      <s:c r="K12" s="5" t="inlineStr">
        <s:is>
          <s:t>Analysis</s:t>
        </s:is>
      </s:c>
      <s:c r="L12" s="5" t="inlineStr">
        <s:is>
          <s:t>Interested source only</s:t>
        </s:is>
      </s:c>
      <s:c r="M12" s="6" t="inlineStr">
        <s:is>
          <s:t>S002</s:t>
        </s:is>
      </s:c>
      <s:c r="N12" s="5" t="inlineStr">
        <s:is>
          <s:t>Interpret alongside the named phase and source limitations.</s:t>
        </s:is>
      </s:c>
    </s:row>
    <s:row r="13" ht="80" customHeight="1">
      <s:c r="A13" s="7" t="inlineStr">
        <s:is>
          <s:t>P1-E08</s:t>
        </s:is>
      </s:c>
      <s:c r="B13" s="7" t="inlineStr">
        <s:is>
          <s:t>P1</s:t>
        </s:is>
      </s:c>
      <s:c r="C13" s="7" t="inlineStr">
        <s:is>
          <s:t>1972–2001</s:t>
        </s:is>
      </s:c>
      <s:c r="D13" s="7" t="inlineStr">
        <s:is>
          <s:t>Era</s:t>
        </s:is>
      </s:c>
      <s:c r="E13" s="7" t="inlineStr">
        <s:is>
          <s:t>Social environment</s:t>
        </s:is>
      </s:c>
      <s:c r="F13" s="13" t="inlineStr">
        <s:is>
          <s:t>Research limitation</s:t>
        </s:is>
      </s:c>
      <s:c r="G13" s="7" t="inlineStr">
        <s:is>
          <s:t>Official self-description emphasizes modest origins; independent reconstruction of their political effect is limited.</s:t>
        </s:is>
      </s:c>
      <s:c r="H13" s="7" t="inlineStr">
        <s:is>
          <s:t>RSS/BJP organizers and contemporary party secretaries</s:t>
        </s:is>
      </s:c>
      <s:c r="I13" s="7" t="inlineStr">
        <s:is>
          <s:t>Use contemporaneous institutions and alternatives; later concepts do not excuse earlier conduct.</s:t>
        </s:is>
      </s:c>
      <s:c r="J13" s="7" t="inlineStr">
        <s:is>
          <s:t>Retrospective official accounts; independent early-life documentation is limited.</s:t>
        </s:is>
      </s:c>
      <s:c r="K13" s="7" t="inlineStr">
        <s:is>
          <s:t>Disputed/uncertain</s:t>
        </s:is>
      </s:c>
      <s:c r="L13" s="7" t="inlineStr">
        <s:is>
          <s:t>Unresolved</s:t>
        </s:is>
      </s:c>
      <s:c r="M13" s="8" t="inlineStr">
        <s:is>
          <s:t>S001</s:t>
        </s:is>
      </s:c>
      <s:c r="N13" s="7" t="inlineStr">
        <s:is>
          <s:t>Gap rows cite the record reviewed, not proof of absence.</s:t>
        </s:is>
      </s:c>
    </s:row>
    <s:row r="14" ht="80" customHeight="1">
      <s:c r="A14" s="5" t="inlineStr">
        <s:is>
          <s:t>P1-E09</s:t>
        </s:is>
      </s:c>
      <s:c r="B14" s="5" t="inlineStr">
        <s:is>
          <s:t>P1</s:t>
        </s:is>
      </s:c>
      <s:c r="C14" s="5" t="inlineStr">
        <s:is>
          <s:t>1972–2001</s:t>
        </s:is>
      </s:c>
      <s:c r="D14" s="5" t="inlineStr">
        <s:is>
          <s:t>Era</s:t>
        </s:is>
      </s:c>
      <s:c r="E14" s="5" t="inlineStr">
        <s:is>
          <s:t>State structure and political geography</s:t>
        </s:is>
      </s:c>
      <s:c r="F14" s="5" t="inlineStr">
        <s:is>
          <s:t>Material finding</s:t>
        </s:is>
      </s:c>
      <s:c r="G14" s="5" t="inlineStr">
        <s:is>
          <s:t>By the late 1990s, Vajpayee led an NDA coalition at the Centre; Modi worked in party organization.</s:t>
        </s:is>
      </s:c>
      <s:c r="H14" s="5" t="inlineStr">
        <s:is>
          <s:t>RSS/BJP organizers and contemporary party secretaries</s:t>
        </s:is>
      </s:c>
      <s:c r="I14" s="5" t="inlineStr">
        <s:is>
          <s:t>Use contemporaneous institutions and alternatives; later concepts do not excuse earlier conduct.</s:t>
        </s:is>
      </s:c>
      <s:c r="J14" s="5" t="inlineStr">
        <s:is>
          <s:t>Retrospective official accounts; independent early-life documentation is limited.</s:t>
        </s:is>
      </s:c>
      <s:c r="K14" s="5" t="inlineStr">
        <s:is>
          <s:t>Analysis</s:t>
        </s:is>
      </s:c>
      <s:c r="L14" s="5" t="inlineStr">
        <s:is>
          <s:t>Single credible source</s:t>
        </s:is>
      </s:c>
      <s:c r="M14" s="6" t="inlineStr">
        <s:is>
          <s:t>S091</s:t>
        </s:is>
      </s:c>
      <s:c r="N14" s="5" t="inlineStr">
        <s:is>
          <s:t>Interpret alongside the named phase and source limitations.</s:t>
        </s:is>
      </s:c>
    </s:row>
    <s:row r="15" ht="80" customHeight="1">
      <s:c r="A15" s="7" t="inlineStr">
        <s:is>
          <s:t>P1-E10</s:t>
        </s:is>
      </s:c>
      <s:c r="B15" s="7" t="inlineStr">
        <s:is>
          <s:t>P1</s:t>
        </s:is>
      </s:c>
      <s:c r="C15" s="7" t="inlineStr">
        <s:is>
          <s:t>1972–2001</s:t>
        </s:is>
      </s:c>
      <s:c r="D15" s="7" t="inlineStr">
        <s:is>
          <s:t>Era</s:t>
        </s:is>
      </s:c>
      <s:c r="E15" s="7" t="inlineStr">
        <s:is>
          <s:t>Evidence environment</s:t>
        </s:is>
      </s:c>
      <s:c r="F15" s="13" t="inlineStr">
        <s:is>
          <s:t>Research limitation</s:t>
        </s:is>
      </s:c>
      <s:c r="G15" s="7" t="inlineStr">
        <s:is>
          <s:t>The principal early source is a retrospective official narrative, requiring attribution and date caution.</s:t>
        </s:is>
      </s:c>
      <s:c r="H15" s="7" t="inlineStr">
        <s:is>
          <s:t>RSS/BJP organizers and contemporary party secretaries</s:t>
        </s:is>
      </s:c>
      <s:c r="I15" s="7" t="inlineStr">
        <s:is>
          <s:t>Use contemporaneous institutions and alternatives; later concepts do not excuse earlier conduct.</s:t>
        </s:is>
      </s:c>
      <s:c r="J15" s="7" t="inlineStr">
        <s:is>
          <s:t>Retrospective official accounts; independent early-life documentation is limited.</s:t>
        </s:is>
      </s:c>
      <s:c r="K15" s="7" t="inlineStr">
        <s:is>
          <s:t>Disputed/uncertain</s:t>
        </s:is>
      </s:c>
      <s:c r="L15" s="7" t="inlineStr">
        <s:is>
          <s:t>Unresolved</s:t>
        </s:is>
      </s:c>
      <s:c r="M15" s="8" t="inlineStr">
        <s:is>
          <s:t>S002</s:t>
        </s:is>
      </s:c>
      <s:c r="N15" s="7" t="inlineStr">
        <s:is>
          <s:t>Gap rows cite the record reviewed, not proof of absence.</s:t>
        </s:is>
      </s:c>
    </s:row>
    <s:row r="16" ht="80" customHeight="1">
      <s:c r="A16" s="5" t="inlineStr">
        <s:is>
          <s:t>P1-G01</s:t>
        </s:is>
      </s:c>
      <s:c r="B16" s="5" t="inlineStr">
        <s:is>
          <s:t>P1</s:t>
        </s:is>
      </s:c>
      <s:c r="C16" s="5" t="inlineStr">
        <s:is>
          <s:t>1972–2001</s:t>
        </s:is>
      </s:c>
      <s:c r="D16" s="5" t="inlineStr">
        <s:is>
          <s:t>Gender</s:t>
        </s:is>
      </s:c>
      <s:c r="E16" s="5" t="inlineStr">
        <s:is>
          <s:t>Entry and advancement</s:t>
        </s:is>
      </s:c>
      <s:c r="F16" s="5" t="inlineStr">
        <s:is>
          <s:t>Material finding</s:t>
        </s:is>
      </s:c>
      <s:c r="G16" s="5" t="inlineStr">
        <s:is>
          <s:t>RSS describes a separate women’s organizational route; this gives gender context to Modi’s RSS pathway, not proof of individual selection motives.</s:t>
        </s:is>
      </s:c>
      <s:c r="H16" s="5" t="inlineStr">
        <s:is>
          <s:t>RSS/BJP organizers and contemporary party secretaries</s:t>
        </s:is>
      </s:c>
      <s:c r="I16" s="5" t="inlineStr">
        <s:is>
          <s:t>Use contemporaneous institutions and alternatives; later concepts do not excuse earlier conduct.</s:t>
        </s:is>
      </s:c>
      <s:c r="J16" s="5" t="inlineStr">
        <s:is>
          <s:t>Retrospective official accounts; independent early-life documentation is limited.</s:t>
        </s:is>
      </s:c>
      <s:c r="K16" s="5" t="inlineStr">
        <s:is>
          <s:t>Analysis</s:t>
        </s:is>
      </s:c>
      <s:c r="L16" s="5" t="inlineStr">
        <s:is>
          <s:t>Single credible source</s:t>
        </s:is>
      </s:c>
      <s:c r="M16" s="6" t="inlineStr">
        <s:is>
          <s:t>S088</s:t>
        </s:is>
      </s:c>
      <s:c r="N16" s="5" t="inlineStr">
        <s:is>
          <s:t>Interpret alongside the named phase and source limitations.</s:t>
        </s:is>
      </s:c>
    </s:row>
    <s:row r="17" ht="80" customHeight="1">
      <s:c r="A17" s="7" t="inlineStr">
        <s:is>
          <s:t>P1-G02</s:t>
        </s:is>
      </s:c>
      <s:c r="B17" s="7" t="inlineStr">
        <s:is>
          <s:t>P1</s:t>
        </s:is>
      </s:c>
      <s:c r="C17" s="7" t="inlineStr">
        <s:is>
          <s:t>1972–2001</s:t>
        </s:is>
      </s:c>
      <s:c r="D17" s="7" t="inlineStr">
        <s:is>
          <s:t>Gender</s:t>
        </s:is>
      </s:c>
      <s:c r="E17" s="7" t="inlineStr">
        <s:is>
          <s:t>Milestones</s:t>
        </s:is>
      </s:c>
      <s:c r="F17" s="7" t="inlineStr">
        <s:is>
          <s:t>Not materially relevant</s:t>
        </s:is>
      </s:c>
      <s:c r="G17" s="7" t="inlineStr">
        <s:is>
          <s:t>No gender-related first is identified for these organizational posts.</s:t>
        </s:is>
      </s:c>
      <s:c r="H17" s="7" t="inlineStr">
        <s:is>
          <s:t>RSS/BJP organizers and contemporary party secretaries</s:t>
        </s:is>
      </s:c>
      <s:c r="I17" s="7" t="inlineStr">
        <s:is>
          <s:t>Use contemporaneous institutions and alternatives; later concepts do not excuse earlier conduct.</s:t>
        </s:is>
      </s:c>
      <s:c r="J17" s="7" t="inlineStr">
        <s:is>
          <s:t>Retrospective official accounts; independent early-life documentation is limited.</s:t>
        </s:is>
      </s:c>
      <s:c r="K17" s="7" t="inlineStr">
        <s:is>
          <s:t>Disputed/uncertain</s:t>
        </s:is>
      </s:c>
      <s:c r="L17" s="7" t="inlineStr">
        <s:is>
          <s:t>Interested source only</s:t>
        </s:is>
      </s:c>
      <s:c r="M17" s="8" t="inlineStr">
        <s:is>
          <s:t>S002</s:t>
        </s:is>
      </s:c>
      <s:c r="N17" s="7" t="inlineStr">
        <s:is>
          <s:t>Interpret alongside the named phase and source limitations.</s:t>
        </s:is>
      </s:c>
    </s:row>
    <s:row r="18" ht="80" customHeight="1">
      <s:c r="A18" s="5" t="inlineStr">
        <s:is>
          <s:t>P1-G03</s:t>
        </s:is>
      </s:c>
      <s:c r="B18" s="5" t="inlineStr">
        <s:is>
          <s:t>P1</s:t>
        </s:is>
      </s:c>
      <s:c r="C18" s="5" t="inlineStr">
        <s:is>
          <s:t>1972–2001</s:t>
        </s:is>
      </s:c>
      <s:c r="D18" s="5" t="inlineStr">
        <s:is>
          <s:t>Gender</s:t>
        </s:is>
      </s:c>
      <s:c r="E18" s="5" t="inlineStr">
        <s:is>
          <s:t>Networks and pathways</s:t>
        </s:is>
      </s:c>
      <s:c r="F18" s="5" t="inlineStr">
        <s:is>
          <s:t>Material finding</s:t>
        </s:is>
      </s:c>
      <s:c r="G18" s="5" t="inlineStr">
        <s:is>
          <s:t>The documented route is organizational service; no family succession mechanism is established.</s:t>
        </s:is>
      </s:c>
      <s:c r="H18" s="5" t="inlineStr">
        <s:is>
          <s:t>RSS/BJP organizers and contemporary party secretaries</s:t>
        </s:is>
      </s:c>
      <s:c r="I18" s="5" t="inlineStr">
        <s:is>
          <s:t>Use contemporaneous institutions and alternatives; later concepts do not excuse earlier conduct.</s:t>
        </s:is>
      </s:c>
      <s:c r="J18" s="5" t="inlineStr">
        <s:is>
          <s:t>Retrospective official accounts; independent early-life documentation is limited.</s:t>
        </s:is>
      </s:c>
      <s:c r="K18" s="5" t="inlineStr">
        <s:is>
          <s:t>Analysis</s:t>
        </s:is>
      </s:c>
      <s:c r="L18" s="5" t="inlineStr">
        <s:is>
          <s:t>Interested source only</s:t>
        </s:is>
      </s:c>
      <s:c r="M18" s="6" t="inlineStr">
        <s:is>
          <s:t>S002</s:t>
        </s:is>
      </s:c>
      <s:c r="N18" s="5" t="inlineStr">
        <s:is>
          <s:t>Interpret alongside the named phase and source limitations.</s:t>
        </s:is>
      </s:c>
    </s:row>
    <s:row r="19" ht="80" customHeight="1">
      <s:c r="A19" s="7" t="inlineStr">
        <s:is>
          <s:t>P1-G04</s:t>
        </s:is>
      </s:c>
      <s:c r="B19" s="7" t="inlineStr">
        <s:is>
          <s:t>P1</s:t>
        </s:is>
      </s:c>
      <s:c r="C19" s="7" t="inlineStr">
        <s:is>
          <s:t>1972–2001</s:t>
        </s:is>
      </s:c>
      <s:c r="D19" s="7" t="inlineStr">
        <s:is>
          <s:t>Gender</s:t>
        </s:is>
      </s:c>
      <s:c r="E19" s="7" t="inlineStr">
        <s:is>
          <s:t>Role and portfolio allocation</s:t>
        </s:is>
      </s:c>
      <s:c r="F19" s="13" t="inlineStr">
        <s:is>
          <s:t>Evidence not found</s:t>
        </s:is>
      </s:c>
      <s:c r="G19" s="7" t="inlineStr">
        <s:is>
          <s:t>No evidence establishes that gender determined particular early assignments.</s:t>
        </s:is>
      </s:c>
      <s:c r="H19" s="7" t="inlineStr">
        <s:is>
          <s:t>RSS/BJP organizers and contemporary party secretaries</s:t>
        </s:is>
      </s:c>
      <s:c r="I19" s="7" t="inlineStr">
        <s:is>
          <s:t>Use contemporaneous institutions and alternatives; later concepts do not excuse earlier conduct.</s:t>
        </s:is>
      </s:c>
      <s:c r="J19" s="7" t="inlineStr">
        <s:is>
          <s:t>Retrospective official accounts; independent early-life documentation is limited.</s:t>
        </s:is>
      </s:c>
      <s:c r="K19" s="7" t="inlineStr">
        <s:is>
          <s:t>Disputed/uncertain</s:t>
        </s:is>
      </s:c>
      <s:c r="L19" s="7" t="inlineStr">
        <s:is>
          <s:t>Unresolved</s:t>
        </s:is>
      </s:c>
      <s:c r="M19" s="8" t="inlineStr">
        <s:is>
          <s:t>S002</s:t>
        </s:is>
      </s:c>
      <s:c r="N19" s="7" t="inlineStr">
        <s:is>
          <s:t>Gap rows cite the record reviewed, not proof of absence.</s:t>
        </s:is>
      </s:c>
    </s:row>
    <s:row r="20" ht="80" customHeight="1">
      <s:c r="A20" s="5" t="inlineStr">
        <s:is>
          <s:t>P1-G05</s:t>
        </s:is>
      </s:c>
      <s:c r="B20" s="5" t="inlineStr">
        <s:is>
          <s:t>P1</s:t>
        </s:is>
      </s:c>
      <s:c r="C20" s="5" t="inlineStr">
        <s:is>
          <s:t>1972–2001</s:t>
        </s:is>
      </s:c>
      <s:c r="D20" s="5" t="inlineStr">
        <s:is>
          <s:t>Gender</s:t>
        </s:is>
      </s:c>
      <s:c r="E20" s="5" t="inlineStr">
        <s:is>
          <s:t>Campaign and media treatment</s:t>
        </s:is>
      </s:c>
      <s:c r="F20" s="13" t="inlineStr">
        <s:is>
          <s:t>Evidence not found</s:t>
        </s:is>
      </s:c>
      <s:c r="G20" s="5" t="inlineStr">
        <s:is>
          <s:t>The available retrospective narrative is insufficient to reconstruct contemporary gendered media treatment.</s:t>
        </s:is>
      </s:c>
      <s:c r="H20" s="5" t="inlineStr">
        <s:is>
          <s:t>RSS/BJP organizers and contemporary party secretaries</s:t>
        </s:is>
      </s:c>
      <s:c r="I20" s="5" t="inlineStr">
        <s:is>
          <s:t>Use contemporaneous institutions and alternatives; later concepts do not excuse earlier conduct.</s:t>
        </s:is>
      </s:c>
      <s:c r="J20" s="5" t="inlineStr">
        <s:is>
          <s:t>Retrospective official accounts; independent early-life documentation is limited.</s:t>
        </s:is>
      </s:c>
      <s:c r="K20" s="5" t="inlineStr">
        <s:is>
          <s:t>Disputed/uncertain</s:t>
        </s:is>
      </s:c>
      <s:c r="L20" s="5" t="inlineStr">
        <s:is>
          <s:t>Unresolved</s:t>
        </s:is>
      </s:c>
      <s:c r="M20" s="6" t="inlineStr">
        <s:is>
          <s:t>S002</s:t>
        </s:is>
      </s:c>
      <s:c r="N20" s="5" t="inlineStr">
        <s:is>
          <s:t>Gap rows cite the record reviewed, not proof of absence.</s:t>
        </s:is>
      </s:c>
    </s:row>
    <s:row r="21" ht="80" customHeight="1">
      <s:c r="A21" s="7" t="inlineStr">
        <s:is>
          <s:t>P1-G06</s:t>
        </s:is>
      </s:c>
      <s:c r="B21" s="7" t="inlineStr">
        <s:is>
          <s:t>P1</s:t>
        </s:is>
      </s:c>
      <s:c r="C21" s="7" t="inlineStr">
        <s:is>
          <s:t>1972–2001</s:t>
        </s:is>
      </s:c>
      <s:c r="D21" s="7" t="inlineStr">
        <s:is>
          <s:t>Gender</s:t>
        </s:is>
      </s:c>
      <s:c r="E21" s="7" t="inlineStr">
        <s:is>
          <s:t>Threats and security</s:t>
        </s:is>
      </s:c>
      <s:c r="F21" s="13" t="inlineStr">
        <s:is>
          <s:t>Evidence not found</s:t>
        </s:is>
      </s:c>
      <s:c r="G21" s="7" t="inlineStr">
        <s:is>
          <s:t>No reliable phase-specific evidence of gender-related security constraints was located.</s:t>
        </s:is>
      </s:c>
      <s:c r="H21" s="7" t="inlineStr">
        <s:is>
          <s:t>RSS/BJP organizers and contemporary party secretaries</s:t>
        </s:is>
      </s:c>
      <s:c r="I21" s="7" t="inlineStr">
        <s:is>
          <s:t>Use contemporaneous institutions and alternatives; later concepts do not excuse earlier conduct.</s:t>
        </s:is>
      </s:c>
      <s:c r="J21" s="7" t="inlineStr">
        <s:is>
          <s:t>Retrospective official accounts; independent early-life documentation is limited.</s:t>
        </s:is>
      </s:c>
      <s:c r="K21" s="7" t="inlineStr">
        <s:is>
          <s:t>Disputed/uncertain</s:t>
        </s:is>
      </s:c>
      <s:c r="L21" s="7" t="inlineStr">
        <s:is>
          <s:t>Unresolved</s:t>
        </s:is>
      </s:c>
      <s:c r="M21" s="8" t="inlineStr">
        <s:is>
          <s:t>S002</s:t>
        </s:is>
      </s:c>
      <s:c r="N21" s="7" t="inlineStr">
        <s:is>
          <s:t>Gap rows cite the record reviewed, not proof of absence.</s:t>
        </s:is>
      </s:c>
    </s:row>
    <s:row r="22" ht="80" customHeight="1">
      <s:c r="A22" s="5" t="inlineStr">
        <s:is>
          <s:t>P1-G07</s:t>
        </s:is>
      </s:c>
      <s:c r="B22" s="5" t="inlineStr">
        <s:is>
          <s:t>P1</s:t>
        </s:is>
      </s:c>
      <s:c r="C22" s="5" t="inlineStr">
        <s:is>
          <s:t>1972–2001</s:t>
        </s:is>
      </s:c>
      <s:c r="D22" s="5" t="inlineStr">
        <s:is>
          <s:t>Gender</s:t>
        </s:is>
      </s:c>
      <s:c r="E22" s="5" t="inlineStr">
        <s:is>
          <s:t>Gender-related policy and organizations</s:t>
        </s:is>
      </s:c>
      <s:c r="F22" s="13" t="inlineStr">
        <s:is>
          <s:t>Evidence not found</s:t>
        </s:is>
      </s:c>
      <s:c r="G22" s="5" t="inlineStr">
        <s:is>
          <s:t>No independently documented gender-policy authority was identified for this non-executive phase.</s:t>
        </s:is>
      </s:c>
      <s:c r="H22" s="5" t="inlineStr">
        <s:is>
          <s:t>RSS/BJP organizers and contemporary party secretaries</s:t>
        </s:is>
      </s:c>
      <s:c r="I22" s="5" t="inlineStr">
        <s:is>
          <s:t>Use contemporaneous institutions and alternatives; later concepts do not excuse earlier conduct.</s:t>
        </s:is>
      </s:c>
      <s:c r="J22" s="5" t="inlineStr">
        <s:is>
          <s:t>Retrospective official accounts; independent early-life documentation is limited.</s:t>
        </s:is>
      </s:c>
      <s:c r="K22" s="5" t="inlineStr">
        <s:is>
          <s:t>Disputed/uncertain</s:t>
        </s:is>
      </s:c>
      <s:c r="L22" s="5" t="inlineStr">
        <s:is>
          <s:t>Unresolved</s:t>
        </s:is>
      </s:c>
      <s:c r="M22" s="6" t="inlineStr">
        <s:is>
          <s:t>S002</s:t>
        </s:is>
      </s:c>
      <s:c r="N22" s="5" t="inlineStr">
        <s:is>
          <s:t>Gap rows cite the record reviewed, not proof of absence.</s:t>
        </s:is>
      </s:c>
    </s:row>
    <s:row r="23" ht="80" customHeight="1">
      <s:c r="A23" s="7" t="inlineStr">
        <s:is>
          <s:t>P1-G08</s:t>
        </s:is>
      </s:c>
      <s:c r="B23" s="7" t="inlineStr">
        <s:is>
          <s:t>P1</s:t>
        </s:is>
      </s:c>
      <s:c r="C23" s="7" t="inlineStr">
        <s:is>
          <s:t>1972–2001</s:t>
        </s:is>
      </s:c>
      <s:c r="D23" s="7" t="inlineStr">
        <s:is>
          <s:t>Gender</s:t>
        </s:is>
      </s:c>
      <s:c r="E23" s="7" t="inlineStr">
        <s:is>
          <s:t>Political use of identity</s:t>
        </s:is>
      </s:c>
      <s:c r="F23" s="13" t="inlineStr">
        <s:is>
          <s:t>Research limitation</s:t>
        </s:is>
      </s:c>
      <s:c r="G23" s="7" t="inlineStr">
        <s:is>
          <s:t>Later masculine leadership analysis should not be projected backward without contemporary evidence.</s:t>
        </s:is>
      </s:c>
      <s:c r="H23" s="7" t="inlineStr">
        <s:is>
          <s:t>RSS/BJP organizers and contemporary party secretaries</s:t>
        </s:is>
      </s:c>
      <s:c r="I23" s="7" t="inlineStr">
        <s:is>
          <s:t>Use contemporaneous institutions and alternatives; later concepts do not excuse earlier conduct.</s:t>
        </s:is>
      </s:c>
      <s:c r="J23" s="7" t="inlineStr">
        <s:is>
          <s:t>Retrospective official accounts; independent early-life documentation is limited.</s:t>
        </s:is>
      </s:c>
      <s:c r="K23" s="7" t="inlineStr">
        <s:is>
          <s:t>Disputed/uncertain</s:t>
        </s:is>
      </s:c>
      <s:c r="L23" s="7" t="inlineStr">
        <s:is>
          <s:t>Unresolved</s:t>
        </s:is>
      </s:c>
      <s:c r="M23" s="8" t="inlineStr">
        <s:is>
          <s:t>S044</s:t>
        </s:is>
      </s:c>
      <s:c r="N23" s="7" t="inlineStr">
        <s:is>
          <s:t>Gap rows cite the record reviewed, not proof of absence.</s:t>
        </s:is>
      </s:c>
    </s:row>
    <s:row r="24" ht="80" customHeight="1">
      <s:c r="A24" s="5" t="inlineStr">
        <s:is>
          <s:t>P1-G09</s:t>
        </s:is>
      </s:c>
      <s:c r="B24" s="5" t="inlineStr">
        <s:is>
          <s:t>P1</s:t>
        </s:is>
      </s:c>
      <s:c r="C24" s="5" t="inlineStr">
        <s:is>
          <s:t>1972–2001</s:t>
        </s:is>
      </s:c>
      <s:c r="D24" s="5" t="inlineStr">
        <s:is>
          <s:t>Gender</s:t>
        </s:is>
      </s:c>
      <s:c r="E24" s="5" t="inlineStr">
        <s:is>
          <s:t>Representation and effects</s:t>
        </s:is>
      </s:c>
      <s:c r="F24" s="13" t="inlineStr">
        <s:is>
          <s:t>Research limitation</s:t>
        </s:is>
      </s:c>
      <s:c r="G24" s="5" t="inlineStr">
        <s:is>
          <s:t>Holding party office does not establish substantive representation of women.</s:t>
        </s:is>
      </s:c>
      <s:c r="H24" s="5" t="inlineStr">
        <s:is>
          <s:t>RSS/BJP organizers and contemporary party secretaries</s:t>
        </s:is>
      </s:c>
      <s:c r="I24" s="5" t="inlineStr">
        <s:is>
          <s:t>Use contemporaneous institutions and alternatives; later concepts do not excuse earlier conduct.</s:t>
        </s:is>
      </s:c>
      <s:c r="J24" s="5" t="inlineStr">
        <s:is>
          <s:t>Retrospective official accounts; independent early-life documentation is limited.</s:t>
        </s:is>
      </s:c>
      <s:c r="K24" s="5" t="inlineStr">
        <s:is>
          <s:t>Disputed/uncertain</s:t>
        </s:is>
      </s:c>
      <s:c r="L24" s="5" t="inlineStr">
        <s:is>
          <s:t>Unresolved</s:t>
        </s:is>
      </s:c>
      <s:c r="M24" s="6" t="inlineStr">
        <s:is>
          <s:t>S002</s:t>
        </s:is>
      </s:c>
      <s:c r="N24" s="5" t="inlineStr">
        <s:is>
          <s:t>Gap rows cite the record reviewed, not proof of absence.</s:t>
        </s:is>
      </s:c>
    </s:row>
    <s:row r="25" ht="80" customHeight="1">
      <s:c r="A25" s="7" t="inlineStr">
        <s:is>
          <s:t>P1-G10</s:t>
        </s:is>
      </s:c>
      <s:c r="B25" s="7" t="inlineStr">
        <s:is>
          <s:t>P1</s:t>
        </s:is>
      </s:c>
      <s:c r="C25" s="7" t="inlineStr">
        <s:is>
          <s:t>1972–2001</s:t>
        </s:is>
      </s:c>
      <s:c r="D25" s="7" t="inlineStr">
        <s:is>
          <s:t>Gender</s:t>
        </s:is>
      </s:c>
      <s:c r="E25" s="7" t="inlineStr">
        <s:is>
          <s:t>Assessment over time</s:t>
        </s:is>
      </s:c>
      <s:c r="F25" s="13" t="inlineStr">
        <s:is>
          <s:t>Research limitation</s:t>
        </s:is>
      </s:c>
      <s:c r="G25" s="7" t="inlineStr">
        <s:is>
          <s:t>Later scholarship concentrates on national leadership; early-phase gender assessment remains incomplete.</s:t>
        </s:is>
      </s:c>
      <s:c r="H25" s="7" t="inlineStr">
        <s:is>
          <s:t>RSS/BJP organizers and contemporary party secretaries</s:t>
        </s:is>
      </s:c>
      <s:c r="I25" s="7" t="inlineStr">
        <s:is>
          <s:t>Use contemporaneous institutions and alternatives; later concepts do not excuse earlier conduct.</s:t>
        </s:is>
      </s:c>
      <s:c r="J25" s="7" t="inlineStr">
        <s:is>
          <s:t>Retrospective official accounts; independent early-life documentation is limited.</s:t>
        </s:is>
      </s:c>
      <s:c r="K25" s="7" t="inlineStr">
        <s:is>
          <s:t>Disputed/uncertain</s:t>
        </s:is>
      </s:c>
      <s:c r="L25" s="7" t="inlineStr">
        <s:is>
          <s:t>Unresolved</s:t>
        </s:is>
      </s:c>
      <s:c r="M25" s="8" t="inlineStr">
        <s:is>
          <s:t>S044</s:t>
        </s:is>
      </s:c>
      <s:c r="N25" s="7" t="inlineStr">
        <s:is>
          <s:t>Gap rows cite the record reviewed, not proof of absence.</s:t>
        </s:is>
      </s:c>
    </s:row>
    <s:row r="26" ht="80" customHeight="1">
      <s:c r="A26" s="5" t="inlineStr">
        <s:is>
          <s:t>P2-E01</s:t>
        </s:is>
      </s:c>
      <s:c r="B26" s="5" t="inlineStr">
        <s:is>
          <s:t>P2</s:t>
        </s:is>
      </s:c>
      <s:c r="C26" s="5" t="inlineStr">
        <s:is>
          <s:t>2001–May 2014</s:t>
        </s:is>
      </s:c>
      <s:c r="D26" s="5" t="inlineStr">
        <s:is>
          <s:t>Era</s:t>
        </s:is>
      </s:c>
      <s:c r="E26" s="5" t="inlineStr">
        <s:is>
          <s:t>Party system</s:t>
        </s:is>
      </s:c>
      <s:c r="F26" s="5" t="inlineStr">
        <s:is>
          <s:t>Material finding</s:t>
        </s:is>
      </s:c>
      <s:c r="G26" s="5" t="inlineStr">
        <s:is>
          <s:t>Repeated BJP victories sustained state executive continuity.</s:t>
        </s:is>
      </s:c>
      <s:c r="H26" s="5" t="inlineStr">
        <s:is>
          <s:t>Chief ministers of industrializing states in the same period</s:t>
        </s:is>
      </s:c>
      <s:c r="I26" s="5" t="inlineStr">
        <s:is>
          <s:t>Use contemporaneous institutions and alternatives; later concepts do not excuse earlier conduct.</s:t>
        </s:is>
      </s:c>
      <s:c r="J26" s="5" t="inlineStr">
        <s:is>
          <s:t>State averages obscure community, class and district variation.</s:t>
        </s:is>
      </s:c>
      <s:c r="K26" s="5" t="inlineStr">
        <s:is>
          <s:t>Analysis</s:t>
        </s:is>
      </s:c>
      <s:c r="L26" s="5" t="inlineStr">
        <s:is>
          <s:t>Single credible source</s:t>
        </s:is>
      </s:c>
      <s:c r="M26" s="6" t="inlineStr">
        <s:is>
          <s:t>S005</s:t>
        </s:is>
      </s:c>
      <s:c r="N26" s="5" t="inlineStr">
        <s:is>
          <s:t>Interpret alongside the named phase and source limitations.</s:t>
        </s:is>
      </s:c>
    </s:row>
    <s:row r="27" ht="80" customHeight="1">
      <s:c r="A27" s="7" t="inlineStr">
        <s:is>
          <s:t>P2-E02</s:t>
        </s:is>
      </s:c>
      <s:c r="B27" s="7" t="inlineStr">
        <s:is>
          <s:t>P2</s:t>
        </s:is>
      </s:c>
      <s:c r="C27" s="7" t="inlineStr">
        <s:is>
          <s:t>2001–May 2014</s:t>
        </s:is>
      </s:c>
      <s:c r="D27" s="7" t="inlineStr">
        <s:is>
          <s:t>Era</s:t>
        </s:is>
      </s:c>
      <s:c r="E27" s="7" t="inlineStr">
        <s:is>
          <s:t>Constitutional and institutional environment</s:t>
        </s:is>
      </s:c>
      <s:c r="F27" s="7" t="inlineStr">
        <s:is>
          <s:t>Material finding</s:t>
        </s:is>
      </s:c>
      <s:c r="G27" s="7" t="inlineStr">
        <s:is>
          <s:t>Riot-related scrutiny involved the NHRC, investigations and courts; these had distinct mandates.</s:t>
        </s:is>
      </s:c>
      <s:c r="H27" s="7" t="inlineStr">
        <s:is>
          <s:t>Chief ministers of industrializing states in the same period</s:t>
        </s:is>
      </s:c>
      <s:c r="I27" s="7" t="inlineStr">
        <s:is>
          <s:t>Use contemporaneous institutions and alternatives; later concepts do not excuse earlier conduct.</s:t>
        </s:is>
      </s:c>
      <s:c r="J27" s="7" t="inlineStr">
        <s:is>
          <s:t>State averages obscure community, class and district variation.</s:t>
        </s:is>
      </s:c>
      <s:c r="K27" s="7" t="inlineStr">
        <s:is>
          <s:t>Analysis</s:t>
        </s:is>
      </s:c>
      <s:c r="L27" s="7" t="inlineStr">
        <s:is>
          <s:t>Single credible source</s:t>
        </s:is>
      </s:c>
      <s:c r="M27" s="8" t="inlineStr">
        <s:is>
          <s:t>S021</s:t>
        </s:is>
      </s:c>
      <s:c r="N27" s="7" t="inlineStr">
        <s:is>
          <s:t>Interpret alongside the named phase and source limitations.</s:t>
        </s:is>
      </s:c>
    </s:row>
    <s:row r="28" ht="80" customHeight="1">
      <s:c r="A28" s="5" t="inlineStr">
        <s:is>
          <s:t>P2-E03</s:t>
        </s:is>
      </s:c>
      <s:c r="B28" s="5" t="inlineStr">
        <s:is>
          <s:t>P2</s:t>
        </s:is>
      </s:c>
      <s:c r="C28" s="5" t="inlineStr">
        <s:is>
          <s:t>2001–May 2014</s:t>
        </s:is>
      </s:c>
      <s:c r="D28" s="5" t="inlineStr">
        <s:is>
          <s:t>Era</s:t>
        </s:is>
      </s:c>
      <s:c r="E28" s="5" t="inlineStr">
        <s:is>
          <s:t>Electoral environment</s:t>
        </s:is>
      </s:c>
      <s:c r="F28" s="5" t="inlineStr">
        <s:is>
          <s:t>Material finding</s:t>
        </s:is>
      </s:c>
      <s:c r="G28" s="5" t="inlineStr">
        <s:is>
          <s:t>Rajkot II by-election preceded three Maninagar victories; later delimitation limits direct cross-election comparison.</s:t>
        </s:is>
      </s:c>
      <s:c r="H28" s="5" t="inlineStr">
        <s:is>
          <s:t>Chief ministers of industrializing states in the same period</s:t>
        </s:is>
      </s:c>
      <s:c r="I28" s="5" t="inlineStr">
        <s:is>
          <s:t>Use contemporaneous institutions and alternatives; later concepts do not excuse earlier conduct.</s:t>
        </s:is>
      </s:c>
      <s:c r="J28" s="5" t="inlineStr">
        <s:is>
          <s:t>State averages obscure community, class and district variation.</s:t>
        </s:is>
      </s:c>
      <s:c r="K28" s="5" t="inlineStr">
        <s:is>
          <s:t>Analysis</s:t>
        </s:is>
      </s:c>
      <s:c r="L28" s="5" t="inlineStr">
        <s:is>
          <s:t>Single credible source</s:t>
        </s:is>
      </s:c>
      <s:c r="M28" s="6" t="inlineStr">
        <s:is>
          <s:t>S004</s:t>
        </s:is>
      </s:c>
      <s:c r="N28" s="5" t="inlineStr">
        <s:is>
          <s:t>Interpret alongside the named phase and source limitations.</s:t>
        </s:is>
      </s:c>
    </s:row>
    <s:row r="29" ht="80" customHeight="1">
      <s:c r="A29" s="7" t="inlineStr">
        <s:is>
          <s:t>P2-E04</s:t>
        </s:is>
      </s:c>
      <s:c r="B29" s="7" t="inlineStr">
        <s:is>
          <s:t>P2</s:t>
        </s:is>
      </s:c>
      <s:c r="C29" s="7" t="inlineStr">
        <s:is>
          <s:t>2001–May 2014</s:t>
        </s:is>
      </s:c>
      <s:c r="D29" s="7" t="inlineStr">
        <s:is>
          <s:t>Era</s:t>
        </s:is>
      </s:c>
      <s:c r="E29" s="7" t="inlineStr">
        <s:is>
          <s:t>Economic regime</s:t>
        </s:is>
      </s:c>
      <s:c r="F29" s="7" t="inlineStr">
        <s:is>
          <s:t>Material finding</s:t>
        </s:is>
      </s:c>
      <s:c r="G29" s="7" t="inlineStr">
        <s:is>
          <s:t>Investment-led growth operated within an already industrialized state; inherited advantages complicate attribution.</s:t>
        </s:is>
      </s:c>
      <s:c r="H29" s="7" t="inlineStr">
        <s:is>
          <s:t>Chief ministers of industrializing states in the same period</s:t>
        </s:is>
      </s:c>
      <s:c r="I29" s="7" t="inlineStr">
        <s:is>
          <s:t>Use contemporaneous institutions and alternatives; later concepts do not excuse earlier conduct.</s:t>
        </s:is>
      </s:c>
      <s:c r="J29" s="7" t="inlineStr">
        <s:is>
          <s:t>State averages obscure community, class and district variation.</s:t>
        </s:is>
      </s:c>
      <s:c r="K29" s="7" t="inlineStr">
        <s:is>
          <s:t>Analysis</s:t>
        </s:is>
      </s:c>
      <s:c r="L29" s="7" t="inlineStr">
        <s:is>
          <s:t>Single credible source</s:t>
        </s:is>
      </s:c>
      <s:c r="M29" s="8" t="inlineStr">
        <s:is>
          <s:t>S016</s:t>
        </s:is>
      </s:c>
      <s:c r="N29" s="7" t="inlineStr">
        <s:is>
          <s:t>Interpret alongside the named phase and source limitations.</s:t>
        </s:is>
      </s:c>
    </s:row>
    <s:row r="30" ht="80" customHeight="1">
      <s:c r="A30" s="5" t="inlineStr">
        <s:is>
          <s:t>P2-E05</s:t>
        </s:is>
      </s:c>
      <s:c r="B30" s="5" t="inlineStr">
        <s:is>
          <s:t>P2</s:t>
        </s:is>
      </s:c>
      <s:c r="C30" s="5" t="inlineStr">
        <s:is>
          <s:t>2001–May 2014</s:t>
        </s:is>
      </s:c>
      <s:c r="D30" s="5" t="inlineStr">
        <s:is>
          <s:t>Era</s:t>
        </s:is>
      </s:c>
      <s:c r="E30" s="5" t="inlineStr">
        <s:is>
          <s:t>International system</s:t>
        </s:is>
      </s:c>
      <s:c r="F30" s="5" t="inlineStr">
        <s:is>
          <s:t>Material finding</s:t>
        </s:is>
      </s:c>
      <s:c r="G30" s="5" t="inlineStr">
        <s:is>
          <s:t>Foreign-investment attraction formed part of Gujarat’s development presentation; state policy was not sovereign foreign policy.</s:t>
        </s:is>
      </s:c>
      <s:c r="H30" s="5" t="inlineStr">
        <s:is>
          <s:t>Chief ministers of industrializing states in the same period</s:t>
        </s:is>
      </s:c>
      <s:c r="I30" s="5" t="inlineStr">
        <s:is>
          <s:t>Use contemporaneous institutions and alternatives; later concepts do not excuse earlier conduct.</s:t>
        </s:is>
      </s:c>
      <s:c r="J30" s="5" t="inlineStr">
        <s:is>
          <s:t>State averages obscure community, class and district variation.</s:t>
        </s:is>
      </s:c>
      <s:c r="K30" s="5" t="inlineStr">
        <s:is>
          <s:t>Analysis</s:t>
        </s:is>
      </s:c>
      <s:c r="L30" s="5" t="inlineStr">
        <s:is>
          <s:t>Single credible source</s:t>
        </s:is>
      </s:c>
      <s:c r="M30" s="6" t="inlineStr">
        <s:is>
          <s:t>S016</s:t>
        </s:is>
      </s:c>
      <s:c r="N30" s="5" t="inlineStr">
        <s:is>
          <s:t>Interpret alongside the named phase and source limitations.</s:t>
        </s:is>
      </s:c>
    </s:row>
    <s:row r="31" ht="80" customHeight="1">
      <s:c r="A31" s="7" t="inlineStr">
        <s:is>
          <s:t>P2-E06</s:t>
        </s:is>
      </s:c>
      <s:c r="B31" s="7" t="inlineStr">
        <s:is>
          <s:t>P2</s:t>
        </s:is>
      </s:c>
      <s:c r="C31" s="7" t="inlineStr">
        <s:is>
          <s:t>2001–May 2014</s:t>
        </s:is>
      </s:c>
      <s:c r="D31" s="7" t="inlineStr">
        <s:is>
          <s:t>Era</s:t>
        </s:is>
      </s:c>
      <s:c r="E31" s="7" t="inlineStr">
        <s:is>
          <s:t>Media and campaign environment</s:t>
        </s:is>
      </s:c>
      <s:c r="F31" s="7" t="inlineStr">
        <s:is>
          <s:t>Material finding</s:t>
        </s:is>
      </s:c>
      <s:c r="G31" s="7" t="inlineStr">
        <s:is>
          <s:t>The 2012 campaign used holographic appearances; media innovation amplified a state leader’s national profile.</s:t>
        </s:is>
      </s:c>
      <s:c r="H31" s="7" t="inlineStr">
        <s:is>
          <s:t>Chief ministers of industrializing states in the same period</s:t>
        </s:is>
      </s:c>
      <s:c r="I31" s="7" t="inlineStr">
        <s:is>
          <s:t>Use contemporaneous institutions and alternatives; later concepts do not excuse earlier conduct.</s:t>
        </s:is>
      </s:c>
      <s:c r="J31" s="7" t="inlineStr">
        <s:is>
          <s:t>State averages obscure community, class and district variation.</s:t>
        </s:is>
      </s:c>
      <s:c r="K31" s="7" t="inlineStr">
        <s:is>
          <s:t>Analysis</s:t>
        </s:is>
      </s:c>
      <s:c r="L31" s="7" t="inlineStr">
        <s:is>
          <s:t>Single credible source</s:t>
        </s:is>
      </s:c>
      <s:c r="M31" s="8" t="inlineStr">
        <s:is>
          <s:t>S016</s:t>
        </s:is>
      </s:c>
      <s:c r="N31" s="7" t="inlineStr">
        <s:is>
          <s:t>Interpret alongside the named phase and source limitations.</s:t>
        </s:is>
      </s:c>
    </s:row>
    <s:row r="32" ht="80" customHeight="1">
      <s:c r="A32" s="5" t="inlineStr">
        <s:is>
          <s:t>P2-E07</s:t>
        </s:is>
      </s:c>
      <s:c r="B32" s="5" t="inlineStr">
        <s:is>
          <s:t>P2</s:t>
        </s:is>
      </s:c>
      <s:c r="C32" s="5" t="inlineStr">
        <s:is>
          <s:t>2001–May 2014</s:t>
        </s:is>
      </s:c>
      <s:c r="D32" s="5" t="inlineStr">
        <s:is>
          <s:t>Era</s:t>
        </s:is>
      </s:c>
      <s:c r="E32" s="5" t="inlineStr">
        <s:is>
          <s:t>Political organization</s:t>
        </s:is>
      </s:c>
      <s:c r="F32" s="5" t="inlineStr">
        <s:is>
          <s:t>Material finding</s:t>
        </s:is>
      </s:c>
      <s:c r="G32" s="5" t="inlineStr">
        <s:is>
          <s:t>Executive personalization coexisted with an established BJP organization.</s:t>
        </s:is>
      </s:c>
      <s:c r="H32" s="5" t="inlineStr">
        <s:is>
          <s:t>Chief ministers of industrializing states in the same period</s:t>
        </s:is>
      </s:c>
      <s:c r="I32" s="5" t="inlineStr">
        <s:is>
          <s:t>Use contemporaneous institutions and alternatives; later concepts do not excuse earlier conduct.</s:t>
        </s:is>
      </s:c>
      <s:c r="J32" s="5" t="inlineStr">
        <s:is>
          <s:t>State averages obscure community, class and district variation.</s:t>
        </s:is>
      </s:c>
      <s:c r="K32" s="5" t="inlineStr">
        <s:is>
          <s:t>Analysis</s:t>
        </s:is>
      </s:c>
      <s:c r="L32" s="5" t="inlineStr">
        <s:is>
          <s:t>Single credible source</s:t>
        </s:is>
      </s:c>
      <s:c r="M32" s="6" t="inlineStr">
        <s:is>
          <s:t>S016</s:t>
        </s:is>
      </s:c>
      <s:c r="N32" s="5" t="inlineStr">
        <s:is>
          <s:t>Interpret alongside the named phase and source limitations.</s:t>
        </s:is>
      </s:c>
    </s:row>
    <s:row r="33" ht="80" customHeight="1">
      <s:c r="A33" s="7" t="inlineStr">
        <s:is>
          <s:t>P2-E08</s:t>
        </s:is>
      </s:c>
      <s:c r="B33" s="7" t="inlineStr">
        <s:is>
          <s:t>P2</s:t>
        </s:is>
      </s:c>
      <s:c r="C33" s="7" t="inlineStr">
        <s:is>
          <s:t>2001–May 2014</s:t>
        </s:is>
      </s:c>
      <s:c r="D33" s="7" t="inlineStr">
        <s:is>
          <s:t>Era</s:t>
        </s:is>
      </s:c>
      <s:c r="E33" s="7" t="inlineStr">
        <s:is>
          <s:t>Social environment</s:t>
        </s:is>
      </s:c>
      <s:c r="F33" s="7" t="inlineStr">
        <s:is>
          <s:t>Material finding</s:t>
        </s:is>
      </s:c>
      <s:c r="G33" s="7" t="inlineStr">
        <s:is>
          <s:t>Communal violence and unequal social outcomes complicate aggregate growth narratives.</s:t>
        </s:is>
      </s:c>
      <s:c r="H33" s="7" t="inlineStr">
        <s:is>
          <s:t>Chief ministers of industrializing states in the same period</s:t>
        </s:is>
      </s:c>
      <s:c r="I33" s="7" t="inlineStr">
        <s:is>
          <s:t>Use contemporaneous institutions and alternatives; later concepts do not excuse earlier conduct.</s:t>
        </s:is>
      </s:c>
      <s:c r="J33" s="7" t="inlineStr">
        <s:is>
          <s:t>State averages obscure community, class and district variation.</s:t>
        </s:is>
      </s:c>
      <s:c r="K33" s="7" t="inlineStr">
        <s:is>
          <s:t>Analysis</s:t>
        </s:is>
      </s:c>
      <s:c r="L33" s="7" t="inlineStr">
        <s:is>
          <s:t>Single credible source</s:t>
        </s:is>
      </s:c>
      <s:c r="M33" s="8" t="inlineStr">
        <s:is>
          <s:t>S021</s:t>
        </s:is>
      </s:c>
      <s:c r="N33" s="7" t="inlineStr">
        <s:is>
          <s:t>Interpret alongside the named phase and source limitations.</s:t>
        </s:is>
      </s:c>
    </s:row>
    <s:row r="34" ht="80" customHeight="1">
      <s:c r="A34" s="5" t="inlineStr">
        <s:is>
          <s:t>P2-E09</s:t>
        </s:is>
      </s:c>
      <s:c r="B34" s="5" t="inlineStr">
        <s:is>
          <s:t>P2</s:t>
        </s:is>
      </s:c>
      <s:c r="C34" s="5" t="inlineStr">
        <s:is>
          <s:t>2001–May 2014</s:t>
        </s:is>
      </s:c>
      <s:c r="D34" s="5" t="inlineStr">
        <s:is>
          <s:t>Era</s:t>
        </s:is>
      </s:c>
      <s:c r="E34" s="5" t="inlineStr">
        <s:is>
          <s:t>State structure and political geography</s:t>
        </s:is>
      </s:c>
      <s:c r="F34" s="5" t="inlineStr">
        <s:is>
          <s:t>Material finding</s:t>
        </s:is>
      </s:c>
      <s:c r="G34" s="5" t="inlineStr">
        <s:is>
          <s:t>State executive authority and urban electoral bases must be distinguished from national power.</s:t>
        </s:is>
      </s:c>
      <s:c r="H34" s="5" t="inlineStr">
        <s:is>
          <s:t>Chief ministers of industrializing states in the same period</s:t>
        </s:is>
      </s:c>
      <s:c r="I34" s="5" t="inlineStr">
        <s:is>
          <s:t>Use contemporaneous institutions and alternatives; later concepts do not excuse earlier conduct.</s:t>
        </s:is>
      </s:c>
      <s:c r="J34" s="5" t="inlineStr">
        <s:is>
          <s:t>State averages obscure community, class and district variation.</s:t>
        </s:is>
      </s:c>
      <s:c r="K34" s="5" t="inlineStr">
        <s:is>
          <s:t>Analysis</s:t>
        </s:is>
      </s:c>
      <s:c r="L34" s="5" t="inlineStr">
        <s:is>
          <s:t>Single credible source</s:t>
        </s:is>
      </s:c>
      <s:c r="M34" s="6" t="inlineStr">
        <s:is>
          <s:t>S005</s:t>
        </s:is>
      </s:c>
      <s:c r="N34" s="5" t="inlineStr">
        <s:is>
          <s:t>Interpret alongside the named phase and source limitations.</s:t>
        </s:is>
      </s:c>
    </s:row>
    <s:row r="35" ht="80" customHeight="1">
      <s:c r="A35" s="7" t="inlineStr">
        <s:is>
          <s:t>P2-E10</s:t>
        </s:is>
      </s:c>
      <s:c r="B35" s="7" t="inlineStr">
        <s:is>
          <s:t>P2</s:t>
        </s:is>
      </s:c>
      <s:c r="C35" s="7" t="inlineStr">
        <s:is>
          <s:t>2001–May 2014</s:t>
        </s:is>
      </s:c>
      <s:c r="D35" s="7" t="inlineStr">
        <s:is>
          <s:t>Era</s:t>
        </s:is>
      </s:c>
      <s:c r="E35" s="7" t="inlineStr">
        <s:is>
          <s:t>Evidence environment</s:t>
        </s:is>
      </s:c>
      <s:c r="F35" s="13" t="inlineStr">
        <s:is>
          <s:t>Research limitation</s:t>
        </s:is>
      </s:c>
      <s:c r="G35" s="7" t="inlineStr">
        <s:is>
          <s:t>Official achievement accounts require independent comparison and disaggregated indicators.</s:t>
        </s:is>
      </s:c>
      <s:c r="H35" s="7" t="inlineStr">
        <s:is>
          <s:t>Chief ministers of industrializing states in the same period</s:t>
        </s:is>
      </s:c>
      <s:c r="I35" s="7" t="inlineStr">
        <s:is>
          <s:t>Use contemporaneous institutions and alternatives; later concepts do not excuse earlier conduct.</s:t>
        </s:is>
      </s:c>
      <s:c r="J35" s="7" t="inlineStr">
        <s:is>
          <s:t>State averages obscure community, class and district variation.</s:t>
        </s:is>
      </s:c>
      <s:c r="K35" s="7" t="inlineStr">
        <s:is>
          <s:t>Disputed/uncertain</s:t>
        </s:is>
      </s:c>
      <s:c r="L35" s="7" t="inlineStr">
        <s:is>
          <s:t>Unresolved</s:t>
        </s:is>
      </s:c>
      <s:c r="M35" s="8" t="inlineStr">
        <s:is>
          <s:t>S017</s:t>
        </s:is>
      </s:c>
      <s:c r="N35" s="7" t="inlineStr">
        <s:is>
          <s:t>Gap rows cite the record reviewed, not proof of absence.</s:t>
        </s:is>
      </s:c>
    </s:row>
    <s:row r="36" ht="80" customHeight="1">
      <s:c r="A36" s="5" t="inlineStr">
        <s:is>
          <s:t>P2-G01</s:t>
        </s:is>
      </s:c>
      <s:c r="B36" s="5" t="inlineStr">
        <s:is>
          <s:t>P2</s:t>
        </s:is>
      </s:c>
      <s:c r="C36" s="5" t="inlineStr">
        <s:is>
          <s:t>2001–May 2014</s:t>
        </s:is>
      </s:c>
      <s:c r="D36" s="5" t="inlineStr">
        <s:is>
          <s:t>Gender</s:t>
        </s:is>
      </s:c>
      <s:c r="E36" s="5" t="inlineStr">
        <s:is>
          <s:t>Entry and advancement</s:t>
        </s:is>
      </s:c>
      <s:c r="F36" s="13" t="inlineStr">
        <s:is>
          <s:t>Evidence not found</s:t>
        </s:is>
      </s:c>
      <s:c r="G36" s="5" t="inlineStr">
        <s:is>
          <s:t>Appointment as chief minister is documented; gender-specific selection evidence remains limited.</s:t>
        </s:is>
      </s:c>
      <s:c r="H36" s="5" t="inlineStr">
        <s:is>
          <s:t>Chief ministers of industrializing states in the same period</s:t>
        </s:is>
      </s:c>
      <s:c r="I36" s="5" t="inlineStr">
        <s:is>
          <s:t>Use contemporaneous institutions and alternatives; later concepts do not excuse earlier conduct.</s:t>
        </s:is>
      </s:c>
      <s:c r="J36" s="5" t="inlineStr">
        <s:is>
          <s:t>State averages obscure community, class and district variation.</s:t>
        </s:is>
      </s:c>
      <s:c r="K36" s="5" t="inlineStr">
        <s:is>
          <s:t>Disputed/uncertain</s:t>
        </s:is>
      </s:c>
      <s:c r="L36" s="5" t="inlineStr">
        <s:is>
          <s:t>Unresolved</s:t>
        </s:is>
      </s:c>
      <s:c r="M36" s="6" t="inlineStr">
        <s:is>
          <s:t>S016</s:t>
        </s:is>
      </s:c>
      <s:c r="N36" s="5" t="inlineStr">
        <s:is>
          <s:t>Gap rows cite the record reviewed, not proof of absence.</s:t>
        </s:is>
      </s:c>
    </s:row>
    <s:row r="37" ht="80" customHeight="1">
      <s:c r="A37" s="7" t="inlineStr">
        <s:is>
          <s:t>P2-G02</s:t>
        </s:is>
      </s:c>
      <s:c r="B37" s="7" t="inlineStr">
        <s:is>
          <s:t>P2</s:t>
        </s:is>
      </s:c>
      <s:c r="C37" s="7" t="inlineStr">
        <s:is>
          <s:t>2001–May 2014</s:t>
        </s:is>
      </s:c>
      <s:c r="D37" s="7" t="inlineStr">
        <s:is>
          <s:t>Gender</s:t>
        </s:is>
      </s:c>
      <s:c r="E37" s="7" t="inlineStr">
        <s:is>
          <s:t>Milestones</s:t>
        </s:is>
      </s:c>
      <s:c r="F37" s="7" t="inlineStr">
        <s:is>
          <s:t>Material finding</s:t>
        </s:is>
      </s:c>
      <s:c r="G37" s="7" t="inlineStr">
        <s:is>
          <s:t>His successor Anandiben Patel’s accession marks a relevant gender transition; his own tenure was not a gender first.</s:t>
        </s:is>
      </s:c>
      <s:c r="H37" s="7" t="inlineStr">
        <s:is>
          <s:t>Chief ministers of industrializing states in the same period</s:t>
        </s:is>
      </s:c>
      <s:c r="I37" s="7" t="inlineStr">
        <s:is>
          <s:t>Use contemporaneous institutions and alternatives; later concepts do not excuse earlier conduct.</s:t>
        </s:is>
      </s:c>
      <s:c r="J37" s="7" t="inlineStr">
        <s:is>
          <s:t>State averages obscure community, class and district variation.</s:t>
        </s:is>
      </s:c>
      <s:c r="K37" s="7" t="inlineStr">
        <s:is>
          <s:t>Analysis</s:t>
        </s:is>
      </s:c>
      <s:c r="L37" s="7" t="inlineStr">
        <s:is>
          <s:t>Single credible source</s:t>
        </s:is>
      </s:c>
      <s:c r="M37" s="8" t="inlineStr">
        <s:is>
          <s:t>S015</s:t>
        </s:is>
      </s:c>
      <s:c r="N37" s="7" t="inlineStr">
        <s:is>
          <s:t>Interpret alongside the named phase and source limitations.</s:t>
        </s:is>
      </s:c>
    </s:row>
    <s:row r="38" ht="80" customHeight="1">
      <s:c r="A38" s="5" t="inlineStr">
        <s:is>
          <s:t>P2-G03</s:t>
        </s:is>
      </s:c>
      <s:c r="B38" s="5" t="inlineStr">
        <s:is>
          <s:t>P2</s:t>
        </s:is>
      </s:c>
      <s:c r="C38" s="5" t="inlineStr">
        <s:is>
          <s:t>2001–May 2014</s:t>
        </s:is>
      </s:c>
      <s:c r="D38" s="5" t="inlineStr">
        <s:is>
          <s:t>Gender</s:t>
        </s:is>
      </s:c>
      <s:c r="E38" s="5" t="inlineStr">
        <s:is>
          <s:t>Networks and pathways</s:t>
        </s:is>
      </s:c>
      <s:c r="F38" s="13" t="inlineStr">
        <s:is>
          <s:t>Research limitation</s:t>
        </s:is>
      </s:c>
      <s:c r="G38" s="5" t="inlineStr">
        <s:is>
          <s:t>Party support and executive reputation mattered; a marriage-based recruitment pathway is not established.</s:t>
        </s:is>
      </s:c>
      <s:c r="H38" s="5" t="inlineStr">
        <s:is>
          <s:t>Chief ministers of industrializing states in the same period</s:t>
        </s:is>
      </s:c>
      <s:c r="I38" s="5" t="inlineStr">
        <s:is>
          <s:t>Use contemporaneous institutions and alternatives; later concepts do not excuse earlier conduct.</s:t>
        </s:is>
      </s:c>
      <s:c r="J38" s="5" t="inlineStr">
        <s:is>
          <s:t>State averages obscure community, class and district variation.</s:t>
        </s:is>
      </s:c>
      <s:c r="K38" s="5" t="inlineStr">
        <s:is>
          <s:t>Disputed/uncertain</s:t>
        </s:is>
      </s:c>
      <s:c r="L38" s="5" t="inlineStr">
        <s:is>
          <s:t>Unresolved</s:t>
        </s:is>
      </s:c>
      <s:c r="M38" s="6" t="inlineStr">
        <s:is>
          <s:t>S016</s:t>
        </s:is>
      </s:c>
      <s:c r="N38" s="5" t="inlineStr">
        <s:is>
          <s:t>Gap rows cite the record reviewed, not proof of absence.</s:t>
        </s:is>
      </s:c>
    </s:row>
    <s:row r="39" ht="80" customHeight="1">
      <s:c r="A39" s="7" t="inlineStr">
        <s:is>
          <s:t>P2-G04</s:t>
        </s:is>
      </s:c>
      <s:c r="B39" s="7" t="inlineStr">
        <s:is>
          <s:t>P2</s:t>
        </s:is>
      </s:c>
      <s:c r="C39" s="7" t="inlineStr">
        <s:is>
          <s:t>2001–May 2014</s:t>
        </s:is>
      </s:c>
      <s:c r="D39" s="7" t="inlineStr">
        <s:is>
          <s:t>Gender</s:t>
        </s:is>
      </s:c>
      <s:c r="E39" s="7" t="inlineStr">
        <s:is>
          <s:t>Role and portfolio allocation</s:t>
        </s:is>
      </s:c>
      <s:c r="F39" s="13" t="inlineStr">
        <s:is>
          <s:t>Evidence not found</s:t>
        </s:is>
      </s:c>
      <s:c r="G39" s="7" t="inlineStr">
        <s:is>
          <s:t>Executive authority is clear; evidence that gender determined portfolios is not established.</s:t>
        </s:is>
      </s:c>
      <s:c r="H39" s="7" t="inlineStr">
        <s:is>
          <s:t>Chief ministers of industrializing states in the same period</s:t>
        </s:is>
      </s:c>
      <s:c r="I39" s="7" t="inlineStr">
        <s:is>
          <s:t>Use contemporaneous institutions and alternatives; later concepts do not excuse earlier conduct.</s:t>
        </s:is>
      </s:c>
      <s:c r="J39" s="7" t="inlineStr">
        <s:is>
          <s:t>State averages obscure community, class and district variation.</s:t>
        </s:is>
      </s:c>
      <s:c r="K39" s="7" t="inlineStr">
        <s:is>
          <s:t>Disputed/uncertain</s:t>
        </s:is>
      </s:c>
      <s:c r="L39" s="7" t="inlineStr">
        <s:is>
          <s:t>Unresolved</s:t>
        </s:is>
      </s:c>
      <s:c r="M39" s="8" t="inlineStr">
        <s:is>
          <s:t>S016</s:t>
        </s:is>
      </s:c>
      <s:c r="N39" s="7" t="inlineStr">
        <s:is>
          <s:t>Gap rows cite the record reviewed, not proof of absence.</s:t>
        </s:is>
      </s:c>
    </s:row>
    <s:row r="40" ht="80" customHeight="1">
      <s:c r="A40" s="5" t="inlineStr">
        <s:is>
          <s:t>P2-G05</s:t>
        </s:is>
      </s:c>
      <s:c r="B40" s="5" t="inlineStr">
        <s:is>
          <s:t>P2</s:t>
        </s:is>
      </s:c>
      <s:c r="C40" s="5" t="inlineStr">
        <s:is>
          <s:t>2001–May 2014</s:t>
        </s:is>
      </s:c>
      <s:c r="D40" s="5" t="inlineStr">
        <s:is>
          <s:t>Gender</s:t>
        </s:is>
      </s:c>
      <s:c r="E40" s="5" t="inlineStr">
        <s:is>
          <s:t>Campaign and media treatment</s:t>
        </s:is>
      </s:c>
      <s:c r="F40" s="5" t="inlineStr">
        <s:is>
          <s:t>Material finding</s:t>
        </s:is>
      </s:c>
      <s:c r="G40" s="5" t="inlineStr">
        <s:is>
          <s:t>Scholarship on the 2014 campaign identifies masculine imagery emerging from the Gujarat leadership persona.</s:t>
        </s:is>
      </s:c>
      <s:c r="H40" s="5" t="inlineStr">
        <s:is>
          <s:t>Chief ministers of industrializing states in the same period</s:t>
        </s:is>
      </s:c>
      <s:c r="I40" s="5" t="inlineStr">
        <s:is>
          <s:t>Use contemporaneous institutions and alternatives; later concepts do not excuse earlier conduct.</s:t>
        </s:is>
      </s:c>
      <s:c r="J40" s="5" t="inlineStr">
        <s:is>
          <s:t>State averages obscure community, class and district variation.</s:t>
        </s:is>
      </s:c>
      <s:c r="K40" s="5" t="inlineStr">
        <s:is>
          <s:t>Analysis</s:t>
        </s:is>
      </s:c>
      <s:c r="L40" s="5" t="inlineStr">
        <s:is>
          <s:t>Single credible source</s:t>
        </s:is>
      </s:c>
      <s:c r="M40" s="6" t="inlineStr">
        <s:is>
          <s:t>S044</s:t>
        </s:is>
      </s:c>
      <s:c r="N40" s="5" t="inlineStr">
        <s:is>
          <s:t>Interpret alongside the named phase and source limitations.</s:t>
        </s:is>
      </s:c>
    </s:row>
    <s:row r="41" ht="80" customHeight="1">
      <s:c r="A41" s="7" t="inlineStr">
        <s:is>
          <s:t>P2-G06</s:t>
        </s:is>
      </s:c>
      <s:c r="B41" s="7" t="inlineStr">
        <s:is>
          <s:t>P2</s:t>
        </s:is>
      </s:c>
      <s:c r="C41" s="7" t="inlineStr">
        <s:is>
          <s:t>2001–May 2014</s:t>
        </s:is>
      </s:c>
      <s:c r="D41" s="7" t="inlineStr">
        <s:is>
          <s:t>Gender</s:t>
        </s:is>
      </s:c>
      <s:c r="E41" s="7" t="inlineStr">
        <s:is>
          <s:t>Threats and security</s:t>
        </s:is>
      </s:c>
      <s:c r="F41" s="13" t="inlineStr">
        <s:is>
          <s:t>Evidence not found</s:t>
        </s:is>
      </s:c>
      <s:c r="G41" s="7" t="inlineStr">
        <s:is>
          <s:t>No adequately sourced comparison establishes that his security restrictions were specifically gendered.</s:t>
        </s:is>
      </s:c>
      <s:c r="H41" s="7" t="inlineStr">
        <s:is>
          <s:t>Chief ministers of industrializing states in the same period</s:t>
        </s:is>
      </s:c>
      <s:c r="I41" s="7" t="inlineStr">
        <s:is>
          <s:t>Use contemporaneous institutions and alternatives; later concepts do not excuse earlier conduct.</s:t>
        </s:is>
      </s:c>
      <s:c r="J41" s="7" t="inlineStr">
        <s:is>
          <s:t>State averages obscure community, class and district variation.</s:t>
        </s:is>
      </s:c>
      <s:c r="K41" s="7" t="inlineStr">
        <s:is>
          <s:t>Disputed/uncertain</s:t>
        </s:is>
      </s:c>
      <s:c r="L41" s="7" t="inlineStr">
        <s:is>
          <s:t>Unresolved</s:t>
        </s:is>
      </s:c>
      <s:c r="M41" s="8" t="inlineStr">
        <s:is>
          <s:t>S016</s:t>
        </s:is>
      </s:c>
      <s:c r="N41" s="7" t="inlineStr">
        <s:is>
          <s:t>Gap rows cite the record reviewed, not proof of absence.</s:t>
        </s:is>
      </s:c>
    </s:row>
    <s:row r="42" ht="80" customHeight="1">
      <s:c r="A42" s="5" t="inlineStr">
        <s:is>
          <s:t>P2-G07</s:t>
        </s:is>
      </s:c>
      <s:c r="B42" s="5" t="inlineStr">
        <s:is>
          <s:t>P2</s:t>
        </s:is>
      </s:c>
      <s:c r="C42" s="5" t="inlineStr">
        <s:is>
          <s:t>2001–May 2014</s:t>
        </s:is>
      </s:c>
      <s:c r="D42" s="5" t="inlineStr">
        <s:is>
          <s:t>Gender</s:t>
        </s:is>
      </s:c>
      <s:c r="E42" s="5" t="inlineStr">
        <s:is>
          <s:t>Gender-related policy and organizations</s:t>
        </s:is>
      </s:c>
      <s:c r="F42" s="13" t="inlineStr">
        <s:is>
          <s:t>Evidence not found</s:t>
        </s:is>
      </s:c>
      <s:c r="G42" s="5" t="inlineStr">
        <s:is>
          <s:t>Detailed independent evaluation of Gujarat-specific women’s programs was not completed in this edition.</s:t>
        </s:is>
      </s:c>
      <s:c r="H42" s="5" t="inlineStr">
        <s:is>
          <s:t>Chief ministers of industrializing states in the same period</s:t>
        </s:is>
      </s:c>
      <s:c r="I42" s="5" t="inlineStr">
        <s:is>
          <s:t>Use contemporaneous institutions and alternatives; later concepts do not excuse earlier conduct.</s:t>
        </s:is>
      </s:c>
      <s:c r="J42" s="5" t="inlineStr">
        <s:is>
          <s:t>State averages obscure community, class and district variation.</s:t>
        </s:is>
      </s:c>
      <s:c r="K42" s="5" t="inlineStr">
        <s:is>
          <s:t>Disputed/uncertain</s:t>
        </s:is>
      </s:c>
      <s:c r="L42" s="5" t="inlineStr">
        <s:is>
          <s:t>Unresolved</s:t>
        </s:is>
      </s:c>
      <s:c r="M42" s="6" t="inlineStr">
        <s:is>
          <s:t>S017</s:t>
        </s:is>
      </s:c>
      <s:c r="N42" s="5" t="inlineStr">
        <s:is>
          <s:t>Gap rows cite the record reviewed, not proof of absence.</s:t>
        </s:is>
      </s:c>
    </s:row>
    <s:row r="43" ht="80" customHeight="1">
      <s:c r="A43" s="7" t="inlineStr">
        <s:is>
          <s:t>P2-G08</s:t>
        </s:is>
      </s:c>
      <s:c r="B43" s="7" t="inlineStr">
        <s:is>
          <s:t>P2</s:t>
        </s:is>
      </s:c>
      <s:c r="C43" s="7" t="inlineStr">
        <s:is>
          <s:t>2001–May 2014</s:t>
        </s:is>
      </s:c>
      <s:c r="D43" s="7" t="inlineStr">
        <s:is>
          <s:t>Gender</s:t>
        </s:is>
      </s:c>
      <s:c r="E43" s="7" t="inlineStr">
        <s:is>
          <s:t>Political use of identity</s:t>
        </s:is>
      </s:c>
      <s:c r="F43" s="7" t="inlineStr">
        <s:is>
          <s:t>Material finding</s:t>
        </s:is>
      </s:c>
      <s:c r="G43" s="7" t="inlineStr">
        <s:is>
          <s:t>Strength and decisiveness became politically useful representations; interpret them through contemporary campaign evidence.</s:t>
        </s:is>
      </s:c>
      <s:c r="H43" s="7" t="inlineStr">
        <s:is>
          <s:t>Chief ministers of industrializing states in the same period</s:t>
        </s:is>
      </s:c>
      <s:c r="I43" s="7" t="inlineStr">
        <s:is>
          <s:t>Use contemporaneous institutions and alternatives; later concepts do not excuse earlier conduct.</s:t>
        </s:is>
      </s:c>
      <s:c r="J43" s="7" t="inlineStr">
        <s:is>
          <s:t>State averages obscure community, class and district variation.</s:t>
        </s:is>
      </s:c>
      <s:c r="K43" s="7" t="inlineStr">
        <s:is>
          <s:t>Analysis</s:t>
        </s:is>
      </s:c>
      <s:c r="L43" s="7" t="inlineStr">
        <s:is>
          <s:t>Single credible source</s:t>
        </s:is>
      </s:c>
      <s:c r="M43" s="8" t="inlineStr">
        <s:is>
          <s:t>S044</s:t>
        </s:is>
      </s:c>
      <s:c r="N43" s="7" t="inlineStr">
        <s:is>
          <s:t>Interpret alongside the named phase and source limitations.</s:t>
        </s:is>
      </s:c>
    </s:row>
    <s:row r="44" ht="80" customHeight="1">
      <s:c r="A44" s="5" t="inlineStr">
        <s:is>
          <s:t>P2-G09</s:t>
        </s:is>
      </s:c>
      <s:c r="B44" s="5" t="inlineStr">
        <s:is>
          <s:t>P2</s:t>
        </s:is>
      </s:c>
      <s:c r="C44" s="5" t="inlineStr">
        <s:is>
          <s:t>2001–May 2014</s:t>
        </s:is>
      </s:c>
      <s:c r="D44" s="5" t="inlineStr">
        <s:is>
          <s:t>Gender</s:t>
        </s:is>
      </s:c>
      <s:c r="E44" s="5" t="inlineStr">
        <s:is>
          <s:t>Representation and effects</s:t>
        </s:is>
      </s:c>
      <s:c r="F44" s="13" t="inlineStr">
        <s:is>
          <s:t>Research limitation</s:t>
        </s:is>
      </s:c>
      <s:c r="G44" s="5" t="inlineStr">
        <s:is>
          <s:t>State economic averages do not establish women’s equal participation or benefits.</s:t>
        </s:is>
      </s:c>
      <s:c r="H44" s="5" t="inlineStr">
        <s:is>
          <s:t>Chief ministers of industrializing states in the same period</s:t>
        </s:is>
      </s:c>
      <s:c r="I44" s="5" t="inlineStr">
        <s:is>
          <s:t>Use contemporaneous institutions and alternatives; later concepts do not excuse earlier conduct.</s:t>
        </s:is>
      </s:c>
      <s:c r="J44" s="5" t="inlineStr">
        <s:is>
          <s:t>State averages obscure community, class and district variation.</s:t>
        </s:is>
      </s:c>
      <s:c r="K44" s="5" t="inlineStr">
        <s:is>
          <s:t>Disputed/uncertain</s:t>
        </s:is>
      </s:c>
      <s:c r="L44" s="5" t="inlineStr">
        <s:is>
          <s:t>Unresolved</s:t>
        </s:is>
      </s:c>
      <s:c r="M44" s="6" t="inlineStr">
        <s:is>
          <s:t>S017</s:t>
        </s:is>
      </s:c>
      <s:c r="N44" s="5" t="inlineStr">
        <s:is>
          <s:t>Gap rows cite the record reviewed, not proof of absence.</s:t>
        </s:is>
      </s:c>
    </s:row>
    <s:row r="45" ht="80" customHeight="1">
      <s:c r="A45" s="7" t="inlineStr">
        <s:is>
          <s:t>P2-G10</s:t>
        </s:is>
      </s:c>
      <s:c r="B45" s="7" t="inlineStr">
        <s:is>
          <s:t>P2</s:t>
        </s:is>
      </s:c>
      <s:c r="C45" s="7" t="inlineStr">
        <s:is>
          <s:t>2001–May 2014</s:t>
        </s:is>
      </s:c>
      <s:c r="D45" s="7" t="inlineStr">
        <s:is>
          <s:t>Gender</s:t>
        </s:is>
      </s:c>
      <s:c r="E45" s="7" t="inlineStr">
        <s:is>
          <s:t>Assessment over time</s:t>
        </s:is>
      </s:c>
      <s:c r="F45" s="7" t="inlineStr">
        <s:is>
          <s:t>Material finding</s:t>
        </s:is>
      </s:c>
      <s:c r="G45" s="7" t="inlineStr">
        <s:is>
          <s:t>Contemporary development reputation and later gender interpretations address different questions.</s:t>
        </s:is>
      </s:c>
      <s:c r="H45" s="7" t="inlineStr">
        <s:is>
          <s:t>Chief ministers of industrializing states in the same period</s:t>
        </s:is>
      </s:c>
      <s:c r="I45" s="7" t="inlineStr">
        <s:is>
          <s:t>Use contemporaneous institutions and alternatives; later concepts do not excuse earlier conduct.</s:t>
        </s:is>
      </s:c>
      <s:c r="J45" s="7" t="inlineStr">
        <s:is>
          <s:t>State averages obscure community, class and district variation.</s:t>
        </s:is>
      </s:c>
      <s:c r="K45" s="7" t="inlineStr">
        <s:is>
          <s:t>Analysis</s:t>
        </s:is>
      </s:c>
      <s:c r="L45" s="7" t="inlineStr">
        <s:is>
          <s:t>Single credible source</s:t>
        </s:is>
      </s:c>
      <s:c r="M45" s="8" t="inlineStr">
        <s:is>
          <s:t>S016</s:t>
        </s:is>
      </s:c>
      <s:c r="N45" s="7" t="inlineStr">
        <s:is>
          <s:t>Interpret alongside the named phase and source limitations.</s:t>
        </s:is>
      </s:c>
    </s:row>
    <s:row r="46" ht="80" customHeight="1">
      <s:c r="A46" s="5" t="inlineStr">
        <s:is>
          <s:t>P3-E01</s:t>
        </s:is>
      </s:c>
      <s:c r="B46" s="5" t="inlineStr">
        <s:is>
          <s:t>P3</s:t>
        </s:is>
      </s:c>
      <s:c r="C46" s="5" t="inlineStr">
        <s:is>
          <s:t>May 2014–June 2024</s:t>
        </s:is>
      </s:c>
      <s:c r="D46" s="5" t="inlineStr">
        <s:is>
          <s:t>Era</s:t>
        </s:is>
      </s:c>
      <s:c r="E46" s="5" t="inlineStr">
        <s:is>
          <s:t>Party system</s:t>
        </s:is>
      </s:c>
      <s:c r="F46" s="5" t="inlineStr">
        <s:is>
          <s:t>Material finding</s:t>
        </s:is>
      </s:c>
      <s:c r="G46" s="5" t="inlineStr">
        <s:is>
          <s:t>BJP parliamentary majorities supported two national terms before the 2024 setback.</s:t>
        </s:is>
      </s:c>
      <s:c r="H46" s="5" t="inlineStr">
        <s:is>
          <s:t>Contemporary Union governments, state governments and opposition leaders</s:t>
        </s:is>
      </s:c>
      <s:c r="I46" s="5" t="inlineStr">
        <s:is>
          <s:t>Use contemporaneous institutions and alternatives; later concepts do not excuse earlier conduct.</s:t>
        </s:is>
      </s:c>
      <s:c r="J46" s="5" t="inlineStr">
        <s:is>
          <s:t>Policy claims, national aggregates and rights assessments measure different things.</s:t>
        </s:is>
      </s:c>
      <s:c r="K46" s="5" t="inlineStr">
        <s:is>
          <s:t>Analysis</s:t>
        </s:is>
      </s:c>
      <s:c r="L46" s="5" t="inlineStr">
        <s:is>
          <s:t>Interested source only</s:t>
        </s:is>
      </s:c>
      <s:c r="M46" s="6" t="inlineStr">
        <s:is>
          <s:t>S001</s:t>
        </s:is>
      </s:c>
      <s:c r="N46" s="5" t="inlineStr">
        <s:is>
          <s:t>Interpret alongside the named phase and source limitations.</s:t>
        </s:is>
      </s:c>
    </s:row>
    <s:row r="47" ht="80" customHeight="1">
      <s:c r="A47" s="7" t="inlineStr">
        <s:is>
          <s:t>P3-E02</s:t>
        </s:is>
      </s:c>
      <s:c r="B47" s="7" t="inlineStr">
        <s:is>
          <s:t>P3</s:t>
        </s:is>
      </s:c>
      <s:c r="C47" s="7" t="inlineStr">
        <s:is>
          <s:t>May 2014–June 2024</s:t>
        </s:is>
      </s:c>
      <s:c r="D47" s="7" t="inlineStr">
        <s:is>
          <s:t>Era</s:t>
        </s:is>
      </s:c>
      <s:c r="E47" s="7" t="inlineStr">
        <s:is>
          <s:t>Constitutional and institutional environment</s:t>
        </s:is>
      </s:c>
      <s:c r="F47" s="7" t="inlineStr">
        <s:is>
          <s:t>Material finding</s:t>
        </s:is>
      </s:c>
      <s:c r="G47" s="7" t="inlineStr">
        <s:is>
          <s:t>Courts upheld some major decisions and invalidated electoral bonds, demonstrating issue-specific judicial outcomes.</s:t>
        </s:is>
      </s:c>
      <s:c r="H47" s="7" t="inlineStr">
        <s:is>
          <s:t>Contemporary Union governments, state governments and opposition leaders</s:t>
        </s:is>
      </s:c>
      <s:c r="I47" s="7" t="inlineStr">
        <s:is>
          <s:t>Use contemporaneous institutions and alternatives; later concepts do not excuse earlier conduct.</s:t>
        </s:is>
      </s:c>
      <s:c r="J47" s="7" t="inlineStr">
        <s:is>
          <s:t>Policy claims, national aggregates and rights assessments measure different things.</s:t>
        </s:is>
      </s:c>
      <s:c r="K47" s="7" t="inlineStr">
        <s:is>
          <s:t>Analysis</s:t>
        </s:is>
      </s:c>
      <s:c r="L47" s="7" t="inlineStr">
        <s:is>
          <s:t>Single credible source</s:t>
        </s:is>
      </s:c>
      <s:c r="M47" s="8" t="inlineStr">
        <s:is>
          <s:t>S046</s:t>
        </s:is>
      </s:c>
      <s:c r="N47" s="7" t="inlineStr">
        <s:is>
          <s:t>Interpret alongside the named phase and source limitations.</s:t>
        </s:is>
      </s:c>
    </s:row>
    <s:row r="48" ht="80" customHeight="1">
      <s:c r="A48" s="5" t="inlineStr">
        <s:is>
          <s:t>P3-E03</s:t>
        </s:is>
      </s:c>
      <s:c r="B48" s="5" t="inlineStr">
        <s:is>
          <s:t>P3</s:t>
        </s:is>
      </s:c>
      <s:c r="C48" s="5" t="inlineStr">
        <s:is>
          <s:t>May 2014–June 2024</s:t>
        </s:is>
      </s:c>
      <s:c r="D48" s="5" t="inlineStr">
        <s:is>
          <s:t>Era</s:t>
        </s:is>
      </s:c>
      <s:c r="E48" s="5" t="inlineStr">
        <s:is>
          <s:t>Electoral environment</s:t>
        </s:is>
      </s:c>
      <s:c r="F48" s="5" t="inlineStr">
        <s:is>
          <s:t>Material finding</s:t>
        </s:is>
      </s:c>
      <s:c r="G48" s="5" t="inlineStr">
        <s:is>
          <s:t>Varanasi victories occurred through constituency elections; India does not directly elect its prime minister.</s:t>
        </s:is>
      </s:c>
      <s:c r="H48" s="5" t="inlineStr">
        <s:is>
          <s:t>Contemporary Union governments, state governments and opposition leaders</s:t>
        </s:is>
      </s:c>
      <s:c r="I48" s="5" t="inlineStr">
        <s:is>
          <s:t>Use contemporaneous institutions and alternatives; later concepts do not excuse earlier conduct.</s:t>
        </s:is>
      </s:c>
      <s:c r="J48" s="5" t="inlineStr">
        <s:is>
          <s:t>Policy claims, national aggregates and rights assessments measure different things.</s:t>
        </s:is>
      </s:c>
      <s:c r="K48" s="5" t="inlineStr">
        <s:is>
          <s:t>Analysis</s:t>
        </s:is>
      </s:c>
      <s:c r="L48" s="5" t="inlineStr">
        <s:is>
          <s:t>Single credible source</s:t>
        </s:is>
      </s:c>
      <s:c r="M48" s="6" t="inlineStr">
        <s:is>
          <s:t>S009</s:t>
        </s:is>
      </s:c>
      <s:c r="N48" s="5" t="inlineStr">
        <s:is>
          <s:t>Interpret alongside the named phase and source limitations.</s:t>
        </s:is>
      </s:c>
    </s:row>
    <s:row r="49" ht="80" customHeight="1">
      <s:c r="A49" s="7" t="inlineStr">
        <s:is>
          <s:t>P3-E04</s:t>
        </s:is>
      </s:c>
      <s:c r="B49" s="7" t="inlineStr">
        <s:is>
          <s:t>P3</s:t>
        </s:is>
      </s:c>
      <s:c r="C49" s="7" t="inlineStr">
        <s:is>
          <s:t>May 2014–June 2024</s:t>
        </s:is>
      </s:c>
      <s:c r="D49" s="7" t="inlineStr">
        <s:is>
          <s:t>Era</s:t>
        </s:is>
      </s:c>
      <s:c r="E49" s="7" t="inlineStr">
        <s:is>
          <s:t>Economic regime</s:t>
        </s:is>
      </s:c>
      <s:c r="F49" s="7" t="inlineStr">
        <s:is>
          <s:t>Material finding</s:t>
        </s:is>
      </s:c>
      <s:c r="G49" s="7" t="inlineStr">
        <s:is>
          <s:t>Financial inclusion, GST and digital payments expanded alongside disruptive monetary intervention.</s:t>
        </s:is>
      </s:c>
      <s:c r="H49" s="7" t="inlineStr">
        <s:is>
          <s:t>Contemporary Union governments, state governments and opposition leaders</s:t>
        </s:is>
      </s:c>
      <s:c r="I49" s="7" t="inlineStr">
        <s:is>
          <s:t>Use contemporaneous institutions and alternatives; later concepts do not excuse earlier conduct.</s:t>
        </s:is>
      </s:c>
      <s:c r="J49" s="7" t="inlineStr">
        <s:is>
          <s:t>Policy claims, national aggregates and rights assessments measure different things.</s:t>
        </s:is>
      </s:c>
      <s:c r="K49" s="7" t="inlineStr">
        <s:is>
          <s:t>Analysis</s:t>
        </s:is>
      </s:c>
      <s:c r="L49" s="7" t="inlineStr">
        <s:is>
          <s:t>Single credible source</s:t>
        </s:is>
      </s:c>
      <s:c r="M49" s="8" t="inlineStr">
        <s:is>
          <s:t>S028</s:t>
        </s:is>
      </s:c>
      <s:c r="N49" s="7" t="inlineStr">
        <s:is>
          <s:t>Interpret alongside the named phase and source limitations.</s:t>
        </s:is>
      </s:c>
    </s:row>
    <s:row r="50" ht="80" customHeight="1">
      <s:c r="A50" s="5" t="inlineStr">
        <s:is>
          <s:t>P3-E05</s:t>
        </s:is>
      </s:c>
      <s:c r="B50" s="5" t="inlineStr">
        <s:is>
          <s:t>P3</s:t>
        </s:is>
      </s:c>
      <s:c r="C50" s="5" t="inlineStr">
        <s:is>
          <s:t>May 2014–June 2024</s:t>
        </s:is>
      </s:c>
      <s:c r="D50" s="5" t="inlineStr">
        <s:is>
          <s:t>Era</s:t>
        </s:is>
      </s:c>
      <s:c r="E50" s="5" t="inlineStr">
        <s:is>
          <s:t>International system</s:t>
        </s:is>
      </s:c>
      <s:c r="F50" s="5" t="inlineStr">
        <s:is>
          <s:t>Material finding</s:t>
        </s:is>
      </s:c>
      <s:c r="G50" s="5" t="inlineStr">
        <s:is>
          <s:t>G20 leadership sought a larger role for India and the African Union in multilateral forums.</s:t>
        </s:is>
      </s:c>
      <s:c r="H50" s="5" t="inlineStr">
        <s:is>
          <s:t>Contemporary Union governments, state governments and opposition leaders</s:t>
        </s:is>
      </s:c>
      <s:c r="I50" s="5" t="inlineStr">
        <s:is>
          <s:t>Use contemporaneous institutions and alternatives; later concepts do not excuse earlier conduct.</s:t>
        </s:is>
      </s:c>
      <s:c r="J50" s="5" t="inlineStr">
        <s:is>
          <s:t>Policy claims, national aggregates and rights assessments measure different things.</s:t>
        </s:is>
      </s:c>
      <s:c r="K50" s="5" t="inlineStr">
        <s:is>
          <s:t>Analysis</s:t>
        </s:is>
      </s:c>
      <s:c r="L50" s="5" t="inlineStr">
        <s:is>
          <s:t>Single credible source</s:t>
        </s:is>
      </s:c>
      <s:c r="M50" s="6" t="inlineStr">
        <s:is>
          <s:t>S059</s:t>
        </s:is>
      </s:c>
      <s:c r="N50" s="5" t="inlineStr">
        <s:is>
          <s:t>Interpret alongside the named phase and source limitations.</s:t>
        </s:is>
      </s:c>
    </s:row>
    <s:row r="51" ht="80" customHeight="1">
      <s:c r="A51" s="7" t="inlineStr">
        <s:is>
          <s:t>P3-E06</s:t>
        </s:is>
      </s:c>
      <s:c r="B51" s="7" t="inlineStr">
        <s:is>
          <s:t>P3</s:t>
        </s:is>
      </s:c>
      <s:c r="C51" s="7" t="inlineStr">
        <s:is>
          <s:t>May 2014–June 2024</s:t>
        </s:is>
      </s:c>
      <s:c r="D51" s="7" t="inlineStr">
        <s:is>
          <s:t>Era</s:t>
        </s:is>
      </s:c>
      <s:c r="E51" s="7" t="inlineStr">
        <s:is>
          <s:t>Media and campaign environment</s:t>
        </s:is>
      </s:c>
      <s:c r="F51" s="7" t="inlineStr">
        <s:is>
          <s:t>Material finding</s:t>
        </s:is>
      </s:c>
      <s:c r="G51" s="7" t="inlineStr">
        <s:is>
          <s:t>Mann Ki Baat paired broadcast intimacy with the wider digital campaign environment.</s:t>
        </s:is>
      </s:c>
      <s:c r="H51" s="7" t="inlineStr">
        <s:is>
          <s:t>Contemporary Union governments, state governments and opposition leaders</s:t>
        </s:is>
      </s:c>
      <s:c r="I51" s="7" t="inlineStr">
        <s:is>
          <s:t>Use contemporaneous institutions and alternatives; later concepts do not excuse earlier conduct.</s:t>
        </s:is>
      </s:c>
      <s:c r="J51" s="7" t="inlineStr">
        <s:is>
          <s:t>Policy claims, national aggregates and rights assessments measure different things.</s:t>
        </s:is>
      </s:c>
      <s:c r="K51" s="7" t="inlineStr">
        <s:is>
          <s:t>Analysis</s:t>
        </s:is>
      </s:c>
      <s:c r="L51" s="7" t="inlineStr">
        <s:is>
          <s:t>Single credible source</s:t>
        </s:is>
      </s:c>
      <s:c r="M51" s="8" t="inlineStr">
        <s:is>
          <s:t>S074</s:t>
        </s:is>
      </s:c>
      <s:c r="N51" s="7" t="inlineStr">
        <s:is>
          <s:t>Interpret alongside the named phase and source limitations.</s:t>
        </s:is>
      </s:c>
    </s:row>
    <s:row r="52" ht="80" customHeight="1">
      <s:c r="A52" s="5" t="inlineStr">
        <s:is>
          <s:t>P3-E07</s:t>
        </s:is>
      </s:c>
      <s:c r="B52" s="5" t="inlineStr">
        <s:is>
          <s:t>P3</s:t>
        </s:is>
      </s:c>
      <s:c r="C52" s="5" t="inlineStr">
        <s:is>
          <s:t>May 2014–June 2024</s:t>
        </s:is>
      </s:c>
      <s:c r="D52" s="5" t="inlineStr">
        <s:is>
          <s:t>Era</s:t>
        </s:is>
      </s:c>
      <s:c r="E52" s="5" t="inlineStr">
        <s:is>
          <s:t>Political organization</s:t>
        </s:is>
      </s:c>
      <s:c r="F52" s="5" t="inlineStr">
        <s:is>
          <s:t>Material finding</s:t>
        </s:is>
      </s:c>
      <s:c r="G52" s="5" t="inlineStr">
        <s:is>
          <s:t>Leader-centered appeals operated through party and state institutions; the leader alone cannot explain implementation.</s:t>
        </s:is>
      </s:c>
      <s:c r="H52" s="5" t="inlineStr">
        <s:is>
          <s:t>Contemporary Union governments, state governments and opposition leaders</s:t>
        </s:is>
      </s:c>
      <s:c r="I52" s="5" t="inlineStr">
        <s:is>
          <s:t>Use contemporaneous institutions and alternatives; later concepts do not excuse earlier conduct.</s:t>
        </s:is>
      </s:c>
      <s:c r="J52" s="5" t="inlineStr">
        <s:is>
          <s:t>Policy claims, national aggregates and rights assessments measure different things.</s:t>
        </s:is>
      </s:c>
      <s:c r="K52" s="5" t="inlineStr">
        <s:is>
          <s:t>Analysis</s:t>
        </s:is>
      </s:c>
      <s:c r="L52" s="5" t="inlineStr">
        <s:is>
          <s:t>Single credible source</s:t>
        </s:is>
      </s:c>
      <s:c r="M52" s="6" t="inlineStr">
        <s:is>
          <s:t>S072</s:t>
        </s:is>
      </s:c>
      <s:c r="N52" s="5" t="inlineStr">
        <s:is>
          <s:t>Interpret alongside the named phase and source limitations.</s:t>
        </s:is>
      </s:c>
    </s:row>
    <s:row r="53" ht="80" customHeight="1">
      <s:c r="A53" s="7" t="inlineStr">
        <s:is>
          <s:t>P3-E08</s:t>
        </s:is>
      </s:c>
      <s:c r="B53" s="7" t="inlineStr">
        <s:is>
          <s:t>P3</s:t>
        </s:is>
      </s:c>
      <s:c r="C53" s="7" t="inlineStr">
        <s:is>
          <s:t>May 2014–June 2024</s:t>
        </s:is>
      </s:c>
      <s:c r="D53" s="7" t="inlineStr">
        <s:is>
          <s:t>Era</s:t>
        </s:is>
      </s:c>
      <s:c r="E53" s="7" t="inlineStr">
        <s:is>
          <s:t>Social environment</s:t>
        </s:is>
      </s:c>
      <s:c r="F53" s="7" t="inlineStr">
        <s:is>
          <s:t>Material finding</s:t>
        </s:is>
      </s:c>
      <s:c r="G53" s="7" t="inlineStr">
        <s:is>
          <s:t>Religious identification, tolerance and social separation coexist in survey findings; the electorate is heterogeneous.</s:t>
        </s:is>
      </s:c>
      <s:c r="H53" s="7" t="inlineStr">
        <s:is>
          <s:t>Contemporary Union governments, state governments and opposition leaders</s:t>
        </s:is>
      </s:c>
      <s:c r="I53" s="7" t="inlineStr">
        <s:is>
          <s:t>Use contemporaneous institutions and alternatives; later concepts do not excuse earlier conduct.</s:t>
        </s:is>
      </s:c>
      <s:c r="J53" s="7" t="inlineStr">
        <s:is>
          <s:t>Policy claims, national aggregates and rights assessments measure different things.</s:t>
        </s:is>
      </s:c>
      <s:c r="K53" s="7" t="inlineStr">
        <s:is>
          <s:t>Analysis</s:t>
        </s:is>
      </s:c>
      <s:c r="L53" s="7" t="inlineStr">
        <s:is>
          <s:t>Single credible source</s:t>
        </s:is>
      </s:c>
      <s:c r="M53" s="8" t="inlineStr">
        <s:is>
          <s:t>S073</s:t>
        </s:is>
      </s:c>
      <s:c r="N53" s="7" t="inlineStr">
        <s:is>
          <s:t>Interpret alongside the named phase and source limitations.</s:t>
        </s:is>
      </s:c>
    </s:row>
    <s:row r="54" ht="80" customHeight="1">
      <s:c r="A54" s="5" t="inlineStr">
        <s:is>
          <s:t>P3-E09</s:t>
        </s:is>
      </s:c>
      <s:c r="B54" s="5" t="inlineStr">
        <s:is>
          <s:t>P3</s:t>
        </s:is>
      </s:c>
      <s:c r="C54" s="5" t="inlineStr">
        <s:is>
          <s:t>May 2014–June 2024</s:t>
        </s:is>
      </s:c>
      <s:c r="D54" s="5" t="inlineStr">
        <s:is>
          <s:t>Era</s:t>
        </s:is>
      </s:c>
      <s:c r="E54" s="5" t="inlineStr">
        <s:is>
          <s:t>State structure and political geography</s:t>
        </s:is>
      </s:c>
      <s:c r="F54" s="5" t="inlineStr">
        <s:is>
          <s:t>Material finding</s:t>
        </s:is>
      </s:c>
      <s:c r="G54" s="5" t="inlineStr">
        <s:is>
          <s:t>The 2019 Jammu and Kashmir reorganization altered Centre–territory relations; the 2023 ruling addressed abrogation.</s:t>
        </s:is>
      </s:c>
      <s:c r="H54" s="5" t="inlineStr">
        <s:is>
          <s:t>Contemporary Union governments, state governments and opposition leaders</s:t>
        </s:is>
      </s:c>
      <s:c r="I54" s="5" t="inlineStr">
        <s:is>
          <s:t>Use contemporaneous institutions and alternatives; later concepts do not excuse earlier conduct.</s:t>
        </s:is>
      </s:c>
      <s:c r="J54" s="5" t="inlineStr">
        <s:is>
          <s:t>Policy claims, national aggregates and rights assessments measure different things.</s:t>
        </s:is>
      </s:c>
      <s:c r="K54" s="5" t="inlineStr">
        <s:is>
          <s:t>Analysis</s:t>
        </s:is>
      </s:c>
      <s:c r="L54" s="5" t="inlineStr">
        <s:is>
          <s:t>Single credible source</s:t>
        </s:is>
      </s:c>
      <s:c r="M54" s="6" t="inlineStr">
        <s:is>
          <s:t>S034</s:t>
        </s:is>
      </s:c>
      <s:c r="N54" s="5" t="inlineStr">
        <s:is>
          <s:t>Interpret alongside the named phase and source limitations.</s:t>
        </s:is>
      </s:c>
    </s:row>
    <s:row r="55" ht="80" customHeight="1">
      <s:c r="A55" s="7" t="inlineStr">
        <s:is>
          <s:t>P3-E10</s:t>
        </s:is>
      </s:c>
      <s:c r="B55" s="7" t="inlineStr">
        <s:is>
          <s:t>P3</s:t>
        </s:is>
      </s:c>
      <s:c r="C55" s="7" t="inlineStr">
        <s:is>
          <s:t>May 2014–June 2024</s:t>
        </s:is>
      </s:c>
      <s:c r="D55" s="7" t="inlineStr">
        <s:is>
          <s:t>Era</s:t>
        </s:is>
      </s:c>
      <s:c r="E55" s="7" t="inlineStr">
        <s:is>
          <s:t>Evidence environment</s:t>
        </s:is>
      </s:c>
      <s:c r="F55" s="13" t="inlineStr">
        <s:is>
          <s:t>Research limitation</s:t>
        </s:is>
      </s:c>
      <s:c r="G55" s="7" t="inlineStr">
        <s:is>
          <s:t>Pandemic mortality illustrates why administrative counts, modeled estimates and political rebuttals must remain separate.</s:t>
        </s:is>
      </s:c>
      <s:c r="H55" s="7" t="inlineStr">
        <s:is>
          <s:t>Contemporary Union governments, state governments and opposition leaders</s:t>
        </s:is>
      </s:c>
      <s:c r="I55" s="7" t="inlineStr">
        <s:is>
          <s:t>Use contemporaneous institutions and alternatives; later concepts do not excuse earlier conduct.</s:t>
        </s:is>
      </s:c>
      <s:c r="J55" s="7" t="inlineStr">
        <s:is>
          <s:t>Policy claims, national aggregates and rights assessments measure different things.</s:t>
        </s:is>
      </s:c>
      <s:c r="K55" s="7" t="inlineStr">
        <s:is>
          <s:t>Disputed/uncertain</s:t>
        </s:is>
      </s:c>
      <s:c r="L55" s="7" t="inlineStr">
        <s:is>
          <s:t>Unresolved</s:t>
        </s:is>
      </s:c>
      <s:c r="M55" s="8" t="inlineStr">
        <s:is>
          <s:t>S038</s:t>
        </s:is>
      </s:c>
      <s:c r="N55" s="7" t="inlineStr">
        <s:is>
          <s:t>Gap rows cite the record reviewed, not proof of absence.</s:t>
        </s:is>
      </s:c>
    </s:row>
    <s:row r="56" ht="80" customHeight="1">
      <s:c r="A56" s="5" t="inlineStr">
        <s:is>
          <s:t>P3-G01</s:t>
        </s:is>
      </s:c>
      <s:c r="B56" s="5" t="inlineStr">
        <s:is>
          <s:t>P3</s:t>
        </s:is>
      </s:c>
      <s:c r="C56" s="5" t="inlineStr">
        <s:is>
          <s:t>May 2014–June 2024</s:t>
        </s:is>
      </s:c>
      <s:c r="D56" s="5" t="inlineStr">
        <s:is>
          <s:t>Gender</s:t>
        </s:is>
      </s:c>
      <s:c r="E56" s="5" t="inlineStr">
        <s:is>
          <s:t>Entry and advancement</s:t>
        </s:is>
      </s:c>
      <s:c r="F56" s="13" t="inlineStr">
        <s:is>
          <s:t>Research limitation</s:t>
        </s:is>
      </s:c>
      <s:c r="G56" s="5" t="inlineStr">
        <s:is>
          <s:t>Winning national leadership did not itself demonstrate equal access for women within the party.</s:t>
        </s:is>
      </s:c>
      <s:c r="H56" s="5" t="inlineStr">
        <s:is>
          <s:t>Contemporary Union governments, state governments and opposition leaders</s:t>
        </s:is>
      </s:c>
      <s:c r="I56" s="5" t="inlineStr">
        <s:is>
          <s:t>Use contemporaneous institutions and alternatives; later concepts do not excuse earlier conduct.</s:t>
        </s:is>
      </s:c>
      <s:c r="J56" s="5" t="inlineStr">
        <s:is>
          <s:t>Policy claims, national aggregates and rights assessments measure different things.</s:t>
        </s:is>
      </s:c>
      <s:c r="K56" s="5" t="inlineStr">
        <s:is>
          <s:t>Disputed/uncertain</s:t>
        </s:is>
      </s:c>
      <s:c r="L56" s="5" t="inlineStr">
        <s:is>
          <s:t>Unresolved</s:t>
        </s:is>
      </s:c>
      <s:c r="M56" s="6" t="inlineStr">
        <s:is>
          <s:t>S040</s:t>
        </s:is>
      </s:c>
      <s:c r="N56" s="5" t="inlineStr">
        <s:is>
          <s:t>Gap rows cite the record reviewed, not proof of absence.</s:t>
        </s:is>
      </s:c>
    </s:row>
    <s:row r="57" ht="80" customHeight="1">
      <s:c r="A57" s="7" t="inlineStr">
        <s:is>
          <s:t>P3-G02</s:t>
        </s:is>
      </s:c>
      <s:c r="B57" s="7" t="inlineStr">
        <s:is>
          <s:t>P3</s:t>
        </s:is>
      </s:c>
      <s:c r="C57" s="7" t="inlineStr">
        <s:is>
          <s:t>May 2014–June 2024</s:t>
        </s:is>
      </s:c>
      <s:c r="D57" s="7" t="inlineStr">
        <s:is>
          <s:t>Gender</s:t>
        </s:is>
      </s:c>
      <s:c r="E57" s="7" t="inlineStr">
        <s:is>
          <s:t>Milestones</s:t>
        </s:is>
      </s:c>
      <s:c r="F57" s="7" t="inlineStr">
        <s:is>
          <s:t>Material finding</s:t>
        </s:is>
      </s:c>
      <s:c r="G57" s="7" t="inlineStr">
        <s:is>
          <s:t>The 2023 reservation amendment was a legislative milestone; reserved-seat implementation was deferred.</s:t>
        </s:is>
      </s:c>
      <s:c r="H57" s="7" t="inlineStr">
        <s:is>
          <s:t>Contemporary Union governments, state governments and opposition leaders</s:t>
        </s:is>
      </s:c>
      <s:c r="I57" s="7" t="inlineStr">
        <s:is>
          <s:t>Use contemporaneous institutions and alternatives; later concepts do not excuse earlier conduct.</s:t>
        </s:is>
      </s:c>
      <s:c r="J57" s="7" t="inlineStr">
        <s:is>
          <s:t>Policy claims, national aggregates and rights assessments measure different things.</s:t>
        </s:is>
      </s:c>
      <s:c r="K57" s="7" t="inlineStr">
        <s:is>
          <s:t>Analysis</s:t>
        </s:is>
      </s:c>
      <s:c r="L57" s="7" t="inlineStr">
        <s:is>
          <s:t>Single credible source</s:t>
        </s:is>
      </s:c>
      <s:c r="M57" s="8" t="inlineStr">
        <s:is>
          <s:t>S040</s:t>
        </s:is>
      </s:c>
      <s:c r="N57" s="7" t="inlineStr">
        <s:is>
          <s:t>Interpret alongside the named phase and source limitations.</s:t>
        </s:is>
      </s:c>
    </s:row>
    <s:row r="58" ht="80" customHeight="1">
      <s:c r="A58" s="5" t="inlineStr">
        <s:is>
          <s:t>P3-G03</s:t>
        </s:is>
      </s:c>
      <s:c r="B58" s="5" t="inlineStr">
        <s:is>
          <s:t>P3</s:t>
        </s:is>
      </s:c>
      <s:c r="C58" s="5" t="inlineStr">
        <s:is>
          <s:t>May 2014–June 2024</s:t>
        </s:is>
      </s:c>
      <s:c r="D58" s="5" t="inlineStr">
        <s:is>
          <s:t>Gender</s:t>
        </s:is>
      </s:c>
      <s:c r="E58" s="5" t="inlineStr">
        <s:is>
          <s:t>Networks and pathways</s:t>
        </s:is>
      </s:c>
      <s:c r="F58" s="13" t="inlineStr">
        <s:is>
          <s:t>Research limitation</s:t>
        </s:is>
      </s:c>
      <s:c r="G58" s="5" t="inlineStr">
        <s:is>
          <s:t>Anti-dynastic self-presentation requires separate scrutiny from the distribution of organizational power.</s:t>
        </s:is>
      </s:c>
      <s:c r="H58" s="5" t="inlineStr">
        <s:is>
          <s:t>Contemporary Union governments, state governments and opposition leaders</s:t>
        </s:is>
      </s:c>
      <s:c r="I58" s="5" t="inlineStr">
        <s:is>
          <s:t>Use contemporaneous institutions and alternatives; later concepts do not excuse earlier conduct.</s:t>
        </s:is>
      </s:c>
      <s:c r="J58" s="5" t="inlineStr">
        <s:is>
          <s:t>Policy claims, national aggregates and rights assessments measure different things.</s:t>
        </s:is>
      </s:c>
      <s:c r="K58" s="5" t="inlineStr">
        <s:is>
          <s:t>Disputed/uncertain</s:t>
        </s:is>
      </s:c>
      <s:c r="L58" s="5" t="inlineStr">
        <s:is>
          <s:t>Unresolved</s:t>
        </s:is>
      </s:c>
      <s:c r="M58" s="6" t="inlineStr">
        <s:is>
          <s:t>S002</s:t>
        </s:is>
      </s:c>
      <s:c r="N58" s="5" t="inlineStr">
        <s:is>
          <s:t>Gap rows cite the record reviewed, not proof of absence.</s:t>
        </s:is>
      </s:c>
    </s:row>
    <s:row r="59" ht="80" customHeight="1">
      <s:c r="A59" s="7" t="inlineStr">
        <s:is>
          <s:t>P3-G04</s:t>
        </s:is>
      </s:c>
      <s:c r="B59" s="7" t="inlineStr">
        <s:is>
          <s:t>P3</s:t>
        </s:is>
      </s:c>
      <s:c r="C59" s="7" t="inlineStr">
        <s:is>
          <s:t>May 2014–June 2024</s:t>
        </s:is>
      </s:c>
      <s:c r="D59" s="7" t="inlineStr">
        <s:is>
          <s:t>Gender</s:t>
        </s:is>
      </s:c>
      <s:c r="E59" s="7" t="inlineStr">
        <s:is>
          <s:t>Role and portfolio allocation</s:t>
        </s:is>
      </s:c>
      <s:c r="F59" s="13" t="inlineStr">
        <s:is>
          <s:t>Research limitation</s:t>
        </s:is>
      </s:c>
      <s:c r="G59" s="7" t="inlineStr">
        <s:is>
          <s:t>Gender scholarship addresses the public executive persona, not proof of gender-based ministerial allocation.</s:t>
        </s:is>
      </s:c>
      <s:c r="H59" s="7" t="inlineStr">
        <s:is>
          <s:t>Contemporary Union governments, state governments and opposition leaders</s:t>
        </s:is>
      </s:c>
      <s:c r="I59" s="7" t="inlineStr">
        <s:is>
          <s:t>Use contemporaneous institutions and alternatives; later concepts do not excuse earlier conduct.</s:t>
        </s:is>
      </s:c>
      <s:c r="J59" s="7" t="inlineStr">
        <s:is>
          <s:t>Policy claims, national aggregates and rights assessments measure different things.</s:t>
        </s:is>
      </s:c>
      <s:c r="K59" s="7" t="inlineStr">
        <s:is>
          <s:t>Disputed/uncertain</s:t>
        </s:is>
      </s:c>
      <s:c r="L59" s="7" t="inlineStr">
        <s:is>
          <s:t>Unresolved</s:t>
        </s:is>
      </s:c>
      <s:c r="M59" s="8" t="inlineStr">
        <s:is>
          <s:t>S044</s:t>
        </s:is>
      </s:c>
      <s:c r="N59" s="7" t="inlineStr">
        <s:is>
          <s:t>Gap rows cite the record reviewed, not proof of absence.</s:t>
        </s:is>
      </s:c>
    </s:row>
    <s:row r="60" ht="80" customHeight="1">
      <s:c r="A60" s="5" t="inlineStr">
        <s:is>
          <s:t>P3-G05</s:t>
        </s:is>
      </s:c>
      <s:c r="B60" s="5" t="inlineStr">
        <s:is>
          <s:t>P3</s:t>
        </s:is>
      </s:c>
      <s:c r="C60" s="5" t="inlineStr">
        <s:is>
          <s:t>May 2014–June 2024</s:t>
        </s:is>
      </s:c>
      <s:c r="D60" s="5" t="inlineStr">
        <s:is>
          <s:t>Gender</s:t>
        </s:is>
      </s:c>
      <s:c r="E60" s="5" t="inlineStr">
        <s:is>
          <s:t>Campaign and media treatment</s:t>
        </s:is>
      </s:c>
      <s:c r="F60" s="5" t="inlineStr">
        <s:is>
          <s:t>Material finding</s:t>
        </s:is>
      </s:c>
      <s:c r="G60" s="5" t="inlineStr">
        <s:is>
          <s:t>Srivastava interprets the 2014 strength imagery as a gendered media construction.</s:t>
        </s:is>
      </s:c>
      <s:c r="H60" s="5" t="inlineStr">
        <s:is>
          <s:t>Contemporary Union governments, state governments and opposition leaders</s:t>
        </s:is>
      </s:c>
      <s:c r="I60" s="5" t="inlineStr">
        <s:is>
          <s:t>Use contemporaneous institutions and alternatives; later concepts do not excuse earlier conduct.</s:t>
        </s:is>
      </s:c>
      <s:c r="J60" s="5" t="inlineStr">
        <s:is>
          <s:t>Policy claims, national aggregates and rights assessments measure different things.</s:t>
        </s:is>
      </s:c>
      <s:c r="K60" s="5" t="inlineStr">
        <s:is>
          <s:t>Analysis</s:t>
        </s:is>
      </s:c>
      <s:c r="L60" s="5" t="inlineStr">
        <s:is>
          <s:t>Single credible source</s:t>
        </s:is>
      </s:c>
      <s:c r="M60" s="6" t="inlineStr">
        <s:is>
          <s:t>S044</s:t>
        </s:is>
      </s:c>
      <s:c r="N60" s="5" t="inlineStr">
        <s:is>
          <s:t>Interpret alongside the named phase and source limitations.</s:t>
        </s:is>
      </s:c>
    </s:row>
    <s:row r="61" ht="80" customHeight="1">
      <s:c r="A61" s="7" t="inlineStr">
        <s:is>
          <s:t>P3-G06</s:t>
        </s:is>
      </s:c>
      <s:c r="B61" s="7" t="inlineStr">
        <s:is>
          <s:t>P3</s:t>
        </s:is>
      </s:c>
      <s:c r="C61" s="7" t="inlineStr">
        <s:is>
          <s:t>May 2014–June 2024</s:t>
        </s:is>
      </s:c>
      <s:c r="D61" s="7" t="inlineStr">
        <s:is>
          <s:t>Gender</s:t>
        </s:is>
      </s:c>
      <s:c r="E61" s="7" t="inlineStr">
        <s:is>
          <s:t>Threats and security</s:t>
        </s:is>
      </s:c>
      <s:c r="F61" s="7" t="inlineStr">
        <s:is>
          <s:t>Material finding</s:t>
        </s:is>
      </s:c>
      <s:c r="G61" s="7" t="inlineStr">
        <s:is>
          <s:t>Statutory prime-ministerial protection is office-based; it does not prove gender-specific threat exposure.</s:t>
        </s:is>
      </s:c>
      <s:c r="H61" s="7" t="inlineStr">
        <s:is>
          <s:t>Contemporary Union governments, state governments and opposition leaders</s:t>
        </s:is>
      </s:c>
      <s:c r="I61" s="7" t="inlineStr">
        <s:is>
          <s:t>Use contemporaneous institutions and alternatives; later concepts do not excuse earlier conduct.</s:t>
        </s:is>
      </s:c>
      <s:c r="J61" s="7" t="inlineStr">
        <s:is>
          <s:t>Policy claims, national aggregates and rights assessments measure different things.</s:t>
        </s:is>
      </s:c>
      <s:c r="K61" s="7" t="inlineStr">
        <s:is>
          <s:t>Analysis</s:t>
        </s:is>
      </s:c>
      <s:c r="L61" s="7" t="inlineStr">
        <s:is>
          <s:t>Single credible source</s:t>
        </s:is>
      </s:c>
      <s:c r="M61" s="8" t="inlineStr">
        <s:is>
          <s:t>S045</s:t>
        </s:is>
      </s:c>
      <s:c r="N61" s="7" t="inlineStr">
        <s:is>
          <s:t>Interpret alongside the named phase and source limitations.</s:t>
        </s:is>
      </s:c>
    </s:row>
    <s:row r="62" ht="80" customHeight="1">
      <s:c r="A62" s="5" t="inlineStr">
        <s:is>
          <s:t>P3-G07</s:t>
        </s:is>
      </s:c>
      <s:c r="B62" s="5" t="inlineStr">
        <s:is>
          <s:t>P3</s:t>
        </s:is>
      </s:c>
      <s:c r="C62" s="5" t="inlineStr">
        <s:is>
          <s:t>May 2014–June 2024</s:t>
        </s:is>
      </s:c>
      <s:c r="D62" s="5" t="inlineStr">
        <s:is>
          <s:t>Gender</s:t>
        </s:is>
      </s:c>
      <s:c r="E62" s="5" t="inlineStr">
        <s:is>
          <s:t>Gender-related policy and organizations</s:t>
        </s:is>
      </s:c>
      <s:c r="F62" s="5" t="inlineStr">
        <s:is>
          <s:t>Material finding</s:t>
        </s:is>
      </s:c>
      <s:c r="G62" s="5" t="inlineStr">
        <s:is>
          <s:t>Ujjwala and marriage-law reform addressed women explicitly; implementation and criminalization need separate evaluation.</s:t>
        </s:is>
      </s:c>
      <s:c r="H62" s="5" t="inlineStr">
        <s:is>
          <s:t>Contemporary Union governments, state governments and opposition leaders</s:t>
        </s:is>
      </s:c>
      <s:c r="I62" s="5" t="inlineStr">
        <s:is>
          <s:t>Use contemporaneous institutions and alternatives; later concepts do not excuse earlier conduct.</s:t>
        </s:is>
      </s:c>
      <s:c r="J62" s="5" t="inlineStr">
        <s:is>
          <s:t>Policy claims, national aggregates and rights assessments measure different things.</s:t>
        </s:is>
      </s:c>
      <s:c r="K62" s="5" t="inlineStr">
        <s:is>
          <s:t>Analysis</s:t>
        </s:is>
      </s:c>
      <s:c r="L62" s="5" t="inlineStr">
        <s:is>
          <s:t>Single credible source</s:t>
        </s:is>
      </s:c>
      <s:c r="M62" s="6" t="inlineStr">
        <s:is>
          <s:t>S043</s:t>
        </s:is>
      </s:c>
      <s:c r="N62" s="5" t="inlineStr">
        <s:is>
          <s:t>Interpret alongside the named phase and source limitations.</s:t>
        </s:is>
      </s:c>
    </s:row>
    <s:row r="63" ht="80" customHeight="1">
      <s:c r="A63" s="7" t="inlineStr">
        <s:is>
          <s:t>P3-G08</s:t>
        </s:is>
      </s:c>
      <s:c r="B63" s="7" t="inlineStr">
        <s:is>
          <s:t>P3</s:t>
        </s:is>
      </s:c>
      <s:c r="C63" s="7" t="inlineStr">
        <s:is>
          <s:t>May 2014–June 2024</s:t>
        </s:is>
      </s:c>
      <s:c r="D63" s="7" t="inlineStr">
        <s:is>
          <s:t>Gender</s:t>
        </s:is>
      </s:c>
      <s:c r="E63" s="7" t="inlineStr">
        <s:is>
          <s:t>Political use of identity</s:t>
        </s:is>
      </s:c>
      <s:c r="F63" s="7" t="inlineStr">
        <s:is>
          <s:t>Material finding</s:t>
        </s:is>
      </s:c>
      <s:c r="G63" s="7" t="inlineStr">
        <s:is>
          <s:t>Protector and strength imagery are analytical themes in scholarship, not biological explanations of conduct.</s:t>
        </s:is>
      </s:c>
      <s:c r="H63" s="7" t="inlineStr">
        <s:is>
          <s:t>Contemporary Union governments, state governments and opposition leaders</s:t>
        </s:is>
      </s:c>
      <s:c r="I63" s="7" t="inlineStr">
        <s:is>
          <s:t>Use contemporaneous institutions and alternatives; later concepts do not excuse earlier conduct.</s:t>
        </s:is>
      </s:c>
      <s:c r="J63" s="7" t="inlineStr">
        <s:is>
          <s:t>Policy claims, national aggregates and rights assessments measure different things.</s:t>
        </s:is>
      </s:c>
      <s:c r="K63" s="7" t="inlineStr">
        <s:is>
          <s:t>Analysis</s:t>
        </s:is>
      </s:c>
      <s:c r="L63" s="7" t="inlineStr">
        <s:is>
          <s:t>Single credible source</s:t>
        </s:is>
      </s:c>
      <s:c r="M63" s="8" t="inlineStr">
        <s:is>
          <s:t>S044</s:t>
        </s:is>
      </s:c>
      <s:c r="N63" s="7" t="inlineStr">
        <s:is>
          <s:t>Interpret alongside the named phase and source limitations.</s:t>
        </s:is>
      </s:c>
    </s:row>
    <s:row r="64" ht="80" customHeight="1">
      <s:c r="A64" s="5" t="inlineStr">
        <s:is>
          <s:t>P3-G09</s:t>
        </s:is>
      </s:c>
      <s:c r="B64" s="5" t="inlineStr">
        <s:is>
          <s:t>P3</s:t>
        </s:is>
      </s:c>
      <s:c r="C64" s="5" t="inlineStr">
        <s:is>
          <s:t>May 2014–June 2024</s:t>
        </s:is>
      </s:c>
      <s:c r="D64" s="5" t="inlineStr">
        <s:is>
          <s:t>Gender</s:t>
        </s:is>
      </s:c>
      <s:c r="E64" s="5" t="inlineStr">
        <s:is>
          <s:t>Representation and effects</s:t>
        </s:is>
      </s:c>
      <s:c r="F64" s="5" t="inlineStr">
        <s:is>
          <s:t>Material finding</s:t>
        </s:is>
      </s:c>
      <s:c r="G64" s="5" t="inlineStr">
        <s:is>
          <s:t>LPG connections provide access; the audit’s refill evidence cautions against equating access with sustained use.</s:t>
        </s:is>
      </s:c>
      <s:c r="H64" s="5" t="inlineStr">
        <s:is>
          <s:t>Contemporary Union governments, state governments and opposition leaders</s:t>
        </s:is>
      </s:c>
      <s:c r="I64" s="5" t="inlineStr">
        <s:is>
          <s:t>Use contemporaneous institutions and alternatives; later concepts do not excuse earlier conduct.</s:t>
        </s:is>
      </s:c>
      <s:c r="J64" s="5" t="inlineStr">
        <s:is>
          <s:t>Policy claims, national aggregates and rights assessments measure different things.</s:t>
        </s:is>
      </s:c>
      <s:c r="K64" s="5" t="inlineStr">
        <s:is>
          <s:t>Analysis</s:t>
        </s:is>
      </s:c>
      <s:c r="L64" s="5" t="inlineStr">
        <s:is>
          <s:t>Single credible source</s:t>
        </s:is>
      </s:c>
      <s:c r="M64" s="6" t="inlineStr">
        <s:is>
          <s:t>S025</s:t>
        </s:is>
      </s:c>
      <s:c r="N64" s="5" t="inlineStr">
        <s:is>
          <s:t>Interpret alongside the named phase and source limitations.</s:t>
        </s:is>
      </s:c>
    </s:row>
    <s:row r="65" ht="80" customHeight="1">
      <s:c r="A65" s="7" t="inlineStr">
        <s:is>
          <s:t>P3-G10</s:t>
        </s:is>
      </s:c>
      <s:c r="B65" s="7" t="inlineStr">
        <s:is>
          <s:t>P3</s:t>
        </s:is>
      </s:c>
      <s:c r="C65" s="7" t="inlineStr">
        <s:is>
          <s:t>May 2014–June 2024</s:t>
        </s:is>
      </s:c>
      <s:c r="D65" s="7" t="inlineStr">
        <s:is>
          <s:t>Gender</s:t>
        </s:is>
      </s:c>
      <s:c r="E65" s="7" t="inlineStr">
        <s:is>
          <s:t>Assessment over time</s:t>
        </s:is>
      </s:c>
      <s:c r="F65" s="7" t="inlineStr">
        <s:is>
          <s:t>Material finding</s:t>
        </s:is>
      </s:c>
      <s:c r="G65" s="7" t="inlineStr">
        <s:is>
          <s:t>Feminist media analysis and administrative program evaluation supply complementary but non-equivalent assessments.</s:t>
        </s:is>
      </s:c>
      <s:c r="H65" s="7" t="inlineStr">
        <s:is>
          <s:t>Contemporary Union governments, state governments and opposition leaders</s:t>
        </s:is>
      </s:c>
      <s:c r="I65" s="7" t="inlineStr">
        <s:is>
          <s:t>Use contemporaneous institutions and alternatives; later concepts do not excuse earlier conduct.</s:t>
        </s:is>
      </s:c>
      <s:c r="J65" s="7" t="inlineStr">
        <s:is>
          <s:t>Policy claims, national aggregates and rights assessments measure different things.</s:t>
        </s:is>
      </s:c>
      <s:c r="K65" s="7" t="inlineStr">
        <s:is>
          <s:t>Analysis</s:t>
        </s:is>
      </s:c>
      <s:c r="L65" s="7" t="inlineStr">
        <s:is>
          <s:t>Single credible source</s:t>
        </s:is>
      </s:c>
      <s:c r="M65" s="8" t="inlineStr">
        <s:is>
          <s:t>S044</s:t>
        </s:is>
      </s:c>
      <s:c r="N65" s="7" t="inlineStr">
        <s:is>
          <s:t>Interpret alongside the named phase and source limitations.</s:t>
        </s:is>
      </s:c>
    </s:row>
    <s:row r="66" ht="80" customHeight="1">
      <s:c r="A66" s="5" t="inlineStr">
        <s:is>
          <s:t>P4-E01</s:t>
        </s:is>
      </s:c>
      <s:c r="B66" s="5" t="inlineStr">
        <s:is>
          <s:t>P4</s:t>
        </s:is>
      </s:c>
      <s:c r="C66" s="5" t="inlineStr">
        <s:is>
          <s:t>June 2024–24 Sep 2026</s:t>
        </s:is>
      </s:c>
      <s:c r="D66" s="5" t="inlineStr">
        <s:is>
          <s:t>Era</s:t>
        </s:is>
      </s:c>
      <s:c r="E66" s="5" t="inlineStr">
        <s:is>
          <s:t>Party system</s:t>
        </s:is>
      </s:c>
      <s:c r="F66" s="5" t="inlineStr">
        <s:is>
          <s:t>Material finding</s:t>
        </s:is>
      </s:c>
      <s:c r="G66" s="5" t="inlineStr">
        <s:is>
          <s:t>The 2024 mandate required coalition support; later state victories did not rewrite that Lok Sabha result.</s:t>
        </s:is>
      </s:c>
      <s:c r="H66" s="5" t="inlineStr">
        <s:is>
          <s:t>BJP allies, opposition governments and comparable coalition cabinets</s:t>
        </s:is>
      </s:c>
      <s:c r="I66" s="5" t="inlineStr">
        <s:is>
          <s:t>Use contemporaneous institutions and alternatives; later concepts do not excuse earlier conduct.</s:t>
        </s:is>
      </s:c>
      <s:c r="J66" s="5" t="inlineStr">
        <s:is>
          <s:t>Recent outcomes remain provisional; source publication date differs from data reference period.</s:t>
        </s:is>
      </s:c>
      <s:c r="K66" s="5" t="inlineStr">
        <s:is>
          <s:t>Analysis</s:t>
        </s:is>
      </s:c>
      <s:c r="L66" s="5" t="inlineStr">
        <s:is>
          <s:t>Single credible source</s:t>
        </s:is>
      </s:c>
      <s:c r="M66" s="6" t="inlineStr">
        <s:is>
          <s:t>S012</s:t>
        </s:is>
      </s:c>
      <s:c r="N66" s="5" t="inlineStr">
        <s:is>
          <s:t>Interpret alongside the named phase and source limitations.</s:t>
        </s:is>
      </s:c>
    </s:row>
    <s:row r="67" ht="80" customHeight="1">
      <s:c r="A67" s="7" t="inlineStr">
        <s:is>
          <s:t>P4-E02</s:t>
        </s:is>
      </s:c>
      <s:c r="B67" s="7" t="inlineStr">
        <s:is>
          <s:t>P4</s:t>
        </s:is>
      </s:c>
      <s:c r="C67" s="7" t="inlineStr">
        <s:is>
          <s:t>June 2024–24 Sep 2026</s:t>
        </s:is>
      </s:c>
      <s:c r="D67" s="7" t="inlineStr">
        <s:is>
          <s:t>Era</s:t>
        </s:is>
      </s:c>
      <s:c r="E67" s="7" t="inlineStr">
        <s:is>
          <s:t>Constitutional and institutional environment</s:t>
        </s:is>
      </s:c>
      <s:c r="F67" s="7" t="inlineStr">
        <s:is>
          <s:t>Material finding</s:t>
        </s:is>
      </s:c>
      <s:c r="G67" s="7" t="inlineStr">
        <s:is>
          <s:t>The failed 2026 amendment demonstrates the difference between ordinary governing strength and constitutional majorities.</s:t>
        </s:is>
      </s:c>
      <s:c r="H67" s="7" t="inlineStr">
        <s:is>
          <s:t>BJP allies, opposition governments and comparable coalition cabinets</s:t>
        </s:is>
      </s:c>
      <s:c r="I67" s="7" t="inlineStr">
        <s:is>
          <s:t>Use contemporaneous institutions and alternatives; later concepts do not excuse earlier conduct.</s:t>
        </s:is>
      </s:c>
      <s:c r="J67" s="7" t="inlineStr">
        <s:is>
          <s:t>Recent outcomes remain provisional; source publication date differs from data reference period.</s:t>
        </s:is>
      </s:c>
      <s:c r="K67" s="7" t="inlineStr">
        <s:is>
          <s:t>Analysis</s:t>
        </s:is>
      </s:c>
      <s:c r="L67" s="7" t="inlineStr">
        <s:is>
          <s:t>Single credible source</s:t>
        </s:is>
      </s:c>
      <s:c r="M67" s="8" t="inlineStr">
        <s:is>
          <s:t>S041</s:t>
        </s:is>
      </s:c>
      <s:c r="N67" s="7" t="inlineStr">
        <s:is>
          <s:t>Interpret alongside the named phase and source limitations.</s:t>
        </s:is>
      </s:c>
    </s:row>
    <s:row r="68" ht="80" customHeight="1">
      <s:c r="A68" s="5" t="inlineStr">
        <s:is>
          <s:t>P4-E03</s:t>
        </s:is>
      </s:c>
      <s:c r="B68" s="5" t="inlineStr">
        <s:is>
          <s:t>P4</s:t>
        </s:is>
      </s:c>
      <s:c r="C68" s="5" t="inlineStr">
        <s:is>
          <s:t>June 2024–24 Sep 2026</s:t>
        </s:is>
      </s:c>
      <s:c r="D68" s="5" t="inlineStr">
        <s:is>
          <s:t>Era</s:t>
        </s:is>
      </s:c>
      <s:c r="E68" s="5" t="inlineStr">
        <s:is>
          <s:t>Electoral environment</s:t>
        </s:is>
      </s:c>
      <s:c r="F68" s="5" t="inlineStr">
        <s:is>
          <s:t>Material finding</s:t>
        </s:is>
      </s:c>
      <s:c r="G68" s="5" t="inlineStr">
        <s:is>
          <s:t>Modi remained a national campaign leader, not a personal contestant in the cited Bihar and Bengal elections.</s:t>
        </s:is>
      </s:c>
      <s:c r="H68" s="5" t="inlineStr">
        <s:is>
          <s:t>BJP allies, opposition governments and comparable coalition cabinets</s:t>
        </s:is>
      </s:c>
      <s:c r="I68" s="5" t="inlineStr">
        <s:is>
          <s:t>Use contemporaneous institutions and alternatives; later concepts do not excuse earlier conduct.</s:t>
        </s:is>
      </s:c>
      <s:c r="J68" s="5" t="inlineStr">
        <s:is>
          <s:t>Recent outcomes remain provisional; source publication date differs from data reference period.</s:t>
        </s:is>
      </s:c>
      <s:c r="K68" s="5" t="inlineStr">
        <s:is>
          <s:t>Analysis</s:t>
        </s:is>
      </s:c>
      <s:c r="L68" s="5" t="inlineStr">
        <s:is>
          <s:t>Single credible source</s:t>
        </s:is>
      </s:c>
      <s:c r="M68" s="6" t="inlineStr">
        <s:is>
          <s:t>S066</s:t>
        </s:is>
      </s:c>
      <s:c r="N68" s="5" t="inlineStr">
        <s:is>
          <s:t>Interpret alongside the named phase and source limitations.</s:t>
        </s:is>
      </s:c>
    </s:row>
    <s:row r="69" ht="80" customHeight="1">
      <s:c r="A69" s="7" t="inlineStr">
        <s:is>
          <s:t>P4-E04</s:t>
        </s:is>
      </s:c>
      <s:c r="B69" s="7" t="inlineStr">
        <s:is>
          <s:t>P4</s:t>
        </s:is>
      </s:c>
      <s:c r="C69" s="7" t="inlineStr">
        <s:is>
          <s:t>June 2024–24 Sep 2026</s:t>
        </s:is>
      </s:c>
      <s:c r="D69" s="7" t="inlineStr">
        <s:is>
          <s:t>Era</s:t>
        </s:is>
      </s:c>
      <s:c r="E69" s="7" t="inlineStr">
        <s:is>
          <s:t>Economic regime</s:t>
        </s:is>
      </s:c>
      <s:c r="F69" s="7" t="inlineStr">
        <s:is>
          <s:t>Material finding</s:t>
        </s:is>
      </s:c>
      <s:c r="G69" s="7" t="inlineStr">
        <s:is>
          <s:t>GST changes, labour-code commencement and trade negotiations marked a new reform phase.</s:t>
        </s:is>
      </s:c>
      <s:c r="H69" s="7" t="inlineStr">
        <s:is>
          <s:t>BJP allies, opposition governments and comparable coalition cabinets</s:t>
        </s:is>
      </s:c>
      <s:c r="I69" s="7" t="inlineStr">
        <s:is>
          <s:t>Use contemporaneous institutions and alternatives; later concepts do not excuse earlier conduct.</s:t>
        </s:is>
      </s:c>
      <s:c r="J69" s="7" t="inlineStr">
        <s:is>
          <s:t>Recent outcomes remain provisional; source publication date differs from data reference period.</s:t>
        </s:is>
      </s:c>
      <s:c r="K69" s="7" t="inlineStr">
        <s:is>
          <s:t>Analysis</s:t>
        </s:is>
      </s:c>
      <s:c r="L69" s="7" t="inlineStr">
        <s:is>
          <s:t>Single credible source</s:t>
        </s:is>
      </s:c>
      <s:c r="M69" s="8" t="inlineStr">
        <s:is>
          <s:t>S075</s:t>
        </s:is>
      </s:c>
      <s:c r="N69" s="7" t="inlineStr">
        <s:is>
          <s:t>Interpret alongside the named phase and source limitations.</s:t>
        </s:is>
      </s:c>
    </s:row>
    <s:row r="70" ht="80" customHeight="1">
      <s:c r="A70" s="5" t="inlineStr">
        <s:is>
          <s:t>P4-E05</s:t>
        </s:is>
      </s:c>
      <s:c r="B70" s="5" t="inlineStr">
        <s:is>
          <s:t>P4</s:t>
        </s:is>
      </s:c>
      <s:c r="C70" s="5" t="inlineStr">
        <s:is>
          <s:t>June 2024–24 Sep 2026</s:t>
        </s:is>
      </s:c>
      <s:c r="D70" s="5" t="inlineStr">
        <s:is>
          <s:t>Era</s:t>
        </s:is>
      </s:c>
      <s:c r="E70" s="5" t="inlineStr">
        <s:is>
          <s:t>International system</s:t>
        </s:is>
      </s:c>
      <s:c r="F70" s="5" t="inlineStr">
        <s:is>
          <s:t>Material finding</s:t>
        </s:is>
      </s:c>
      <s:c r="G70" s="5" t="inlineStr">
        <s:is>
          <s:t>Pakistan escalation and EU negotiations presented different tests of security and economic diplomacy.</s:t>
        </s:is>
      </s:c>
      <s:c r="H70" s="5" t="inlineStr">
        <s:is>
          <s:t>BJP allies, opposition governments and comparable coalition cabinets</s:t>
        </s:is>
      </s:c>
      <s:c r="I70" s="5" t="inlineStr">
        <s:is>
          <s:t>Use contemporaneous institutions and alternatives; later concepts do not excuse earlier conduct.</s:t>
        </s:is>
      </s:c>
      <s:c r="J70" s="5" t="inlineStr">
        <s:is>
          <s:t>Recent outcomes remain provisional; source publication date differs from data reference period.</s:t>
        </s:is>
      </s:c>
      <s:c r="K70" s="5" t="inlineStr">
        <s:is>
          <s:t>Analysis</s:t>
        </s:is>
      </s:c>
      <s:c r="L70" s="5" t="inlineStr">
        <s:is>
          <s:t>Single credible source</s:t>
        </s:is>
      </s:c>
      <s:c r="M70" s="6" t="inlineStr">
        <s:is>
          <s:t>S060</s:t>
        </s:is>
      </s:c>
      <s:c r="N70" s="5" t="inlineStr">
        <s:is>
          <s:t>Interpret alongside the named phase and source limitations.</s:t>
        </s:is>
      </s:c>
    </s:row>
    <s:row r="71" ht="80" customHeight="1">
      <s:c r="A71" s="7" t="inlineStr">
        <s:is>
          <s:t>P4-E06</s:t>
        </s:is>
      </s:c>
      <s:c r="B71" s="7" t="inlineStr">
        <s:is>
          <s:t>P4</s:t>
        </s:is>
      </s:c>
      <s:c r="C71" s="7" t="inlineStr">
        <s:is>
          <s:t>June 2024–24 Sep 2026</s:t>
        </s:is>
      </s:c>
      <s:c r="D71" s="7" t="inlineStr">
        <s:is>
          <s:t>Era</s:t>
        </s:is>
      </s:c>
      <s:c r="E71" s="7" t="inlineStr">
        <s:is>
          <s:t>Media and campaign environment</s:t>
        </s:is>
      </s:c>
      <s:c r="F71" s="7" t="inlineStr">
        <s:is>
          <s:t>Material finding</s:t>
        </s:is>
      </s:c>
      <s:c r="G71" s="7" t="inlineStr">
        <s:is>
          <s:t>New reports raise digital and civil-liberty concerns; campaign effectiveness is not measured here.</s:t>
        </s:is>
      </s:c>
      <s:c r="H71" s="7" t="inlineStr">
        <s:is>
          <s:t>BJP allies, opposition governments and comparable coalition cabinets</s:t>
        </s:is>
      </s:c>
      <s:c r="I71" s="7" t="inlineStr">
        <s:is>
          <s:t>Use contemporaneous institutions and alternatives; later concepts do not excuse earlier conduct.</s:t>
        </s:is>
      </s:c>
      <s:c r="J71" s="7" t="inlineStr">
        <s:is>
          <s:t>Recent outcomes remain provisional; source publication date differs from data reference period.</s:t>
        </s:is>
      </s:c>
      <s:c r="K71" s="7" t="inlineStr">
        <s:is>
          <s:t>Analysis</s:t>
        </s:is>
      </s:c>
      <s:c r="L71" s="7" t="inlineStr">
        <s:is>
          <s:t>Single credible source</s:t>
        </s:is>
      </s:c>
      <s:c r="M71" s="8" t="inlineStr">
        <s:is>
          <s:t>S048</s:t>
        </s:is>
      </s:c>
      <s:c r="N71" s="7" t="inlineStr">
        <s:is>
          <s:t>Interpret alongside the named phase and source limitations.</s:t>
        </s:is>
      </s:c>
    </s:row>
    <s:row r="72" ht="80" customHeight="1">
      <s:c r="A72" s="5" t="inlineStr">
        <s:is>
          <s:t>P4-E07</s:t>
        </s:is>
      </s:c>
      <s:c r="B72" s="5" t="inlineStr">
        <s:is>
          <s:t>P4</s:t>
        </s:is>
      </s:c>
      <s:c r="C72" s="5" t="inlineStr">
        <s:is>
          <s:t>June 2024–24 Sep 2026</s:t>
        </s:is>
      </s:c>
      <s:c r="D72" s="5" t="inlineStr">
        <s:is>
          <s:t>Era</s:t>
        </s:is>
      </s:c>
      <s:c r="E72" s="5" t="inlineStr">
        <s:is>
          <s:t>Political organization</s:t>
        </s:is>
      </s:c>
      <s:c r="F72" s="5" t="inlineStr">
        <s:is>
          <s:t>Material finding</s:t>
        </s:is>
      </s:c>
      <s:c r="G72" s="5" t="inlineStr">
        <s:is>
          <s:t>Coalition coordination joins the established party machinery as a governing requirement.</s:t>
        </s:is>
      </s:c>
      <s:c r="H72" s="5" t="inlineStr">
        <s:is>
          <s:t>BJP allies, opposition governments and comparable coalition cabinets</s:t>
        </s:is>
      </s:c>
      <s:c r="I72" s="5" t="inlineStr">
        <s:is>
          <s:t>Use contemporaneous institutions and alternatives; later concepts do not excuse earlier conduct.</s:t>
        </s:is>
      </s:c>
      <s:c r="J72" s="5" t="inlineStr">
        <s:is>
          <s:t>Recent outcomes remain provisional; source publication date differs from data reference period.</s:t>
        </s:is>
      </s:c>
      <s:c r="K72" s="5" t="inlineStr">
        <s:is>
          <s:t>Analysis</s:t>
        </s:is>
      </s:c>
      <s:c r="L72" s="5" t="inlineStr">
        <s:is>
          <s:t>Single credible source</s:t>
        </s:is>
      </s:c>
      <s:c r="M72" s="6" t="inlineStr">
        <s:is>
          <s:t>S012</s:t>
        </s:is>
      </s:c>
      <s:c r="N72" s="5" t="inlineStr">
        <s:is>
          <s:t>Interpret alongside the named phase and source limitations.</s:t>
        </s:is>
      </s:c>
    </s:row>
    <s:row r="73" ht="80" customHeight="1">
      <s:c r="A73" s="7" t="inlineStr">
        <s:is>
          <s:t>P4-E08</s:t>
        </s:is>
      </s:c>
      <s:c r="B73" s="7" t="inlineStr">
        <s:is>
          <s:t>P4</s:t>
        </s:is>
      </s:c>
      <s:c r="C73" s="7" t="inlineStr">
        <s:is>
          <s:t>June 2024–24 Sep 2026</s:t>
        </s:is>
      </s:c>
      <s:c r="D73" s="7" t="inlineStr">
        <s:is>
          <s:t>Era</s:t>
        </s:is>
      </s:c>
      <s:c r="E73" s="7" t="inlineStr">
        <s:is>
          <s:t>Social environment</s:t>
        </s:is>
      </s:c>
      <s:c r="F73" s="7" t="inlineStr">
        <s:is>
          <s:t>Material finding</s:t>
        </s:is>
      </s:c>
      <s:c r="G73" s="7" t="inlineStr">
        <s:is>
          <s:t>Recent rights reporting describes minority-related concerns; findings are attributed, not assumed from electoral identity.</s:t>
        </s:is>
      </s:c>
      <s:c r="H73" s="7" t="inlineStr">
        <s:is>
          <s:t>BJP allies, opposition governments and comparable coalition cabinets</s:t>
        </s:is>
      </s:c>
      <s:c r="I73" s="7" t="inlineStr">
        <s:is>
          <s:t>Use contemporaneous institutions and alternatives; later concepts do not excuse earlier conduct.</s:t>
        </s:is>
      </s:c>
      <s:c r="J73" s="7" t="inlineStr">
        <s:is>
          <s:t>Recent outcomes remain provisional; source publication date differs from data reference period.</s:t>
        </s:is>
      </s:c>
      <s:c r="K73" s="7" t="inlineStr">
        <s:is>
          <s:t>Analysis</s:t>
        </s:is>
      </s:c>
      <s:c r="L73" s="7" t="inlineStr">
        <s:is>
          <s:t>Single credible source</s:t>
        </s:is>
      </s:c>
      <s:c r="M73" s="8" t="inlineStr">
        <s:is>
          <s:t>S050</s:t>
        </s:is>
      </s:c>
      <s:c r="N73" s="7" t="inlineStr">
        <s:is>
          <s:t>Interpret alongside the named phase and source limitations.</s:t>
        </s:is>
      </s:c>
    </s:row>
    <s:row r="74" ht="80" customHeight="1">
      <s:c r="A74" s="5" t="inlineStr">
        <s:is>
          <s:t>P4-E09</s:t>
        </s:is>
      </s:c>
      <s:c r="B74" s="5" t="inlineStr">
        <s:is>
          <s:t>P4</s:t>
        </s:is>
      </s:c>
      <s:c r="C74" s="5" t="inlineStr">
        <s:is>
          <s:t>June 2024–24 Sep 2026</s:t>
        </s:is>
      </s:c>
      <s:c r="D74" s="5" t="inlineStr">
        <s:is>
          <s:t>Era</s:t>
        </s:is>
      </s:c>
      <s:c r="E74" s="5" t="inlineStr">
        <s:is>
          <s:t>State structure and political geography</s:t>
        </s:is>
      </s:c>
      <s:c r="F74" s="5" t="inlineStr">
        <s:is>
          <s:t>Material finding</s:t>
        </s:is>
      </s:c>
      <s:c r="G74" s="5" t="inlineStr">
        <s:is>
          <s:t>Delimitation proposals exposed tensions over state representation and women’s reservation timing.</s:t>
        </s:is>
      </s:c>
      <s:c r="H74" s="5" t="inlineStr">
        <s:is>
          <s:t>BJP allies, opposition governments and comparable coalition cabinets</s:t>
        </s:is>
      </s:c>
      <s:c r="I74" s="5" t="inlineStr">
        <s:is>
          <s:t>Use contemporaneous institutions and alternatives; later concepts do not excuse earlier conduct.</s:t>
        </s:is>
      </s:c>
      <s:c r="J74" s="5" t="inlineStr">
        <s:is>
          <s:t>Recent outcomes remain provisional; source publication date differs from data reference period.</s:t>
        </s:is>
      </s:c>
      <s:c r="K74" s="5" t="inlineStr">
        <s:is>
          <s:t>Analysis</s:t>
        </s:is>
      </s:c>
      <s:c r="L74" s="5" t="inlineStr">
        <s:is>
          <s:t>Single credible source</s:t>
        </s:is>
      </s:c>
      <s:c r="M74" s="6" t="inlineStr">
        <s:is>
          <s:t>S041</s:t>
        </s:is>
      </s:c>
      <s:c r="N74" s="5" t="inlineStr">
        <s:is>
          <s:t>Interpret alongside the named phase and source limitations.</s:t>
        </s:is>
      </s:c>
    </s:row>
    <s:row r="75" ht="80" customHeight="1">
      <s:c r="A75" s="7" t="inlineStr">
        <s:is>
          <s:t>P4-E10</s:t>
        </s:is>
      </s:c>
      <s:c r="B75" s="7" t="inlineStr">
        <s:is>
          <s:t>P4</s:t>
        </s:is>
      </s:c>
      <s:c r="C75" s="7" t="inlineStr">
        <s:is>
          <s:t>June 2024–24 Sep 2026</s:t>
        </s:is>
      </s:c>
      <s:c r="D75" s="7" t="inlineStr">
        <s:is>
          <s:t>Era</s:t>
        </s:is>
      </s:c>
      <s:c r="E75" s="7" t="inlineStr">
        <s:is>
          <s:t>Evidence environment</s:t>
        </s:is>
      </s:c>
      <s:c r="F75" s="13" t="inlineStr">
        <s:is>
          <s:t>Research limitation</s:t>
        </s:is>
      </s:c>
      <s:c r="G75" s="7" t="inlineStr">
        <s:is>
          <s:t>Current publications often use older data: the April 2026 poverty estimate describes 2023–24.</s:t>
        </s:is>
      </s:c>
      <s:c r="H75" s="7" t="inlineStr">
        <s:is>
          <s:t>BJP allies, opposition governments and comparable coalition cabinets</s:t>
        </s:is>
      </s:c>
      <s:c r="I75" s="7" t="inlineStr">
        <s:is>
          <s:t>Use contemporaneous institutions and alternatives; later concepts do not excuse earlier conduct.</s:t>
        </s:is>
      </s:c>
      <s:c r="J75" s="7" t="inlineStr">
        <s:is>
          <s:t>Recent outcomes remain provisional; source publication date differs from data reference period.</s:t>
        </s:is>
      </s:c>
      <s:c r="K75" s="7" t="inlineStr">
        <s:is>
          <s:t>Disputed/uncertain</s:t>
        </s:is>
      </s:c>
      <s:c r="L75" s="7" t="inlineStr">
        <s:is>
          <s:t>Unresolved</s:t>
        </s:is>
      </s:c>
      <s:c r="M75" s="8" t="inlineStr">
        <s:is>
          <s:t>S056</s:t>
        </s:is>
      </s:c>
      <s:c r="N75" s="7" t="inlineStr">
        <s:is>
          <s:t>Gap rows cite the record reviewed, not proof of absence.</s:t>
        </s:is>
      </s:c>
    </s:row>
    <s:row r="76" ht="80" customHeight="1">
      <s:c r="A76" s="5" t="inlineStr">
        <s:is>
          <s:t>P4-G01</s:t>
        </s:is>
      </s:c>
      <s:c r="B76" s="5" t="inlineStr">
        <s:is>
          <s:t>P4</s:t>
        </s:is>
      </s:c>
      <s:c r="C76" s="5" t="inlineStr">
        <s:is>
          <s:t>June 2024–24 Sep 2026</s:t>
        </s:is>
      </s:c>
      <s:c r="D76" s="5" t="inlineStr">
        <s:is>
          <s:t>Gender</s:t>
        </s:is>
      </s:c>
      <s:c r="E76" s="5" t="inlineStr">
        <s:is>
          <s:t>Entry and advancement</s:t>
        </s:is>
      </s:c>
      <s:c r="F76" s="13" t="inlineStr">
        <s:is>
          <s:t>Evidence not found</s:t>
        </s:is>
      </s:c>
      <s:c r="G76" s="5" t="inlineStr">
        <s:is>
          <s:t>No new evidence establishes gender as the determinant of third-term coalition appointments.</s:t>
        </s:is>
      </s:c>
      <s:c r="H76" s="5" t="inlineStr">
        <s:is>
          <s:t>BJP allies, opposition governments and comparable coalition cabinets</s:t>
        </s:is>
      </s:c>
      <s:c r="I76" s="5" t="inlineStr">
        <s:is>
          <s:t>Use contemporaneous institutions and alternatives; later concepts do not excuse earlier conduct.</s:t>
        </s:is>
      </s:c>
      <s:c r="J76" s="5" t="inlineStr">
        <s:is>
          <s:t>Recent outcomes remain provisional; source publication date differs from data reference period.</s:t>
        </s:is>
      </s:c>
      <s:c r="K76" s="5" t="inlineStr">
        <s:is>
          <s:t>Disputed/uncertain</s:t>
        </s:is>
      </s:c>
      <s:c r="L76" s="5" t="inlineStr">
        <s:is>
          <s:t>Unresolved</s:t>
        </s:is>
      </s:c>
      <s:c r="M76" s="6" t="inlineStr">
        <s:is>
          <s:t>S012</s:t>
        </s:is>
      </s:c>
      <s:c r="N76" s="5" t="inlineStr">
        <s:is>
          <s:t>Gap rows cite the record reviewed, not proof of absence.</s:t>
        </s:is>
      </s:c>
    </s:row>
    <s:row r="77" ht="80" customHeight="1">
      <s:c r="A77" s="7" t="inlineStr">
        <s:is>
          <s:t>P4-G02</s:t>
        </s:is>
      </s:c>
      <s:c r="B77" s="7" t="inlineStr">
        <s:is>
          <s:t>P4</s:t>
        </s:is>
      </s:c>
      <s:c r="C77" s="7" t="inlineStr">
        <s:is>
          <s:t>June 2024–24 Sep 2026</s:t>
        </s:is>
      </s:c>
      <s:c r="D77" s="7" t="inlineStr">
        <s:is>
          <s:t>Gender</s:t>
        </s:is>
      </s:c>
      <s:c r="E77" s="7" t="inlineStr">
        <s:is>
          <s:t>Milestones</s:t>
        </s:is>
      </s:c>
      <s:c r="F77" s="7" t="inlineStr">
        <s:is>
          <s:t>Material finding</s:t>
        </s:is>
      </s:c>
      <s:c r="G77" s="7" t="inlineStr">
        <s:is>
          <s:t>The proposed 2026 route to accelerate reservation was rejected in Lok Sabha.</s:t>
        </s:is>
      </s:c>
      <s:c r="H77" s="7" t="inlineStr">
        <s:is>
          <s:t>BJP allies, opposition governments and comparable coalition cabinets</s:t>
        </s:is>
      </s:c>
      <s:c r="I77" s="7" t="inlineStr">
        <s:is>
          <s:t>Use contemporaneous institutions and alternatives; later concepts do not excuse earlier conduct.</s:t>
        </s:is>
      </s:c>
      <s:c r="J77" s="7" t="inlineStr">
        <s:is>
          <s:t>Recent outcomes remain provisional; source publication date differs from data reference period.</s:t>
        </s:is>
      </s:c>
      <s:c r="K77" s="7" t="inlineStr">
        <s:is>
          <s:t>Analysis</s:t>
        </s:is>
      </s:c>
      <s:c r="L77" s="7" t="inlineStr">
        <s:is>
          <s:t>Single credible source</s:t>
        </s:is>
      </s:c>
      <s:c r="M77" s="8" t="inlineStr">
        <s:is>
          <s:t>S041</s:t>
        </s:is>
      </s:c>
      <s:c r="N77" s="7" t="inlineStr">
        <s:is>
          <s:t>Interpret alongside the named phase and source limitations.</s:t>
        </s:is>
      </s:c>
    </s:row>
    <s:row r="78" ht="80" customHeight="1">
      <s:c r="A78" s="5" t="inlineStr">
        <s:is>
          <s:t>P4-G03</s:t>
        </s:is>
      </s:c>
      <s:c r="B78" s="5" t="inlineStr">
        <s:is>
          <s:t>P4</s:t>
        </s:is>
      </s:c>
      <s:c r="C78" s="5" t="inlineStr">
        <s:is>
          <s:t>June 2024–24 Sep 2026</s:t>
        </s:is>
      </s:c>
      <s:c r="D78" s="5" t="inlineStr">
        <s:is>
          <s:t>Gender</s:t>
        </s:is>
      </s:c>
      <s:c r="E78" s="5" t="inlineStr">
        <s:is>
          <s:t>Networks and pathways</s:t>
        </s:is>
      </s:c>
      <s:c r="F78" s="13" t="inlineStr">
        <s:is>
          <s:t>Evidence not found</s:t>
        </s:is>
      </s:c>
      <s:c r="G78" s="5" t="inlineStr">
        <s:is>
          <s:t>Coalition bargaining is documented; claims about gendered patronage require further evidence.</s:t>
        </s:is>
      </s:c>
      <s:c r="H78" s="5" t="inlineStr">
        <s:is>
          <s:t>BJP allies, opposition governments and comparable coalition cabinets</s:t>
        </s:is>
      </s:c>
      <s:c r="I78" s="5" t="inlineStr">
        <s:is>
          <s:t>Use contemporaneous institutions and alternatives; later concepts do not excuse earlier conduct.</s:t>
        </s:is>
      </s:c>
      <s:c r="J78" s="5" t="inlineStr">
        <s:is>
          <s:t>Recent outcomes remain provisional; source publication date differs from data reference period.</s:t>
        </s:is>
      </s:c>
      <s:c r="K78" s="5" t="inlineStr">
        <s:is>
          <s:t>Disputed/uncertain</s:t>
        </s:is>
      </s:c>
      <s:c r="L78" s="5" t="inlineStr">
        <s:is>
          <s:t>Unresolved</s:t>
        </s:is>
      </s:c>
      <s:c r="M78" s="6" t="inlineStr">
        <s:is>
          <s:t>S012</s:t>
        </s:is>
      </s:c>
      <s:c r="N78" s="5" t="inlineStr">
        <s:is>
          <s:t>Gap rows cite the record reviewed, not proof of absence.</s:t>
        </s:is>
      </s:c>
    </s:row>
    <s:row r="79" ht="80" customHeight="1">
      <s:c r="A79" s="7" t="inlineStr">
        <s:is>
          <s:t>P4-G04</s:t>
        </s:is>
      </s:c>
      <s:c r="B79" s="7" t="inlineStr">
        <s:is>
          <s:t>P4</s:t>
        </s:is>
      </s:c>
      <s:c r="C79" s="7" t="inlineStr">
        <s:is>
          <s:t>June 2024–24 Sep 2026</s:t>
        </s:is>
      </s:c>
      <s:c r="D79" s="7" t="inlineStr">
        <s:is>
          <s:t>Gender</s:t>
        </s:is>
      </s:c>
      <s:c r="E79" s="7" t="inlineStr">
        <s:is>
          <s:t>Role and portfolio allocation</s:t>
        </s:is>
      </s:c>
      <s:c r="F79" s="13" t="inlineStr">
        <s:is>
          <s:t>Evidence not found</s:t>
        </s:is>
      </s:c>
      <s:c r="G79" s="7" t="inlineStr">
        <s:is>
          <s:t>No systematic current portfolio-allocation comparison was completed.</s:t>
        </s:is>
      </s:c>
      <s:c r="H79" s="7" t="inlineStr">
        <s:is>
          <s:t>BJP allies, opposition governments and comparable coalition cabinets</s:t>
        </s:is>
      </s:c>
      <s:c r="I79" s="7" t="inlineStr">
        <s:is>
          <s:t>Use contemporaneous institutions and alternatives; later concepts do not excuse earlier conduct.</s:t>
        </s:is>
      </s:c>
      <s:c r="J79" s="7" t="inlineStr">
        <s:is>
          <s:t>Recent outcomes remain provisional; source publication date differs from data reference period.</s:t>
        </s:is>
      </s:c>
      <s:c r="K79" s="7" t="inlineStr">
        <s:is>
          <s:t>Disputed/uncertain</s:t>
        </s:is>
      </s:c>
      <s:c r="L79" s="7" t="inlineStr">
        <s:is>
          <s:t>Unresolved</s:t>
        </s:is>
      </s:c>
      <s:c r="M79" s="8" t="inlineStr">
        <s:is>
          <s:t>S003</s:t>
        </s:is>
      </s:c>
      <s:c r="N79" s="7" t="inlineStr">
        <s:is>
          <s:t>Gap rows cite the record reviewed, not proof of absence.</s:t>
        </s:is>
      </s:c>
    </s:row>
    <s:row r="80" ht="80" customHeight="1">
      <s:c r="A80" s="5" t="inlineStr">
        <s:is>
          <s:t>P4-G05</s:t>
        </s:is>
      </s:c>
      <s:c r="B80" s="5" t="inlineStr">
        <s:is>
          <s:t>P4</s:t>
        </s:is>
      </s:c>
      <s:c r="C80" s="5" t="inlineStr">
        <s:is>
          <s:t>June 2024–24 Sep 2026</s:t>
        </s:is>
      </s:c>
      <s:c r="D80" s="5" t="inlineStr">
        <s:is>
          <s:t>Gender</s:t>
        </s:is>
      </s:c>
      <s:c r="E80" s="5" t="inlineStr">
        <s:is>
          <s:t>Campaign and media treatment</s:t>
        </s:is>
      </s:c>
      <s:c r="F80" s="13" t="inlineStr">
        <s:is>
          <s:t>Research limitation</s:t>
        </s:is>
      </s:c>
      <s:c r="G80" s="5" t="inlineStr">
        <s:is>
          <s:t>The 2015 masculinity study cannot by itself establish how all 2026 audiences perceive Modi.</s:t>
        </s:is>
      </s:c>
      <s:c r="H80" s="5" t="inlineStr">
        <s:is>
          <s:t>BJP allies, opposition governments and comparable coalition cabinets</s:t>
        </s:is>
      </s:c>
      <s:c r="I80" s="5" t="inlineStr">
        <s:is>
          <s:t>Use contemporaneous institutions and alternatives; later concepts do not excuse earlier conduct.</s:t>
        </s:is>
      </s:c>
      <s:c r="J80" s="5" t="inlineStr">
        <s:is>
          <s:t>Recent outcomes remain provisional; source publication date differs from data reference period.</s:t>
        </s:is>
      </s:c>
      <s:c r="K80" s="5" t="inlineStr">
        <s:is>
          <s:t>Disputed/uncertain</s:t>
        </s:is>
      </s:c>
      <s:c r="L80" s="5" t="inlineStr">
        <s:is>
          <s:t>Unresolved</s:t>
        </s:is>
      </s:c>
      <s:c r="M80" s="6" t="inlineStr">
        <s:is>
          <s:t>S044</s:t>
        </s:is>
      </s:c>
      <s:c r="N80" s="5" t="inlineStr">
        <s:is>
          <s:t>Gap rows cite the record reviewed, not proof of absence.</s:t>
        </s:is>
      </s:c>
    </s:row>
    <s:row r="81" ht="80" customHeight="1">
      <s:c r="A81" s="7" t="inlineStr">
        <s:is>
          <s:t>P4-G06</s:t>
        </s:is>
      </s:c>
      <s:c r="B81" s="7" t="inlineStr">
        <s:is>
          <s:t>P4</s:t>
        </s:is>
      </s:c>
      <s:c r="C81" s="7" t="inlineStr">
        <s:is>
          <s:t>June 2024–24 Sep 2026</s:t>
        </s:is>
      </s:c>
      <s:c r="D81" s="7" t="inlineStr">
        <s:is>
          <s:t>Gender</s:t>
        </s:is>
      </s:c>
      <s:c r="E81" s="7" t="inlineStr">
        <s:is>
          <s:t>Threats and security</s:t>
        </s:is>
      </s:c>
      <s:c r="F81" s="7" t="inlineStr">
        <s:is>
          <s:t>Material finding</s:t>
        </s:is>
      </s:c>
      <s:c r="G81" s="7" t="inlineStr">
        <s:is>
          <s:t>Office-related protection continues to be a better-supported framework than unverified gendered threat claims.</s:t>
        </s:is>
      </s:c>
      <s:c r="H81" s="7" t="inlineStr">
        <s:is>
          <s:t>BJP allies, opposition governments and comparable coalition cabinets</s:t>
        </s:is>
      </s:c>
      <s:c r="I81" s="7" t="inlineStr">
        <s:is>
          <s:t>Use contemporaneous institutions and alternatives; later concepts do not excuse earlier conduct.</s:t>
        </s:is>
      </s:c>
      <s:c r="J81" s="7" t="inlineStr">
        <s:is>
          <s:t>Recent outcomes remain provisional; source publication date differs from data reference period.</s:t>
        </s:is>
      </s:c>
      <s:c r="K81" s="7" t="inlineStr">
        <s:is>
          <s:t>Analysis</s:t>
        </s:is>
      </s:c>
      <s:c r="L81" s="7" t="inlineStr">
        <s:is>
          <s:t>Single credible source</s:t>
        </s:is>
      </s:c>
      <s:c r="M81" s="8" t="inlineStr">
        <s:is>
          <s:t>S045</s:t>
        </s:is>
      </s:c>
      <s:c r="N81" s="7" t="inlineStr">
        <s:is>
          <s:t>Interpret alongside the named phase and source limitations.</s:t>
        </s:is>
      </s:c>
    </s:row>
    <s:row r="82" ht="80" customHeight="1">
      <s:c r="A82" s="5" t="inlineStr">
        <s:is>
          <s:t>P4-G07</s:t>
        </s:is>
      </s:c>
      <s:c r="B82" s="5" t="inlineStr">
        <s:is>
          <s:t>P4</s:t>
        </s:is>
      </s:c>
      <s:c r="C82" s="5" t="inlineStr">
        <s:is>
          <s:t>June 2024–24 Sep 2026</s:t>
        </s:is>
      </s:c>
      <s:c r="D82" s="5" t="inlineStr">
        <s:is>
          <s:t>Gender</s:t>
        </s:is>
      </s:c>
      <s:c r="E82" s="5" t="inlineStr">
        <s:is>
          <s:t>Gender-related policy and organizations</s:t>
        </s:is>
      </s:c>
      <s:c r="F82" s="5" t="inlineStr">
        <s:is>
          <s:t>Material finding</s:t>
        </s:is>
      </s:c>
      <s:c r="G82" s="5" t="inlineStr">
        <s:is>
          <s:t>Reservation remains an implementation question after the failed constitutional proposal.</s:t>
        </s:is>
      </s:c>
      <s:c r="H82" s="5" t="inlineStr">
        <s:is>
          <s:t>BJP allies, opposition governments and comparable coalition cabinets</s:t>
        </s:is>
      </s:c>
      <s:c r="I82" s="5" t="inlineStr">
        <s:is>
          <s:t>Use contemporaneous institutions and alternatives; later concepts do not excuse earlier conduct.</s:t>
        </s:is>
      </s:c>
      <s:c r="J82" s="5" t="inlineStr">
        <s:is>
          <s:t>Recent outcomes remain provisional; source publication date differs from data reference period.</s:t>
        </s:is>
      </s:c>
      <s:c r="K82" s="5" t="inlineStr">
        <s:is>
          <s:t>Analysis</s:t>
        </s:is>
      </s:c>
      <s:c r="L82" s="5" t="inlineStr">
        <s:is>
          <s:t>Single credible source</s:t>
        </s:is>
      </s:c>
      <s:c r="M82" s="6" t="inlineStr">
        <s:is>
          <s:t>S041</s:t>
        </s:is>
      </s:c>
      <s:c r="N82" s="5" t="inlineStr">
        <s:is>
          <s:t>Interpret alongside the named phase and source limitations.</s:t>
        </s:is>
      </s:c>
    </s:row>
    <s:row r="83" ht="80" customHeight="1">
      <s:c r="A83" s="7" t="inlineStr">
        <s:is>
          <s:t>P4-G08</s:t>
        </s:is>
      </s:c>
      <s:c r="B83" s="7" t="inlineStr">
        <s:is>
          <s:t>P4</s:t>
        </s:is>
      </s:c>
      <s:c r="C83" s="7" t="inlineStr">
        <s:is>
          <s:t>June 2024–24 Sep 2026</s:t>
        </s:is>
      </s:c>
      <s:c r="D83" s="7" t="inlineStr">
        <s:is>
          <s:t>Gender</s:t>
        </s:is>
      </s:c>
      <s:c r="E83" s="7" t="inlineStr">
        <s:is>
          <s:t>Political use of identity</s:t>
        </s:is>
      </s:c>
      <s:c r="F83" s="13" t="inlineStr">
        <s:is>
          <s:t>Research limitation</s:t>
        </s:is>
      </s:c>
      <s:c r="G83" s="7" t="inlineStr">
        <s:is>
          <s:t>Gender rhetoric around reservation is politically salient; voter-level causal effects were not established.</s:t>
        </s:is>
      </s:c>
      <s:c r="H83" s="7" t="inlineStr">
        <s:is>
          <s:t>BJP allies, opposition governments and comparable coalition cabinets</s:t>
        </s:is>
      </s:c>
      <s:c r="I83" s="7" t="inlineStr">
        <s:is>
          <s:t>Use contemporaneous institutions and alternatives; later concepts do not excuse earlier conduct.</s:t>
        </s:is>
      </s:c>
      <s:c r="J83" s="7" t="inlineStr">
        <s:is>
          <s:t>Recent outcomes remain provisional; source publication date differs from data reference period.</s:t>
        </s:is>
      </s:c>
      <s:c r="K83" s="7" t="inlineStr">
        <s:is>
          <s:t>Disputed/uncertain</s:t>
        </s:is>
      </s:c>
      <s:c r="L83" s="7" t="inlineStr">
        <s:is>
          <s:t>Unresolved</s:t>
        </s:is>
      </s:c>
      <s:c r="M83" s="8" t="inlineStr">
        <s:is>
          <s:t>S041</s:t>
        </s:is>
      </s:c>
      <s:c r="N83" s="7" t="inlineStr">
        <s:is>
          <s:t>Gap rows cite the record reviewed, not proof of absence.</s:t>
        </s:is>
      </s:c>
    </s:row>
    <s:row r="84" ht="80" customHeight="1">
      <s:c r="A84" s="5" t="inlineStr">
        <s:is>
          <s:t>P4-G09</s:t>
        </s:is>
      </s:c>
      <s:c r="B84" s="5" t="inlineStr">
        <s:is>
          <s:t>P4</s:t>
        </s:is>
      </s:c>
      <s:c r="C84" s="5" t="inlineStr">
        <s:is>
          <s:t>June 2024–24 Sep 2026</s:t>
        </s:is>
      </s:c>
      <s:c r="D84" s="5" t="inlineStr">
        <s:is>
          <s:t>Gender</s:t>
        </s:is>
      </s:c>
      <s:c r="E84" s="5" t="inlineStr">
        <s:is>
          <s:t>Representation and effects</s:t>
        </s:is>
      </s:c>
      <s:c r="F84" s="5" t="inlineStr">
        <s:is>
          <s:t>Material finding</s:t>
        </s:is>
      </s:c>
      <s:c r="G84" s="5" t="inlineStr">
        <s:is>
          <s:t>Legislating or proposing quotas is distinct from women occupying the additional reserved seats.</s:t>
        </s:is>
      </s:c>
      <s:c r="H84" s="5" t="inlineStr">
        <s:is>
          <s:t>BJP allies, opposition governments and comparable coalition cabinets</s:t>
        </s:is>
      </s:c>
      <s:c r="I84" s="5" t="inlineStr">
        <s:is>
          <s:t>Use contemporaneous institutions and alternatives; later concepts do not excuse earlier conduct.</s:t>
        </s:is>
      </s:c>
      <s:c r="J84" s="5" t="inlineStr">
        <s:is>
          <s:t>Recent outcomes remain provisional; source publication date differs from data reference period.</s:t>
        </s:is>
      </s:c>
      <s:c r="K84" s="5" t="inlineStr">
        <s:is>
          <s:t>Analysis</s:t>
        </s:is>
      </s:c>
      <s:c r="L84" s="5" t="inlineStr">
        <s:is>
          <s:t>Single credible source</s:t>
        </s:is>
      </s:c>
      <s:c r="M84" s="6" t="inlineStr">
        <s:is>
          <s:t>S040</s:t>
        </s:is>
      </s:c>
      <s:c r="N84" s="5" t="inlineStr">
        <s:is>
          <s:t>Interpret alongside the named phase and source limitations.</s:t>
        </s:is>
      </s:c>
    </s:row>
    <s:row r="85" ht="80" customHeight="1">
      <s:c r="A85" s="7" t="inlineStr">
        <s:is>
          <s:t>P4-G10</s:t>
        </s:is>
      </s:c>
      <s:c r="B85" s="7" t="inlineStr">
        <s:is>
          <s:t>P4</s:t>
        </s:is>
      </s:c>
      <s:c r="C85" s="7" t="inlineStr">
        <s:is>
          <s:t>June 2024–24 Sep 2026</s:t>
        </s:is>
      </s:c>
      <s:c r="D85" s="7" t="inlineStr">
        <s:is>
          <s:t>Gender</s:t>
        </s:is>
      </s:c>
      <s:c r="E85" s="7" t="inlineStr">
        <s:is>
          <s:t>Assessment over time</s:t>
        </s:is>
      </s:c>
      <s:c r="F85" s="13" t="inlineStr">
        <s:is>
          <s:t>Research limitation</s:t>
        </s:is>
      </s:c>
      <s:c r="G85" s="7" t="inlineStr">
        <s:is>
          <s:t>The third-term gender legacy remains provisional; newer evidence should update earlier interpretations.</s:t>
        </s:is>
      </s:c>
      <s:c r="H85" s="7" t="inlineStr">
        <s:is>
          <s:t>BJP allies, opposition governments and comparable coalition cabinets</s:t>
        </s:is>
      </s:c>
      <s:c r="I85" s="7" t="inlineStr">
        <s:is>
          <s:t>Use contemporaneous institutions and alternatives; later concepts do not excuse earlier conduct.</s:t>
        </s:is>
      </s:c>
      <s:c r="J85" s="7" t="inlineStr">
        <s:is>
          <s:t>Recent outcomes remain provisional; source publication date differs from data reference period.</s:t>
        </s:is>
      </s:c>
      <s:c r="K85" s="7" t="inlineStr">
        <s:is>
          <s:t>Disputed/uncertain</s:t>
        </s:is>
      </s:c>
      <s:c r="L85" s="7" t="inlineStr">
        <s:is>
          <s:t>Unresolved</s:t>
        </s:is>
      </s:c>
      <s:c r="M85" s="8" t="inlineStr">
        <s:is>
          <s:t>S041</s:t>
        </s:is>
      </s:c>
      <s:c r="N85" s="7" t="inlineStr">
        <s:is>
          <s:t>Gap rows cite the record reviewed, not proof of absence.</s:t>
        </s:is>
      </s:c>
    </s:row>
  </s:sheetData>
  <s:autoFilter ref="A5:N85"/>
  <s:mergeCells count="2">
    <s:mergeCell ref="A2:F2"/>
    <s:mergeCell ref="A1:F1"/>
  </s:mergeCells>
  <s:hyperlinks>
    <s:hyperlink ref="A3" r:id="rId1"/>
    <s:hyperlink ref="M6" r:id="rId2"/>
    <s:hyperlink ref="M7" r:id="rId3"/>
    <s:hyperlink ref="M8" r:id="rId4"/>
    <s:hyperlink ref="M9" r:id="rId5"/>
    <s:hyperlink ref="M10" r:id="rId6"/>
    <s:hyperlink ref="M11" r:id="rId7"/>
    <s:hyperlink ref="M12" r:id="rId8"/>
    <s:hyperlink ref="M13" r:id="rId9"/>
    <s:hyperlink ref="M14" r:id="rId10"/>
    <s:hyperlink ref="M15" r:id="rId11"/>
    <s:hyperlink ref="M16" r:id="rId12"/>
    <s:hyperlink ref="M17" r:id="rId13"/>
    <s:hyperlink ref="M18" r:id="rId14"/>
    <s:hyperlink ref="M19" r:id="rId15"/>
    <s:hyperlink ref="M20" r:id="rId16"/>
    <s:hyperlink ref="M21" r:id="rId17"/>
    <s:hyperlink ref="M22" r:id="rId18"/>
    <s:hyperlink ref="M23" r:id="rId19"/>
    <s:hyperlink ref="M24" r:id="rId20"/>
    <s:hyperlink ref="M25" r:id="rId21"/>
    <s:hyperlink ref="M26" r:id="rId22"/>
    <s:hyperlink ref="M27" r:id="rId23"/>
    <s:hyperlink ref="M28" r:id="rId24"/>
    <s:hyperlink ref="M29" r:id="rId25"/>
    <s:hyperlink ref="M30" r:id="rId26"/>
    <s:hyperlink ref="M31" r:id="rId27"/>
    <s:hyperlink ref="M32" r:id="rId28"/>
    <s:hyperlink ref="M33" r:id="rId29"/>
    <s:hyperlink ref="M34" r:id="rId30"/>
    <s:hyperlink ref="M35" r:id="rId31"/>
    <s:hyperlink ref="M36" r:id="rId32"/>
    <s:hyperlink ref="M37" r:id="rId33"/>
    <s:hyperlink ref="M38" r:id="rId34"/>
    <s:hyperlink ref="M39" r:id="rId35"/>
    <s:hyperlink ref="M40" r:id="rId36"/>
    <s:hyperlink ref="M41" r:id="rId37"/>
    <s:hyperlink ref="M42" r:id="rId38"/>
    <s:hyperlink ref="M43" r:id="rId39"/>
    <s:hyperlink ref="M44" r:id="rId40"/>
    <s:hyperlink ref="M45" r:id="rId41"/>
    <s:hyperlink ref="M46" r:id="rId42"/>
    <s:hyperlink ref="M47" r:id="rId43"/>
    <s:hyperlink ref="M48" r:id="rId44"/>
    <s:hyperlink ref="M49" r:id="rId45"/>
    <s:hyperlink ref="M50" r:id="rId46"/>
    <s:hyperlink ref="M51" r:id="rId47"/>
    <s:hyperlink ref="M52" r:id="rId48"/>
    <s:hyperlink ref="M53" r:id="rId49"/>
    <s:hyperlink ref="M54" r:id="rId50"/>
    <s:hyperlink ref="M55" r:id="rId51"/>
    <s:hyperlink ref="M56" r:id="rId52"/>
    <s:hyperlink ref="M57" r:id="rId53"/>
    <s:hyperlink ref="M58" r:id="rId54"/>
    <s:hyperlink ref="M59" r:id="rId55"/>
    <s:hyperlink ref="M60" r:id="rId56"/>
    <s:hyperlink ref="M61" r:id="rId57"/>
    <s:hyperlink ref="M62" r:id="rId58"/>
    <s:hyperlink ref="M63" r:id="rId59"/>
    <s:hyperlink ref="M64" r:id="rId60"/>
    <s:hyperlink ref="M65" r:id="rId61"/>
    <s:hyperlink ref="M66" r:id="rId62"/>
    <s:hyperlink ref="M67" r:id="rId63"/>
    <s:hyperlink ref="M68" r:id="rId64"/>
    <s:hyperlink ref="M69" r:id="rId65"/>
    <s:hyperlink ref="M70" r:id="rId66"/>
    <s:hyperlink ref="M71" r:id="rId67"/>
    <s:hyperlink ref="M72" r:id="rId68"/>
    <s:hyperlink ref="M73" r:id="rId69"/>
    <s:hyperlink ref="M74" r:id="rId70"/>
    <s:hyperlink ref="M75" r:id="rId71"/>
    <s:hyperlink ref="M76" r:id="rId72"/>
    <s:hyperlink ref="M77" r:id="rId73"/>
    <s:hyperlink ref="M78" r:id="rId74"/>
    <s:hyperlink ref="M79" r:id="rId75"/>
    <s:hyperlink ref="M80" r:id="rId76"/>
    <s:hyperlink ref="M81" r:id="rId77"/>
    <s:hyperlink ref="M82" r:id="rId78"/>
    <s:hyperlink ref="M83" r:id="rId79"/>
    <s:hyperlink ref="M84" r:id="rId80"/>
    <s:hyperlink ref="M85" r:id="rId81"/>
  </s:hyperlinks>
  <s:printOptions horizontalCentered="0"/>
  <s:pageMargins left="0.75" right="0.75" top="1" bottom="1" header="0.5" footer="0.5"/>
  <s:pageSetup orientation="landscape" paperSize="8" fitToHeight="0" fitToWidth="3"/>
  <s:headerFooter>
    <s:oddHeader/>
    <s:oddFooter>&amp;C&amp;8 Narendra Modi research | 24 Sep 2026 | Page &amp;P of &amp;N</s:oddFooter>
    <s:evenHeader/>
    <s:evenFooter/>
    <s:firstHeader/>
    <s:firstFooter/>
  </s:headerFooter>
  <s:tableParts count="1">
    <s:tablePart r:id="rId82"/>
  </s:tableParts>
</s:worksheet>
</file>

<file path=xl/worksheets/sheet3.xml><?xml version="1.0" encoding="utf-8"?>
<s:worksheet xmlns:r="http://schemas.openxmlformats.org/officeDocument/2006/relationships" xmlns:s="http://schemas.openxmlformats.org/spreadsheetml/2006/main">
  <s:sheetPr>
    <s:tabColor rgb="0017324D"/>
    <s:outlinePr summaryBelow="1" summaryRight="0"/>
    <s:pageSetUpPr fitToPage="1"/>
  </s:sheetPr>
  <s:dimension ref="A1:L49"/>
  <s:sheetViews>
    <s:sheetView showGridLines="0" zoomScale="85" workbookViewId="0">
      <s:pane xSplit="2" ySplit="5" topLeftCell="C6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13" customWidth="1" min="1" max="1"/>
    <s:col width="21" customWidth="1" min="2" max="2"/>
    <s:col width="29" customWidth="1" min="3" max="3"/>
    <s:col width="29" customWidth="1" min="4" max="4"/>
    <s:col width="29" customWidth="1" min="5" max="5"/>
    <s:col width="67" customWidth="1" min="6" max="6"/>
    <s:col width="16" customWidth="1" min="7" max="7"/>
    <s:col width="13" customWidth="1" min="8" max="8"/>
    <s:col width="29" customWidth="1" min="9" max="9"/>
    <s:col width="22" customWidth="1" min="10" max="10"/>
    <s:col width="48" customWidth="1" min="11" max="11"/>
    <s:col width="29" customWidth="1" min="12" max="12"/>
  </s:cols>
  <s:sheetData>
    <s:row r="1" ht="36" customHeight="1">
      <s:c r="A1" s="1" t="inlineStr">
        <s:is>
          <s:t>NARENDRA MODI  |  CAREER TIMELINE</s:t>
        </s:is>
      </s:c>
    </s:row>
    <s:row r="2" ht="24" customHeight="1">
      <s:c r="A2" s="2" t="inlineStr">
        <s:is>
          <s:t>As of 24 Sep 2026  •  Source IDs link to the source register  •  Scroll right for evidence notes</s:t>
        </s:is>
      </s:c>
    </s:row>
    <s:row r="3">
      <s:c r="A3" s="3" t="inlineStr">
        <s:is>
          <s:t>CONTENTS</s:t>
        </s:is>
      </s:c>
    </s:row>
    <s:row r="5" ht="34" customHeight="1">
      <s:c r="A5" s="4" t="inlineStr">
        <s:is>
          <s:t>Timeline ID</s:t>
        </s:is>
      </s:c>
      <s:c r="B5" s="4" t="inlineStr">
        <s:is>
          <s:t>Date / period</s:t>
        </s:is>
      </s:c>
      <s:c r="C5" s="4" t="inlineStr">
        <s:is>
          <s:t>Date precision</s:t>
        </s:is>
      </s:c>
      <s:c r="D5" s="4" t="inlineStr">
        <s:is>
          <s:t>Event</s:t>
        </s:is>
      </s:c>
      <s:c r="E5" s="4" t="inlineStr">
        <s:is>
          <s:t>Event type</s:t>
        </s:is>
      </s:c>
      <s:c r="F5" s="4" t="inlineStr">
        <s:is>
          <s:t>Description</s:t>
        </s:is>
      </s:c>
      <s:c r="G5" s="4" t="inlineStr">
        <s:is>
          <s:t>Career phase</s:t>
        </s:is>
      </s:c>
      <s:c r="H5" s="4" t="inlineStr">
        <s:is>
          <s:t>Context ID</s:t>
        </s:is>
      </s:c>
      <s:c r="I5" s="4" t="inlineStr">
        <s:is>
          <s:t>Claim type</s:t>
        </s:is>
      </s:c>
      <s:c r="J5" s="4" t="inlineStr">
        <s:is>
          <s:t>Source IDs</s:t>
        </s:is>
      </s:c>
      <s:c r="K5" s="4" t="inlineStr">
        <s:is>
          <s:t>Research note</s:t>
        </s:is>
      </s:c>
      <s:c r="L5" s="4" t="inlineStr">
        <s:is>
          <s:t>Corroboration</s:t>
        </s:is>
      </s:c>
    </s:row>
    <s:row r="6" ht="48" customHeight="1">
      <s:c r="A6" s="5" t="inlineStr">
        <s:is>
          <s:t>T001</s:t>
        </s:is>
      </s:c>
      <s:c r="B6" s="14" t="n">
        <s:v>18523</s:v>
      </s:c>
      <s:c r="C6" s="5" t="inlineStr">
        <s:is>
          <s:t>Day</s:t>
        </s:is>
      </s:c>
      <s:c r="D6" s="5" t="inlineStr">
        <s:is>
          <s:t>Birth</s:t>
        </s:is>
      </s:c>
      <s:c r="E6" s="5" t="inlineStr">
        <s:is>
          <s:t>Biography</s:t>
        </s:is>
      </s:c>
      <s:c r="F6" s="5" t="inlineStr">
        <s:is>
          <s:t>Born in Vadnagar; formative background later became part of his public narrative.</s:t>
        </s:is>
      </s:c>
      <s:c r="G6" s="5" t="inlineStr">
        <s:is>
          <s:t>P1</s:t>
        </s:is>
      </s:c>
      <s:c r="H6" s="5" t="inlineStr">
        <s:is>
          <s:t>P1-E01</s:t>
        </s:is>
      </s:c>
      <s:c r="I6" s="5" t="inlineStr">
        <s:is>
          <s:t>Recorded fact</s:t>
        </s:is>
      </s:c>
      <s:c r="J6" s="6" t="inlineStr">
        <s:is>
          <s:t>S001; S002</s:t>
        </s:is>
      </s:c>
      <s:c r="K6" s="5" t="inlineStr">
        <s:is>
          <s:t>No additional qualification.</s:t>
        </s:is>
      </s:c>
      <s:c r="L6" s="5" t="inlineStr">
        <s:is>
          <s:t>Interested source only</s:t>
        </s:is>
      </s:c>
    </s:row>
    <s:row r="7" ht="48" customHeight="1">
      <s:c r="A7" s="7" t="inlineStr">
        <s:is>
          <s:t>T002</s:t>
        </s:is>
      </s:c>
      <s:c r="B7" s="7" t="inlineStr">
        <s:is>
          <s:t>1972</s:t>
        </s:is>
      </s:c>
      <s:c r="C7" s="7" t="inlineStr">
        <s:is>
          <s:t>Year</s:t>
        </s:is>
      </s:c>
      <s:c r="D7" s="7" t="inlineStr">
        <s:is>
          <s:t>RSS pracharak</s:t>
        </s:is>
      </s:c>
      <s:c r="E7" s="7" t="inlineStr">
        <s:is>
          <s:t>Organization</s:t>
        </s:is>
      </s:c>
      <s:c r="F7" s="7" t="inlineStr">
        <s:is>
          <s:t>Official biography dates full-time organizer work to 1972.</s:t>
        </s:is>
      </s:c>
      <s:c r="G7" s="7" t="inlineStr">
        <s:is>
          <s:t>P1</s:t>
        </s:is>
      </s:c>
      <s:c r="H7" s="7" t="inlineStr">
        <s:is>
          <s:t>P1-E01</s:t>
        </s:is>
      </s:c>
      <s:c r="I7" s="7" t="inlineStr">
        <s:is>
          <s:t>Recorded fact</s:t>
        </s:is>
      </s:c>
      <s:c r="J7" s="8" t="inlineStr">
        <s:is>
          <s:t>S002</s:t>
        </s:is>
      </s:c>
      <s:c r="K7" s="7" t="inlineStr">
        <s:is>
          <s:t>Attributed official chronology; some biographies use different early dates.</s:t>
        </s:is>
      </s:c>
      <s:c r="L7" s="7" t="inlineStr">
        <s:is>
          <s:t>Interested source only</s:t>
        </s:is>
      </s:c>
    </s:row>
    <s:row r="8" ht="48" customHeight="1">
      <s:c r="A8" s="5" t="inlineStr">
        <s:is>
          <s:t>T003</s:t>
        </s:is>
      </s:c>
      <s:c r="B8" s="5" t="inlineStr">
        <s:is>
          <s:t>1987</s:t>
        </s:is>
      </s:c>
      <s:c r="C8" s="5" t="inlineStr">
        <s:is>
          <s:t>Year</s:t>
        </s:is>
      </s:c>
      <s:c r="D8" s="5" t="inlineStr">
        <s:is>
          <s:t>Gujarat BJP organization</s:t>
        </s:is>
      </s:c>
      <s:c r="E8" s="5" t="inlineStr">
        <s:is>
          <s:t>Party</s:t>
        </s:is>
      </s:c>
      <s:c r="F8" s="5" t="inlineStr">
        <s:is>
          <s:t>Official biography records state general-secretary work.</s:t>
        </s:is>
      </s:c>
      <s:c r="G8" s="5" t="inlineStr">
        <s:is>
          <s:t>P1</s:t>
        </s:is>
      </s:c>
      <s:c r="H8" s="5" t="inlineStr">
        <s:is>
          <s:t>P1-E01</s:t>
        </s:is>
      </s:c>
      <s:c r="I8" s="5" t="inlineStr">
        <s:is>
          <s:t>Recorded fact</s:t>
        </s:is>
      </s:c>
      <s:c r="J8" s="6" t="inlineStr">
        <s:is>
          <s:t>S002</s:t>
        </s:is>
      </s:c>
      <s:c r="K8" s="5" t="inlineStr">
        <s:is>
          <s:t>Do not infer exact joining date or complete appointment history.</s:t>
        </s:is>
      </s:c>
      <s:c r="L8" s="5" t="inlineStr">
        <s:is>
          <s:t>Interested source only</s:t>
        </s:is>
      </s:c>
    </s:row>
    <s:row r="9" ht="48" customHeight="1">
      <s:c r="A9" s="7" t="inlineStr">
        <s:is>
          <s:t>T004</s:t>
        </s:is>
      </s:c>
      <s:c r="B9" s="7" t="inlineStr">
        <s:is>
          <s:t>1995</s:t>
        </s:is>
      </s:c>
      <s:c r="C9" s="7" t="inlineStr">
        <s:is>
          <s:t>Year</s:t>
        </s:is>
      </s:c>
      <s:c r="D9" s="7" t="inlineStr">
        <s:is>
          <s:t>National BJP secretary</s:t>
        </s:is>
      </s:c>
      <s:c r="E9" s="7" t="inlineStr">
        <s:is>
          <s:t>Party</s:t>
        </s:is>
      </s:c>
      <s:c r="F9" s="7" t="inlineStr">
        <s:is>
          <s:t>Moved to national organizational responsibilities.</s:t>
        </s:is>
      </s:c>
      <s:c r="G9" s="7" t="inlineStr">
        <s:is>
          <s:t>P1</s:t>
        </s:is>
      </s:c>
      <s:c r="H9" s="7" t="inlineStr">
        <s:is>
          <s:t>P1-E01</s:t>
        </s:is>
      </s:c>
      <s:c r="I9" s="7" t="inlineStr">
        <s:is>
          <s:t>Recorded fact</s:t>
        </s:is>
      </s:c>
      <s:c r="J9" s="8" t="inlineStr">
        <s:is>
          <s:t>S002</s:t>
        </s:is>
      </s:c>
      <s:c r="K9" s="7" t="inlineStr">
        <s:is>
          <s:t>No additional qualification.</s:t>
        </s:is>
      </s:c>
      <s:c r="L9" s="7" t="inlineStr">
        <s:is>
          <s:t>Interested source only</s:t>
        </s:is>
      </s:c>
    </s:row>
    <s:row r="10" ht="48" customHeight="1">
      <s:c r="A10" s="5" t="inlineStr">
        <s:is>
          <s:t>T005</s:t>
        </s:is>
      </s:c>
      <s:c r="B10" s="5" t="inlineStr">
        <s:is>
          <s:t>1998</s:t>
        </s:is>
      </s:c>
      <s:c r="C10" s="5" t="inlineStr">
        <s:is>
          <s:t>Year</s:t>
        </s:is>
      </s:c>
      <s:c r="D10" s="5" t="inlineStr">
        <s:is>
          <s:t>National organization role</s:t>
        </s:is>
      </s:c>
      <s:c r="E10" s="5" t="inlineStr">
        <s:is>
          <s:t>Party</s:t>
        </s:is>
      </s:c>
      <s:c r="F10" s="5" t="inlineStr">
        <s:is>
          <s:t>Official retrospective identifies work as general secretary (organization).</s:t>
        </s:is>
      </s:c>
      <s:c r="G10" s="5" t="inlineStr">
        <s:is>
          <s:t>P1</s:t>
        </s:is>
      </s:c>
      <s:c r="H10" s="5" t="inlineStr">
        <s:is>
          <s:t>P1-E01</s:t>
        </s:is>
      </s:c>
      <s:c r="I10" s="5" t="inlineStr">
        <s:is>
          <s:t>Recorded fact</s:t>
        </s:is>
      </s:c>
      <s:c r="J10" s="6" t="inlineStr">
        <s:is>
          <s:t>S002</s:t>
        </s:is>
      </s:c>
      <s:c r="K10" s="5" t="inlineStr">
        <s:is>
          <s:t>Exact start and end notifications not recovered.</s:t>
        </s:is>
      </s:c>
      <s:c r="L10" s="5" t="inlineStr">
        <s:is>
          <s:t>Interested source only</s:t>
        </s:is>
      </s:c>
    </s:row>
    <s:row r="11" ht="48" customHeight="1">
      <s:c r="A11" s="7" t="inlineStr">
        <s:is>
          <s:t>T006</s:t>
        </s:is>
      </s:c>
      <s:c r="B11" s="15" t="n">
        <s:v>37171</s:v>
      </s:c>
      <s:c r="C11" s="7" t="inlineStr">
        <s:is>
          <s:t>Day</s:t>
        </s:is>
      </s:c>
      <s:c r="D11" s="7" t="inlineStr">
        <s:is>
          <s:t>Gujarat chief minister</s:t>
        </s:is>
      </s:c>
      <s:c r="E11" s="7" t="inlineStr">
        <s:is>
          <s:t>Executive office</s:t>
        </s:is>
      </s:c>
      <s:c r="F11" s="7" t="inlineStr">
        <s:is>
          <s:t>Succeeded Keshubhai Patel and began a continuous chief-ministerial tenure lasting to May 2014.</s:t>
        </s:is>
      </s:c>
      <s:c r="G11" s="7" t="inlineStr">
        <s:is>
          <s:t>P2</s:t>
        </s:is>
      </s:c>
      <s:c r="H11" s="7" t="inlineStr">
        <s:is>
          <s:t>P2-E01</s:t>
        </s:is>
      </s:c>
      <s:c r="I11" s="7" t="inlineStr">
        <s:is>
          <s:t>Recorded fact</s:t>
        </s:is>
      </s:c>
      <s:c r="J11" s="8" t="inlineStr">
        <s:is>
          <s:t>S093; S094</s:t>
        </s:is>
      </s:c>
      <s:c r="K11" s="7" t="inlineStr">
        <s:is>
          <s:t>Administrative continuity extends across four government formations.</s:t>
        </s:is>
      </s:c>
      <s:c r="L11" s="7" t="inlineStr">
        <s:is>
          <s:t>Primary record</s:t>
        </s:is>
      </s:c>
    </s:row>
    <s:row r="12" ht="48" customHeight="1">
      <s:c r="A12" s="5" t="inlineStr">
        <s:is>
          <s:t>T007</s:t>
        </s:is>
      </s:c>
      <s:c r="B12" s="5" t="inlineStr">
        <s:is>
          <s:t>2002</s:t>
        </s:is>
      </s:c>
      <s:c r="C12" s="5" t="inlineStr">
        <s:is>
          <s:t>Year</s:t>
        </s:is>
      </s:c>
      <s:c r="D12" s="5" t="inlineStr">
        <s:is>
          <s:t>Gujarat communal violence</s:t>
        </s:is>
      </s:c>
      <s:c r="E12" s="5" t="inlineStr">
        <s:is>
          <s:t>Crisis</s:t>
        </s:is>
      </s:c>
      <s:c r="F12" s="5" t="inlineStr">
        <s:is>
          <s:t>State response became the subject of institutional investigation and enduring public criticism.</s:t>
        </s:is>
      </s:c>
      <s:c r="G12" s="5" t="inlineStr">
        <s:is>
          <s:t>P2</s:t>
        </s:is>
      </s:c>
      <s:c r="H12" s="5" t="inlineStr">
        <s:is>
          <s:t>P2-E01</s:t>
        </s:is>
      </s:c>
      <s:c r="I12" s="5" t="inlineStr">
        <s:is>
          <s:t>Recorded fact</s:t>
        </s:is>
      </s:c>
      <s:c r="J12" s="6" t="inlineStr">
        <s:is>
          <s:t>S021; S019</s:t>
        </s:is>
      </s:c>
      <s:c r="K12" s="5" t="inlineStr">
        <s:is>
          <s:t>Separate the violence, governance failures and larger-conspiracy complaint.</s:t>
        </s:is>
      </s:c>
      <s:c r="L12" s="5" t="inlineStr">
        <s:is>
          <s:t>Primary record</s:t>
        </s:is>
      </s:c>
    </s:row>
    <s:row r="13" ht="48" customHeight="1">
      <s:c r="A13" s="7" t="inlineStr">
        <s:is>
          <s:t>T008</s:t>
        </s:is>
      </s:c>
      <s:c r="B13" s="7" t="inlineStr">
        <s:is>
          <s:t>2002-02</s:t>
        </s:is>
      </s:c>
      <s:c r="C13" s="7" t="inlineStr">
        <s:is>
          <s:t>Month</s:t>
        </s:is>
      </s:c>
      <s:c r="D13" s="7" t="inlineStr">
        <s:is>
          <s:t>Rajkot II victory</s:t>
        </s:is>
      </s:c>
      <s:c r="E13" s="7" t="inlineStr">
        <s:is>
          <s:t>Election</s:t>
        </s:is>
      </s:c>
      <s:c r="F13" s="7" t="inlineStr">
        <s:is>
          <s:t>First personal assembly victory, in a by-election.</s:t>
        </s:is>
      </s:c>
      <s:c r="G13" s="7" t="inlineStr">
        <s:is>
          <s:t>P2</s:t>
        </s:is>
      </s:c>
      <s:c r="H13" s="7" t="inlineStr">
        <s:is>
          <s:t>P2-E01</s:t>
        </s:is>
      </s:c>
      <s:c r="I13" s="7" t="inlineStr">
        <s:is>
          <s:t>Recorded fact</s:t>
        </s:is>
      </s:c>
      <s:c r="J13" s="8" t="inlineStr">
        <s:is>
          <s:t>S004</s:t>
        </s:is>
      </s:c>
      <s:c r="K13" s="7" t="inlineStr">
        <s:is>
          <s:t>No additional qualification.</s:t>
        </s:is>
      </s:c>
      <s:c r="L13" s="7" t="inlineStr">
        <s:is>
          <s:t>Primary record</s:t>
        </s:is>
      </s:c>
    </s:row>
    <s:row r="14" ht="48" customHeight="1">
      <s:c r="A14" s="5" t="inlineStr">
        <s:is>
          <s:t>T009</s:t>
        </s:is>
      </s:c>
      <s:c r="B14" s="5" t="inlineStr">
        <s:is>
          <s:t>2002-12</s:t>
        </s:is>
      </s:c>
      <s:c r="C14" s="5" t="inlineStr">
        <s:is>
          <s:t>Month</s:t>
        </s:is>
      </s:c>
      <s:c r="D14" s="5" t="inlineStr">
        <s:is>
          <s:t>Maninagar victory</s:t>
        </s:is>
      </s:c>
      <s:c r="E14" s="5" t="inlineStr">
        <s:is>
          <s:t>Election</s:t>
        </s:is>
      </s:c>
      <s:c r="F14" s="5" t="inlineStr">
        <s:is>
          <s:t>Won the first of three documented Maninagar contests.</s:t>
        </s:is>
      </s:c>
      <s:c r="G14" s="5" t="inlineStr">
        <s:is>
          <s:t>P2</s:t>
        </s:is>
      </s:c>
      <s:c r="H14" s="5" t="inlineStr">
        <s:is>
          <s:t>P2-E01</s:t>
        </s:is>
      </s:c>
      <s:c r="I14" s="5" t="inlineStr">
        <s:is>
          <s:t>Recorded fact</s:t>
        </s:is>
      </s:c>
      <s:c r="J14" s="6" t="inlineStr">
        <s:is>
          <s:t>S006</s:t>
        </s:is>
      </s:c>
      <s:c r="K14" s="5" t="inlineStr">
        <s:is>
          <s:t>No additional qualification.</s:t>
        </s:is>
      </s:c>
      <s:c r="L14" s="5" t="inlineStr">
        <s:is>
          <s:t>Single credible source</s:t>
        </s:is>
      </s:c>
    </s:row>
    <s:row r="15" ht="48" customHeight="1">
      <s:c r="A15" s="7" t="inlineStr">
        <s:is>
          <s:t>T010</s:t>
        </s:is>
      </s:c>
      <s:c r="B15" s="7" t="inlineStr">
        <s:is>
          <s:t>2003</s:t>
        </s:is>
      </s:c>
      <s:c r="C15" s="7" t="inlineStr">
        <s:is>
          <s:t>Year</s:t>
        </s:is>
      </s:c>
      <s:c r="D15" s="7" t="inlineStr">
        <s:is>
          <s:t>Jyotigram begins</s:t>
        </s:is>
      </s:c>
      <s:c r="E15" s="7" t="inlineStr">
        <s:is>
          <s:t>Policy</s:t>
        </s:is>
      </s:c>
      <s:c r="F15" s="7" t="inlineStr">
        <s:is>
          <s:t>Gujarat launched feeder-separation reform.</s:t>
        </s:is>
      </s:c>
      <s:c r="G15" s="7" t="inlineStr">
        <s:is>
          <s:t>P2</s:t>
        </s:is>
      </s:c>
      <s:c r="H15" s="7" t="inlineStr">
        <s:is>
          <s:t>P2-E01</s:t>
        </s:is>
      </s:c>
      <s:c r="I15" s="7" t="inlineStr">
        <s:is>
          <s:t>Recorded fact</s:t>
        </s:is>
      </s:c>
      <s:c r="J15" s="8" t="inlineStr">
        <s:is>
          <s:t>S018</s:t>
        </s:is>
      </s:c>
      <s:c r="K15" s="7" t="inlineStr">
        <s:is>
          <s:t>No additional qualification.</s:t>
        </s:is>
      </s:c>
      <s:c r="L15" s="7" t="inlineStr">
        <s:is>
          <s:t>Single credible source</s:t>
        </s:is>
      </s:c>
    </s:row>
    <s:row r="16" ht="48" customHeight="1">
      <s:c r="A16" s="5" t="inlineStr">
        <s:is>
          <s:t>T011</s:t>
        </s:is>
      </s:c>
      <s:c r="B16" s="5" t="inlineStr">
        <s:is>
          <s:t>2007</s:t>
        </s:is>
      </s:c>
      <s:c r="C16" s="5" t="inlineStr">
        <s:is>
          <s:t>Year</s:t>
        </s:is>
      </s:c>
      <s:c r="D16" s="5" t="inlineStr">
        <s:is>
          <s:t>Maninagar re-election</s:t>
        </s:is>
      </s:c>
      <s:c r="E16" s="5" t="inlineStr">
        <s:is>
          <s:t>Election</s:t>
        </s:is>
      </s:c>
      <s:c r="F16" s="5" t="inlineStr">
        <s:is>
          <s:t>Returned to the assembly from Maninagar.</s:t>
        </s:is>
      </s:c>
      <s:c r="G16" s="5" t="inlineStr">
        <s:is>
          <s:t>P2</s:t>
        </s:is>
      </s:c>
      <s:c r="H16" s="5" t="inlineStr">
        <s:is>
          <s:t>P2-E01</s:t>
        </s:is>
      </s:c>
      <s:c r="I16" s="5" t="inlineStr">
        <s:is>
          <s:t>Recorded fact</s:t>
        </s:is>
      </s:c>
      <s:c r="J16" s="6" t="inlineStr">
        <s:is>
          <s:t>S005</s:t>
        </s:is>
      </s:c>
      <s:c r="K16" s="5" t="inlineStr">
        <s:is>
          <s:t>No additional qualification.</s:t>
        </s:is>
      </s:c>
      <s:c r="L16" s="5" t="inlineStr">
        <s:is>
          <s:t>Single credible source</s:t>
        </s:is>
      </s:c>
    </s:row>
    <s:row r="17" ht="48" customHeight="1">
      <s:c r="A17" s="7" t="inlineStr">
        <s:is>
          <s:t>T012</s:t>
        </s:is>
      </s:c>
      <s:c r="B17" s="7" t="inlineStr">
        <s:is>
          <s:t>2012</s:t>
        </s:is>
      </s:c>
      <s:c r="C17" s="7" t="inlineStr">
        <s:is>
          <s:t>Year</s:t>
        </s:is>
      </s:c>
      <s:c r="D17" s="7" t="inlineStr">
        <s:is>
          <s:t>Maninagar re-election</s:t>
        </s:is>
      </s:c>
      <s:c r="E17" s="7" t="inlineStr">
        <s:is>
          <s:t>Election</s:t>
        </s:is>
      </s:c>
      <s:c r="F17" s="7" t="inlineStr">
        <s:is>
          <s:t>Third Maninagar victory; national leadership positioning intensified.</s:t>
        </s:is>
      </s:c>
      <s:c r="G17" s="7" t="inlineStr">
        <s:is>
          <s:t>P2</s:t>
        </s:is>
      </s:c>
      <s:c r="H17" s="7" t="inlineStr">
        <s:is>
          <s:t>P2-E01</s:t>
        </s:is>
      </s:c>
      <s:c r="I17" s="7" t="inlineStr">
        <s:is>
          <s:t>Recorded fact</s:t>
        </s:is>
      </s:c>
      <s:c r="J17" s="8" t="inlineStr">
        <s:is>
          <s:t>S005; S016</s:t>
        </s:is>
      </s:c>
      <s:c r="K17" s="7" t="inlineStr">
        <s:is>
          <s:t>No additional qualification.</s:t>
        </s:is>
      </s:c>
      <s:c r="L17" s="7" t="inlineStr">
        <s:is>
          <s:t>Multiple independent sources</s:t>
        </s:is>
      </s:c>
    </s:row>
    <s:row r="18" ht="48" customHeight="1">
      <s:c r="A18" s="5" t="inlineStr">
        <s:is>
          <s:t>T013</s:t>
        </s:is>
      </s:c>
      <s:c r="B18" s="14" t="n">
        <s:v>41780</s:v>
      </s:c>
      <s:c r="C18" s="5" t="inlineStr">
        <s:is>
          <s:t>Day</s:t>
        </s:is>
      </s:c>
      <s:c r="D18" s="5" t="inlineStr">
        <s:is>
          <s:t>Resigns Gujarat office</s:t>
        </s:is>
      </s:c>
      <s:c r="E18" s="5" t="inlineStr">
        <s:is>
          <s:t>Transition</s:t>
        </s:is>
      </s:c>
      <s:c r="F18" s="5" t="inlineStr">
        <s:is>
          <s:t>Resigned as chief minister ahead of taking national office.</s:t>
        </s:is>
      </s:c>
      <s:c r="G18" s="5" t="inlineStr">
        <s:is>
          <s:t>P2</s:t>
        </s:is>
      </s:c>
      <s:c r="H18" s="5" t="inlineStr">
        <s:is>
          <s:t>P2-E01</s:t>
        </s:is>
      </s:c>
      <s:c r="I18" s="5" t="inlineStr">
        <s:is>
          <s:t>Recorded fact</s:t>
        </s:is>
      </s:c>
      <s:c r="J18" s="6" t="inlineStr">
        <s:is>
          <s:t>S014</s:t>
        </s:is>
      </s:c>
      <s:c r="K18" s="5" t="inlineStr">
        <s:is>
          <s:t>No additional qualification.</s:t>
        </s:is>
      </s:c>
      <s:c r="L18" s="5" t="inlineStr">
        <s:is>
          <s:t>Single credible source</s:t>
        </s:is>
      </s:c>
    </s:row>
    <s:row r="19" ht="48" customHeight="1">
      <s:c r="A19" s="7" t="inlineStr">
        <s:is>
          <s:t>T014</s:t>
        </s:is>
      </s:c>
      <s:c r="B19" s="15" t="n">
        <s:v>41785</s:v>
      </s:c>
      <s:c r="C19" s="7" t="inlineStr">
        <s:is>
          <s:t>Day</s:t>
        </s:is>
      </s:c>
      <s:c r="D19" s="7" t="inlineStr">
        <s:is>
          <s:t>First prime-ministerial oath</s:t>
        </s:is>
      </s:c>
      <s:c r="E19" s="7" t="inlineStr">
        <s:is>
          <s:t>Executive office</s:t>
        </s:is>
      </s:c>
      <s:c r="F19" s="7" t="inlineStr">
        <s:is>
          <s:t>Entered Union executive leadership after winning two Lok Sabha seats.</s:t>
        </s:is>
      </s:c>
      <s:c r="G19" s="7" t="inlineStr">
        <s:is>
          <s:t>P3</s:t>
        </s:is>
      </s:c>
      <s:c r="H19" s="7" t="inlineStr">
        <s:is>
          <s:t>P3-E01</s:t>
        </s:is>
      </s:c>
      <s:c r="I19" s="7" t="inlineStr">
        <s:is>
          <s:t>Recorded fact</s:t>
        </s:is>
      </s:c>
      <s:c r="J19" s="8" t="inlineStr">
        <s:is>
          <s:t>S002; S008</s:t>
        </s:is>
      </s:c>
      <s:c r="K19" s="7" t="inlineStr">
        <s:is>
          <s:t>No additional qualification.</s:t>
        </s:is>
      </s:c>
      <s:c r="L19" s="7" t="inlineStr">
        <s:is>
          <s:t>Primary record</s:t>
        </s:is>
      </s:c>
    </s:row>
    <s:row r="20" ht="48" customHeight="1">
      <s:c r="A20" s="5" t="inlineStr">
        <s:is>
          <s:t>T015</s:t>
        </s:is>
      </s:c>
      <s:c r="B20" s="14" t="n">
        <s:v>41879</s:v>
      </s:c>
      <s:c r="C20" s="5" t="inlineStr">
        <s:is>
          <s:t>Day</s:t>
        </s:is>
      </s:c>
      <s:c r="D20" s="5" t="inlineStr">
        <s:is>
          <s:t>Jan Dhan launched</s:t>
        </s:is>
      </s:c>
      <s:c r="E20" s="5" t="inlineStr">
        <s:is>
          <s:t>Policy</s:t>
        </s:is>
      </s:c>
      <s:c r="F20" s="5" t="inlineStr">
        <s:is>
          <s:t>Financial-inclusion program launched nationally.</s:t>
        </s:is>
      </s:c>
      <s:c r="G20" s="5" t="inlineStr">
        <s:is>
          <s:t>P3</s:t>
        </s:is>
      </s:c>
      <s:c r="H20" s="5" t="inlineStr">
        <s:is>
          <s:t>P3-E01</s:t>
        </s:is>
      </s:c>
      <s:c r="I20" s="5" t="inlineStr">
        <s:is>
          <s:t>Recorded fact</s:t>
        </s:is>
      </s:c>
      <s:c r="J20" s="6" t="inlineStr">
        <s:is>
          <s:t>S022</s:t>
        </s:is>
      </s:c>
      <s:c r="K20" s="5" t="inlineStr">
        <s:is>
          <s:t>No additional qualification.</s:t>
        </s:is>
      </s:c>
      <s:c r="L20" s="5" t="inlineStr">
        <s:is>
          <s:t>Primary record</s:t>
        </s:is>
      </s:c>
    </s:row>
    <s:row r="21" ht="48" customHeight="1">
      <s:c r="A21" s="7" t="inlineStr">
        <s:is>
          <s:t>T016</s:t>
        </s:is>
      </s:c>
      <s:c r="B21" s="15" t="n">
        <s:v>41915</s:v>
      </s:c>
      <s:c r="C21" s="7" t="inlineStr">
        <s:is>
          <s:t>Day</s:t>
        </s:is>
      </s:c>
      <s:c r="D21" s="7" t="inlineStr">
        <s:is>
          <s:t>Mann Ki Baat begins</s:t>
        </s:is>
      </s:c>
      <s:c r="E21" s="7" t="inlineStr">
        <s:is>
          <s:t>Communication</s:t>
        </s:is>
      </s:c>
      <s:c r="F21" s="7" t="inlineStr">
        <s:is>
          <s:t>Regular direct radio communication became an enduring leadership instrument.</s:t>
        </s:is>
      </s:c>
      <s:c r="G21" s="7" t="inlineStr">
        <s:is>
          <s:t>P3</s:t>
        </s:is>
      </s:c>
      <s:c r="H21" s="7" t="inlineStr">
        <s:is>
          <s:t>P3-E01</s:t>
        </s:is>
      </s:c>
      <s:c r="I21" s="7" t="inlineStr">
        <s:is>
          <s:t>Recorded fact</s:t>
        </s:is>
      </s:c>
      <s:c r="J21" s="8" t="inlineStr">
        <s:is>
          <s:t>S074</s:t>
        </s:is>
      </s:c>
      <s:c r="K21" s="7" t="inlineStr">
        <s:is>
          <s:t>No additional qualification.</s:t>
        </s:is>
      </s:c>
      <s:c r="L21" s="7" t="inlineStr">
        <s:is>
          <s:t>Primary record</s:t>
        </s:is>
      </s:c>
    </s:row>
    <s:row r="22" ht="48" customHeight="1">
      <s:c r="A22" s="5" t="inlineStr">
        <s:is>
          <s:t>T017</s:t>
        </s:is>
      </s:c>
      <s:c r="B22" s="14" t="n">
        <s:v>42642</s:v>
      </s:c>
      <s:c r="C22" s="5" t="inlineStr">
        <s:is>
          <s:t>Day</s:t>
        </s:is>
      </s:c>
      <s:c r="D22" s="5" t="inlineStr">
        <s:is>
          <s:t>Cross-LoC strikes announced</s:t>
        </s:is>
      </s:c>
      <s:c r="E22" s="5" t="inlineStr">
        <s:is>
          <s:t>Security</s:t>
        </s:is>
      </s:c>
      <s:c r="F22" s="5" t="inlineStr">
        <s:is>
          <s:t>India announced action after the Uri attack; operational accounts were disputed.</s:t>
        </s:is>
      </s:c>
      <s:c r="G22" s="5" t="inlineStr">
        <s:is>
          <s:t>P3</s:t>
        </s:is>
      </s:c>
      <s:c r="H22" s="5" t="inlineStr">
        <s:is>
          <s:t>P3-E01</s:t>
        </s:is>
      </s:c>
      <s:c r="I22" s="5" t="inlineStr">
        <s:is>
          <s:t>Recorded fact</s:t>
        </s:is>
      </s:c>
      <s:c r="J22" s="6" t="inlineStr">
        <s:is>
          <s:t>S097</s:t>
        </s:is>
      </s:c>
      <s:c r="K22" s="5" t="inlineStr">
        <s:is>
          <s:t>No additional qualification.</s:t>
        </s:is>
      </s:c>
      <s:c r="L22" s="5" t="inlineStr">
        <s:is>
          <s:t>Single credible source</s:t>
        </s:is>
      </s:c>
    </s:row>
    <s:row r="23" ht="48" customHeight="1">
      <s:c r="A23" s="7" t="inlineStr">
        <s:is>
          <s:t>T018</s:t>
        </s:is>
      </s:c>
      <s:c r="B23" s="15" t="n">
        <s:v>42682</s:v>
      </s:c>
      <s:c r="C23" s="7" t="inlineStr">
        <s:is>
          <s:t>Day</s:t>
        </s:is>
      </s:c>
      <s:c r="D23" s="7" t="inlineStr">
        <s:is>
          <s:t>Demonetization announced</s:t>
        </s:is>
      </s:c>
      <s:c r="E23" s="7" t="inlineStr">
        <s:is>
          <s:t>Policy</s:t>
        </s:is>
      </s:c>
      <s:c r="F23" s="7" t="inlineStr">
        <s:is>
          <s:t>Large-denomination note withdrawal created a major cash-supply shock.</s:t>
        </s:is>
      </s:c>
      <s:c r="G23" s="7" t="inlineStr">
        <s:is>
          <s:t>P3</s:t>
        </s:is>
      </s:c>
      <s:c r="H23" s="7" t="inlineStr">
        <s:is>
          <s:t>P3-E01</s:t>
        </s:is>
      </s:c>
      <s:c r="I23" s="7" t="inlineStr">
        <s:is>
          <s:t>Recorded fact</s:t>
        </s:is>
      </s:c>
      <s:c r="J23" s="8" t="inlineStr">
        <s:is>
          <s:t>S027</s:t>
        </s:is>
      </s:c>
      <s:c r="K23" s="7" t="inlineStr">
        <s:is>
          <s:t>No additional qualification.</s:t>
        </s:is>
      </s:c>
      <s:c r="L23" s="7" t="inlineStr">
        <s:is>
          <s:t>Single credible source</s:t>
        </s:is>
      </s:c>
    </s:row>
    <s:row r="24" ht="48" customHeight="1">
      <s:c r="A24" s="5" t="inlineStr">
        <s:is>
          <s:t>T019</s:t>
        </s:is>
      </s:c>
      <s:c r="B24" s="5" t="inlineStr">
        <s:is>
          <s:t>2017-07</s:t>
        </s:is>
      </s:c>
      <s:c r="C24" s="5" t="inlineStr">
        <s:is>
          <s:t>Month</s:t>
        </s:is>
      </s:c>
      <s:c r="D24" s="5" t="inlineStr">
        <s:is>
          <s:t>GST rollout</s:t>
        </s:is>
      </s:c>
      <s:c r="E24" s="5" t="inlineStr">
        <s:is>
          <s:t>Policy</s:t>
        </s:is>
      </s:c>
      <s:c r="F24" s="5" t="inlineStr">
        <s:is>
          <s:t>National indirect-tax reform implemented through a federal council and legislation.</s:t>
        </s:is>
      </s:c>
      <s:c r="G24" s="5" t="inlineStr">
        <s:is>
          <s:t>P3</s:t>
        </s:is>
      </s:c>
      <s:c r="H24" s="5" t="inlineStr">
        <s:is>
          <s:t>P3-E01</s:t>
        </s:is>
      </s:c>
      <s:c r="I24" s="5" t="inlineStr">
        <s:is>
          <s:t>Recorded fact</s:t>
        </s:is>
      </s:c>
      <s:c r="J24" s="6" t="inlineStr">
        <s:is>
          <s:t>S028</s:t>
        </s:is>
      </s:c>
      <s:c r="K24" s="5" t="inlineStr">
        <s:is>
          <s:t>No additional qualification.</s:t>
        </s:is>
      </s:c>
      <s:c r="L24" s="5" t="inlineStr">
        <s:is>
          <s:t>Primary record</s:t>
        </s:is>
      </s:c>
    </s:row>
    <s:row r="25" ht="48" customHeight="1">
      <s:c r="A25" s="7" t="inlineStr">
        <s:is>
          <s:t>T020</s:t>
        </s:is>
      </s:c>
      <s:c r="B25" s="15" t="n">
        <s:v>43366</s:v>
      </s:c>
      <s:c r="C25" s="7" t="inlineStr">
        <s:is>
          <s:t>Day</s:t>
        </s:is>
      </s:c>
      <s:c r="D25" s="7" t="inlineStr">
        <s:is>
          <s:t>PM-JAY launch</s:t>
        </s:is>
      </s:c>
      <s:c r="E25" s="7" t="inlineStr">
        <s:is>
          <s:t>Health policy</s:t>
        </s:is>
      </s:c>
      <s:c r="F25" s="7" t="inlineStr">
        <s:is>
          <s:t>Hospitalization-coverage scheme launched.</s:t>
        </s:is>
      </s:c>
      <s:c r="G25" s="7" t="inlineStr">
        <s:is>
          <s:t>P3</s:t>
        </s:is>
      </s:c>
      <s:c r="H25" s="7" t="inlineStr">
        <s:is>
          <s:t>P3-E01</s:t>
        </s:is>
      </s:c>
      <s:c r="I25" s="7" t="inlineStr">
        <s:is>
          <s:t>Recorded fact</s:t>
        </s:is>
      </s:c>
      <s:c r="J25" s="8" t="inlineStr">
        <s:is>
          <s:t>S078</s:t>
        </s:is>
      </s:c>
      <s:c r="K25" s="7" t="inlineStr">
        <s:is>
          <s:t>No additional qualification.</s:t>
        </s:is>
      </s:c>
      <s:c r="L25" s="7" t="inlineStr">
        <s:is>
          <s:t>Primary record</s:t>
        </s:is>
      </s:c>
    </s:row>
    <s:row r="26" ht="48" customHeight="1">
      <s:c r="A26" s="5" t="inlineStr">
        <s:is>
          <s:t>T021</s:t>
        </s:is>
      </s:c>
      <s:c r="B26" s="14" t="n">
        <s:v>43522</s:v>
      </s:c>
      <s:c r="C26" s="5" t="inlineStr">
        <s:is>
          <s:t>Day</s:t>
        </s:is>
      </s:c>
      <s:c r="D26" s="5" t="inlineStr">
        <s:is>
          <s:t>Balakot air strike</s:t>
        </s:is>
      </s:c>
      <s:c r="E26" s="5" t="inlineStr">
        <s:is>
          <s:t>Security</s:t>
        </s:is>
      </s:c>
      <s:c r="F26" s="5" t="inlineStr">
        <s:is>
          <s:t>Foreign Secretary announced a strike on a claimed JeM facility.</s:t>
        </s:is>
      </s:c>
      <s:c r="G26" s="5" t="inlineStr">
        <s:is>
          <s:t>P3</s:t>
        </s:is>
      </s:c>
      <s:c r="H26" s="5" t="inlineStr">
        <s:is>
          <s:t>P3-E01</s:t>
        </s:is>
      </s:c>
      <s:c r="I26" s="5" t="inlineStr">
        <s:is>
          <s:t>Recorded fact</s:t>
        </s:is>
      </s:c>
      <s:c r="J26" s="6" t="inlineStr">
        <s:is>
          <s:t>S084</s:t>
        </s:is>
      </s:c>
      <s:c r="K26" s="5" t="inlineStr">
        <s:is>
          <s:t>Indian statement; damage and casualty claims not independently adopted.</s:t>
        </s:is>
      </s:c>
      <s:c r="L26" s="5" t="inlineStr">
        <s:is>
          <s:t>Primary record</s:t>
        </s:is>
      </s:c>
    </s:row>
    <s:row r="27" ht="48" customHeight="1">
      <s:c r="A27" s="7" t="inlineStr">
        <s:is>
          <s:t>T022</s:t>
        </s:is>
      </s:c>
      <s:c r="B27" s="15" t="n">
        <s:v>43615</s:v>
      </s:c>
      <s:c r="C27" s="7" t="inlineStr">
        <s:is>
          <s:t>Day</s:t>
        </s:is>
      </s:c>
      <s:c r="D27" s="7" t="inlineStr">
        <s:is>
          <s:t>Second prime-ministerial oath</s:t>
        </s:is>
      </s:c>
      <s:c r="E27" s="7" t="inlineStr">
        <s:is>
          <s:t>Executive office</s:t>
        </s:is>
      </s:c>
      <s:c r="F27" s="7" t="inlineStr">
        <s:is>
          <s:t>Second consecutive national term began.</s:t>
        </s:is>
      </s:c>
      <s:c r="G27" s="7" t="inlineStr">
        <s:is>
          <s:t>P3</s:t>
        </s:is>
      </s:c>
      <s:c r="H27" s="7" t="inlineStr">
        <s:is>
          <s:t>P3-E01</s:t>
        </s:is>
      </s:c>
      <s:c r="I27" s="7" t="inlineStr">
        <s:is>
          <s:t>Recorded fact</s:t>
        </s:is>
      </s:c>
      <s:c r="J27" s="8" t="inlineStr">
        <s:is>
          <s:t>S013</s:t>
        </s:is>
      </s:c>
      <s:c r="K27" s="7" t="inlineStr">
        <s:is>
          <s:t>No additional qualification.</s:t>
        </s:is>
      </s:c>
      <s:c r="L27" s="7" t="inlineStr">
        <s:is>
          <s:t>Primary record</s:t>
        </s:is>
      </s:c>
    </s:row>
    <s:row r="28" ht="48" customHeight="1">
      <s:c r="A28" s="5" t="inlineStr">
        <s:is>
          <s:t>T023</s:t>
        </s:is>
      </s:c>
      <s:c r="B28" s="5" t="inlineStr">
        <s:is>
          <s:t>2019-08</s:t>
        </s:is>
      </s:c>
      <s:c r="C28" s="5" t="inlineStr">
        <s:is>
          <s:t>Month</s:t>
        </s:is>
      </s:c>
      <s:c r="D28" s="5" t="inlineStr">
        <s:is>
          <s:t>Article 370 changes</s:t>
        </s:is>
      </s:c>
      <s:c r="E28" s="5" t="inlineStr">
        <s:is>
          <s:t>Constitutional change</s:t>
        </s:is>
      </s:c>
      <s:c r="F28" s="5" t="inlineStr">
        <s:is>
          <s:t>Union action removed the former special constitutional arrangement.</s:t>
        </s:is>
      </s:c>
      <s:c r="G28" s="5" t="inlineStr">
        <s:is>
          <s:t>P3</s:t>
        </s:is>
      </s:c>
      <s:c r="H28" s="5" t="inlineStr">
        <s:is>
          <s:t>P3-E01</s:t>
        </s:is>
      </s:c>
      <s:c r="I28" s="5" t="inlineStr">
        <s:is>
          <s:t>Recorded fact</s:t>
        </s:is>
      </s:c>
      <s:c r="J28" s="6" t="inlineStr">
        <s:is>
          <s:t>S034</s:t>
        </s:is>
      </s:c>
      <s:c r="K28" s="5" t="inlineStr">
        <s:is>
          <s:t>No additional qualification.</s:t>
        </s:is>
      </s:c>
      <s:c r="L28" s="5" t="inlineStr">
        <s:is>
          <s:t>Single credible source</s:t>
        </s:is>
      </s:c>
    </s:row>
    <s:row r="29" ht="48" customHeight="1">
      <s:c r="A29" s="7" t="inlineStr">
        <s:is>
          <s:t>T024</s:t>
        </s:is>
      </s:c>
      <s:c r="B29" s="7" t="inlineStr">
        <s:is>
          <s:t>2019-12</s:t>
        </s:is>
      </s:c>
      <s:c r="C29" s="7" t="inlineStr">
        <s:is>
          <s:t>Month</s:t>
        </s:is>
      </s:c>
      <s:c r="D29" s="7" t="inlineStr">
        <s:is>
          <s:t>Citizenship amendment</s:t>
        </s:is>
      </s:c>
      <s:c r="E29" s="7" t="inlineStr">
        <s:is>
          <s:t>Legislation</s:t>
        </s:is>
      </s:c>
      <s:c r="F29" s="7" t="inlineStr">
        <s:is>
          <s:t>Religion- and origin-specific naturalization pathway adopted; later rules followed in 2024.</s:t>
        </s:is>
      </s:c>
      <s:c r="G29" s="7" t="inlineStr">
        <s:is>
          <s:t>P3</s:t>
        </s:is>
      </s:c>
      <s:c r="H29" s="7" t="inlineStr">
        <s:is>
          <s:t>P3-E01</s:t>
        </s:is>
      </s:c>
      <s:c r="I29" s="7" t="inlineStr">
        <s:is>
          <s:t>Recorded fact</s:t>
        </s:is>
      </s:c>
      <s:c r="J29" s="8" t="inlineStr">
        <s:is>
          <s:t>S035; S036</s:t>
        </s:is>
      </s:c>
      <s:c r="K29" s="7" t="inlineStr">
        <s:is>
          <s:t>No additional qualification.</s:t>
        </s:is>
      </s:c>
      <s:c r="L29" s="7" t="inlineStr">
        <s:is>
          <s:t>Primary record</s:t>
        </s:is>
      </s:c>
    </s:row>
    <s:row r="30" ht="48" customHeight="1">
      <s:c r="A30" s="5" t="inlineStr">
        <s:is>
          <s:t>T025</s:t>
        </s:is>
      </s:c>
      <s:c r="B30" s="14" t="n">
        <s:v>43914</s:v>
      </s:c>
      <s:c r="C30" s="5" t="inlineStr">
        <s:is>
          <s:t>Day</s:t>
        </s:is>
      </s:c>
      <s:c r="D30" s="5" t="inlineStr">
        <s:is>
          <s:t>Nationwide lockdown announced</s:t>
        </s:is>
      </s:c>
      <s:c r="E30" s="5" t="inlineStr">
        <s:is>
          <s:t>Crisis</s:t>
        </s:is>
      </s:c>
      <s:c r="F30" s="5" t="inlineStr">
        <s:is>
          <s:t>A 21-day lockdown was announced to begin at midnight.</s:t>
        </s:is>
      </s:c>
      <s:c r="G30" s="5" t="inlineStr">
        <s:is>
          <s:t>P3</s:t>
        </s:is>
      </s:c>
      <s:c r="H30" s="5" t="inlineStr">
        <s:is>
          <s:t>P3-E01</s:t>
        </s:is>
      </s:c>
      <s:c r="I30" s="5" t="inlineStr">
        <s:is>
          <s:t>Recorded fact</s:t>
        </s:is>
      </s:c>
      <s:c r="J30" s="6" t="inlineStr">
        <s:is>
          <s:t>S037</s:t>
        </s:is>
      </s:c>
      <s:c r="K30" s="5" t="inlineStr">
        <s:is>
          <s:t>No additional qualification.</s:t>
        </s:is>
      </s:c>
      <s:c r="L30" s="5" t="inlineStr">
        <s:is>
          <s:t>Primary record</s:t>
        </s:is>
      </s:c>
    </s:row>
    <s:row r="31" ht="48" customHeight="1">
      <s:c r="A31" s="7" t="inlineStr">
        <s:is>
          <s:t>T026</s:t>
        </s:is>
      </s:c>
      <s:c r="B31" s="15" t="n">
        <s:v>43997</s:v>
      </s:c>
      <s:c r="C31" s="7" t="inlineStr">
        <s:is>
          <s:t>Day</s:t>
        </s:is>
      </s:c>
      <s:c r="D31" s="7" t="inlineStr">
        <s:is>
          <s:t>Galwan clash</s:t>
        </s:is>
      </s:c>
      <s:c r="E31" s="7" t="inlineStr">
        <s:is>
          <s:t>Security crisis</s:t>
        </s:is>
      </s:c>
      <s:c r="F31" s="7" t="inlineStr">
        <s:is>
          <s:t>Deadly confrontation affected India–China relations and border diplomacy.</s:t>
        </s:is>
      </s:c>
      <s:c r="G31" s="7" t="inlineStr">
        <s:is>
          <s:t>P3</s:t>
        </s:is>
      </s:c>
      <s:c r="H31" s="7" t="inlineStr">
        <s:is>
          <s:t>P3-E01</s:t>
        </s:is>
      </s:c>
      <s:c r="I31" s="7" t="inlineStr">
        <s:is>
          <s:t>Recorded fact</s:t>
        </s:is>
      </s:c>
      <s:c r="J31" s="8" t="inlineStr">
        <s:is>
          <s:t>S085</s:t>
        </s:is>
      </s:c>
      <s:c r="K31" s="7" t="inlineStr">
        <s:is>
          <s:t>Responsibility is disputed; source presents India’s account.</s:t>
        </s:is>
      </s:c>
      <s:c r="L31" s="7" t="inlineStr">
        <s:is>
          <s:t>Primary record</s:t>
        </s:is>
      </s:c>
    </s:row>
    <s:row r="32" ht="48" customHeight="1">
      <s:c r="A32" s="5" t="inlineStr">
        <s:is>
          <s:t>T027</s:t>
        </s:is>
      </s:c>
      <s:c r="B32" s="14" t="n">
        <s:v>44041</s:v>
      </s:c>
      <s:c r="C32" s="5" t="inlineStr">
        <s:is>
          <s:t>Day</s:t>
        </s:is>
      </s:c>
      <s:c r="D32" s="5" t="inlineStr">
        <s:is>
          <s:t>NEP 2020 approved</s:t>
        </s:is>
      </s:c>
      <s:c r="E32" s="5" t="inlineStr">
        <s:is>
          <s:t>Policy</s:t>
        </s:is>
      </s:c>
      <s:c r="F32" s="5" t="inlineStr">
        <s:is>
          <s:t>Union Cabinet adopted a new education-policy framework.</s:t>
        </s:is>
      </s:c>
      <s:c r="G32" s="5" t="inlineStr">
        <s:is>
          <s:t>P3</s:t>
        </s:is>
      </s:c>
      <s:c r="H32" s="5" t="inlineStr">
        <s:is>
          <s:t>P3-E01</s:t>
        </s:is>
      </s:c>
      <s:c r="I32" s="5" t="inlineStr">
        <s:is>
          <s:t>Recorded fact</s:t>
        </s:is>
      </s:c>
      <s:c r="J32" s="6" t="inlineStr">
        <s:is>
          <s:t>S068</s:t>
        </s:is>
      </s:c>
      <s:c r="K32" s="5" t="inlineStr">
        <s:is>
          <s:t>No additional qualification.</s:t>
        </s:is>
      </s:c>
      <s:c r="L32" s="5" t="inlineStr">
        <s:is>
          <s:t>Primary record</s:t>
        </s:is>
      </s:c>
    </s:row>
    <s:row r="33" ht="48" customHeight="1">
      <s:c r="A33" s="7" t="inlineStr">
        <s:is>
          <s:t>T028</s:t>
        </s:is>
      </s:c>
      <s:c r="B33" s="15" t="n">
        <s:v>44529</s:v>
      </s:c>
      <s:c r="C33" s="7" t="inlineStr">
        <s:is>
          <s:t>Day</s:t>
        </s:is>
      </s:c>
      <s:c r="D33" s="7" t="inlineStr">
        <s:is>
          <s:t>Farm-law repeal passed</s:t>
        </s:is>
      </s:c>
      <s:c r="E33" s="7" t="inlineStr">
        <s:is>
          <s:t>Legislation</s:t>
        </s:is>
      </s:c>
      <s:c r="F33" s="7" t="inlineStr">
        <s:is>
          <s:t>Both Houses passed repeal of the three 2020 farm laws.</s:t>
        </s:is>
      </s:c>
      <s:c r="G33" s="7" t="inlineStr">
        <s:is>
          <s:t>P3</s:t>
        </s:is>
      </s:c>
      <s:c r="H33" s="7" t="inlineStr">
        <s:is>
          <s:t>P3-E01</s:t>
        </s:is>
      </s:c>
      <s:c r="I33" s="7" t="inlineStr">
        <s:is>
          <s:t>Recorded fact</s:t>
        </s:is>
      </s:c>
      <s:c r="J33" s="8" t="inlineStr">
        <s:is>
          <s:t>S033</s:t>
        </s:is>
      </s:c>
      <s:c r="K33" s="7" t="inlineStr">
        <s:is>
          <s:t>No additional qualification.</s:t>
        </s:is>
      </s:c>
      <s:c r="L33" s="7" t="inlineStr">
        <s:is>
          <s:t>Single credible source</s:t>
        </s:is>
      </s:c>
    </s:row>
    <s:row r="34" ht="48" customHeight="1">
      <s:c r="A34" s="5" t="inlineStr">
        <s:is>
          <s:t>T029</s:t>
        </s:is>
      </s:c>
      <s:c r="B34" s="14" t="n">
        <s:v>44736</s:v>
      </s:c>
      <s:c r="C34" s="5" t="inlineStr">
        <s:is>
          <s:t>Day</s:t>
        </s:is>
      </s:c>
      <s:c r="D34" s="5" t="inlineStr">
        <s:is>
          <s:t>Zakia Jafri appeal dismissed</s:t>
        </s:is>
      </s:c>
      <s:c r="E34" s="5" t="inlineStr">
        <s:is>
          <s:t>Judgment</s:t>
        </s:is>
      </s:c>
      <s:c r="F34" s="5" t="inlineStr">
        <s:is>
          <s:t>Supreme Court upheld the closure-report outcome on the larger-conspiracy complaint.</s:t>
        </s:is>
      </s:c>
      <s:c r="G34" s="5" t="inlineStr">
        <s:is>
          <s:t>P3</s:t>
        </s:is>
      </s:c>
      <s:c r="H34" s="5" t="inlineStr">
        <s:is>
          <s:t>P3-E01</s:t>
        </s:is>
      </s:c>
      <s:c r="I34" s="5" t="inlineStr">
        <s:is>
          <s:t>Recorded fact</s:t>
        </s:is>
      </s:c>
      <s:c r="J34" s="6" t="inlineStr">
        <s:is>
          <s:t>S019; S020</s:t>
        </s:is>
      </s:c>
      <s:c r="K34" s="5" t="inlineStr">
        <s:is>
          <s:t>No additional qualification.</s:t>
        </s:is>
      </s:c>
      <s:c r="L34" s="5" t="inlineStr">
        <s:is>
          <s:t>Primary record</s:t>
        </s:is>
      </s:c>
    </s:row>
    <s:row r="35" ht="48" customHeight="1">
      <s:c r="A35" s="7" t="inlineStr">
        <s:is>
          <s:t>T030</s:t>
        </s:is>
      </s:c>
      <s:c r="B35" s="15" t="n">
        <s:v>44759</s:v>
      </s:c>
      <s:c r="C35" s="7" t="inlineStr">
        <s:is>
          <s:t>Day</s:t>
        </s:is>
      </s:c>
      <s:c r="D35" s="7" t="inlineStr">
        <s:is>
          <s:t>Vaccination milestone</s:t>
        </s:is>
      </s:c>
      <s:c r="E35" s="7" t="inlineStr">
        <s:is>
          <s:t>Public health</s:t>
        </s:is>
      </s:c>
      <s:c r="F35" s="7" t="inlineStr">
        <s:is>
          <s:t>Government reported two billion cumulative COVID vaccine doses.</s:t>
        </s:is>
      </s:c>
      <s:c r="G35" s="7" t="inlineStr">
        <s:is>
          <s:t>P3</s:t>
        </s:is>
      </s:c>
      <s:c r="H35" s="7" t="inlineStr">
        <s:is>
          <s:t>P3-E01</s:t>
        </s:is>
      </s:c>
      <s:c r="I35" s="7" t="inlineStr">
        <s:is>
          <s:t>Recorded fact</s:t>
        </s:is>
      </s:c>
      <s:c r="J35" s="8" t="inlineStr">
        <s:is>
          <s:t>S081</s:t>
        </s:is>
      </s:c>
      <s:c r="K35" s="7" t="inlineStr">
        <s:is>
          <s:t>Doses, not unique vaccinated people.</s:t>
        </s:is>
      </s:c>
      <s:c r="L35" s="7" t="inlineStr">
        <s:is>
          <s:t>Primary record</s:t>
        </s:is>
      </s:c>
    </s:row>
    <s:row r="36" ht="48" customHeight="1">
      <s:c r="A36" s="5" t="inlineStr">
        <s:is>
          <s:t>T031</s:t>
        </s:is>
      </s:c>
      <s:c r="B36" s="5" t="inlineStr">
        <s:is>
          <s:t>2023-09</s:t>
        </s:is>
      </s:c>
      <s:c r="C36" s="5" t="inlineStr">
        <s:is>
          <s:t>Month</s:t>
        </s:is>
      </s:c>
      <s:c r="D36" s="5" t="inlineStr">
        <s:is>
          <s:t>G20 and women’s reservation</s:t>
        </s:is>
      </s:c>
      <s:c r="E36" s="5" t="inlineStr">
        <s:is>
          <s:t>Institutions</s:t>
        </s:is>
      </s:c>
      <s:c r="F36" s="5" t="inlineStr">
        <s:is>
          <s:t>G20 presidency produced a leaders’ declaration; Parliament also enacted women’s reservation provisions.</s:t>
        </s:is>
      </s:c>
      <s:c r="G36" s="5" t="inlineStr">
        <s:is>
          <s:t>P3</s:t>
        </s:is>
      </s:c>
      <s:c r="H36" s="5" t="inlineStr">
        <s:is>
          <s:t>P3-E01</s:t>
        </s:is>
      </s:c>
      <s:c r="I36" s="5" t="inlineStr">
        <s:is>
          <s:t>Recorded fact</s:t>
        </s:is>
      </s:c>
      <s:c r="J36" s="6" t="inlineStr">
        <s:is>
          <s:t>S059; S040</s:t>
        </s:is>
      </s:c>
      <s:c r="K36" s="5" t="inlineStr">
        <s:is>
          <s:t>Separate accomplishments; reserved seats were not immediately operational.</s:t>
        </s:is>
      </s:c>
      <s:c r="L36" s="5" t="inlineStr">
        <s:is>
          <s:t>Primary record</s:t>
        </s:is>
      </s:c>
    </s:row>
    <s:row r="37" ht="48" customHeight="1">
      <s:c r="A37" s="7" t="inlineStr">
        <s:is>
          <s:t>T032</s:t>
        </s:is>
      </s:c>
      <s:c r="B37" s="15" t="n">
        <s:v>45313</s:v>
      </s:c>
      <s:c r="C37" s="7" t="inlineStr">
        <s:is>
          <s:t>Day</s:t>
        </s:is>
      </s:c>
      <s:c r="D37" s="7" t="inlineStr">
        <s:is>
          <s:t>Ayodhya consecration</s:t>
        </s:is>
      </s:c>
      <s:c r="E37" s="7" t="inlineStr">
        <s:is>
          <s:t>Religion and politics</s:t>
        </s:is>
      </s:c>
      <s:c r="F37" s="7" t="inlineStr">
        <s:is>
          <s:t>Modi participated centrally in the Ram temple ceremony.</s:t>
        </s:is>
      </s:c>
      <s:c r="G37" s="7" t="inlineStr">
        <s:is>
          <s:t>P3</s:t>
        </s:is>
      </s:c>
      <s:c r="H37" s="7" t="inlineStr">
        <s:is>
          <s:t>P3-E01</s:t>
        </s:is>
      </s:c>
      <s:c r="I37" s="7" t="inlineStr">
        <s:is>
          <s:t>Recorded fact</s:t>
        </s:is>
      </s:c>
      <s:c r="J37" s="8" t="inlineStr">
        <s:is>
          <s:t>S070; S071</s:t>
        </s:is>
      </s:c>
      <s:c r="K37" s="7" t="inlineStr">
        <s:is>
          <s:t>No additional qualification.</s:t>
        </s:is>
      </s:c>
      <s:c r="L37" s="7" t="inlineStr">
        <s:is>
          <s:t>Primary record</s:t>
        </s:is>
      </s:c>
    </s:row>
    <s:row r="38" ht="48" customHeight="1">
      <s:c r="A38" s="5" t="inlineStr">
        <s:is>
          <s:t>T033</s:t>
        </s:is>
      </s:c>
      <s:c r="B38" s="14" t="n">
        <s:v>45337</s:v>
      </s:c>
      <s:c r="C38" s="5" t="inlineStr">
        <s:is>
          <s:t>Day</s:t>
        </s:is>
      </s:c>
      <s:c r="D38" s="5" t="inlineStr">
        <s:is>
          <s:t>Electoral bonds invalidated</s:t>
        </s:is>
      </s:c>
      <s:c r="E38" s="5" t="inlineStr">
        <s:is>
          <s:t>Judgment</s:t>
        </s:is>
      </s:c>
      <s:c r="F38" s="5" t="inlineStr">
        <s:is>
          <s:t>Supreme Court struck down the anonymous funding scheme.</s:t>
        </s:is>
      </s:c>
      <s:c r="G38" s="5" t="inlineStr">
        <s:is>
          <s:t>P3</s:t>
        </s:is>
      </s:c>
      <s:c r="H38" s="5" t="inlineStr">
        <s:is>
          <s:t>P3-E01</s:t>
        </s:is>
      </s:c>
      <s:c r="I38" s="5" t="inlineStr">
        <s:is>
          <s:t>Recorded fact</s:t>
        </s:is>
      </s:c>
      <s:c r="J38" s="6" t="inlineStr">
        <s:is>
          <s:t>S046; S047</s:t>
        </s:is>
      </s:c>
      <s:c r="K38" s="5" t="inlineStr">
        <s:is>
          <s:t>No additional qualification.</s:t>
        </s:is>
      </s:c>
      <s:c r="L38" s="5" t="inlineStr">
        <s:is>
          <s:t>Multiple independent sources</s:t>
        </s:is>
      </s:c>
    </s:row>
    <s:row r="39" ht="48" customHeight="1">
      <s:c r="A39" s="7" t="inlineStr">
        <s:is>
          <s:t>T034</s:t>
        </s:is>
      </s:c>
      <s:c r="B39" s="15" t="n">
        <s:v>45452</s:v>
      </s:c>
      <s:c r="C39" s="7" t="inlineStr">
        <s:is>
          <s:t>Day</s:t>
        </s:is>
      </s:c>
      <s:c r="D39" s="7" t="inlineStr">
        <s:is>
          <s:t>Third prime-ministerial oath</s:t>
        </s:is>
      </s:c>
      <s:c r="E39" s="7" t="inlineStr">
        <s:is>
          <s:t>Executive office</s:t>
        </s:is>
      </s:c>
      <s:c r="F39" s="7" t="inlineStr">
        <s:is>
          <s:t>Returned with a coalition-dependent parliamentary mandate.</s:t>
        </s:is>
      </s:c>
      <s:c r="G39" s="7" t="inlineStr">
        <s:is>
          <s:t>P4</s:t>
        </s:is>
      </s:c>
      <s:c r="H39" s="7" t="inlineStr">
        <s:is>
          <s:t>P4-E01</s:t>
        </s:is>
      </s:c>
      <s:c r="I39" s="7" t="inlineStr">
        <s:is>
          <s:t>Recorded fact</s:t>
        </s:is>
      </s:c>
      <s:c r="J39" s="8" t="inlineStr">
        <s:is>
          <s:t>S012; S001</s:t>
        </s:is>
      </s:c>
      <s:c r="K39" s="7" t="inlineStr">
        <s:is>
          <s:t>No additional qualification.</s:t>
        </s:is>
      </s:c>
      <s:c r="L39" s="7" t="inlineStr">
        <s:is>
          <s:t>Primary record</s:t>
        </s:is>
      </s:c>
    </s:row>
    <s:row r="40" ht="48" customHeight="1">
      <s:c r="A40" s="5" t="inlineStr">
        <s:is>
          <s:t>T035</s:t>
        </s:is>
      </s:c>
      <s:c r="B40" s="14" t="n">
        <s:v>45588</s:v>
      </s:c>
      <s:c r="C40" s="5" t="inlineStr">
        <s:is>
          <s:t>Day</s:t>
        </s:is>
      </s:c>
      <s:c r="D40" s="5" t="inlineStr">
        <s:is>
          <s:t>Modi–Xi meeting</s:t>
        </s:is>
      </s:c>
      <s:c r="E40" s="5" t="inlineStr">
        <s:is>
          <s:t>Diplomacy</s:t>
        </s:is>
      </s:c>
      <s:c r="F40" s="5" t="inlineStr">
        <s:is>
          <s:t>Leaders met at Kazan following a border disengagement agreement.</s:t>
        </s:is>
      </s:c>
      <s:c r="G40" s="5" t="inlineStr">
        <s:is>
          <s:t>P4</s:t>
        </s:is>
      </s:c>
      <s:c r="H40" s="5" t="inlineStr">
        <s:is>
          <s:t>P4-E01</s:t>
        </s:is>
      </s:c>
      <s:c r="I40" s="5" t="inlineStr">
        <s:is>
          <s:t>Recorded fact</s:t>
        </s:is>
      </s:c>
      <s:c r="J40" s="6" t="inlineStr">
        <s:is>
          <s:t>S086</s:t>
        </s:is>
      </s:c>
      <s:c r="K40" s="5" t="inlineStr">
        <s:is>
          <s:t>No additional qualification.</s:t>
        </s:is>
      </s:c>
      <s:c r="L40" s="5" t="inlineStr">
        <s:is>
          <s:t>Primary record</s:t>
        </s:is>
      </s:c>
    </s:row>
    <s:row r="41" ht="48" customHeight="1">
      <s:c r="A41" s="7" t="inlineStr">
        <s:is>
          <s:t>T036</s:t>
        </s:is>
      </s:c>
      <s:c r="B41" s="7" t="inlineStr">
        <s:is>
          <s:t>2025-05</s:t>
        </s:is>
      </s:c>
      <s:c r="C41" s="7" t="inlineStr">
        <s:is>
          <s:t>Month</s:t>
        </s:is>
      </s:c>
      <s:c r="D41" s="7" t="inlineStr">
        <s:is>
          <s:t>Operation Sindoor and ceasefire</s:t>
        </s:is>
      </s:c>
      <s:c r="E41" s="7" t="inlineStr">
        <s:is>
          <s:t>Security crisis</s:t>
        </s:is>
      </s:c>
      <s:c r="F41" s="7" t="inlineStr">
        <s:is>
          <s:t>India and Pakistan exchanged military action; a cessation was agreed on 10 May.</s:t>
        </s:is>
      </s:c>
      <s:c r="G41" s="7" t="inlineStr">
        <s:is>
          <s:t>P4</s:t>
        </s:is>
      </s:c>
      <s:c r="H41" s="7" t="inlineStr">
        <s:is>
          <s:t>P4-E01</s:t>
        </s:is>
      </s:c>
      <s:c r="I41" s="7" t="inlineStr">
        <s:is>
          <s:t>Recorded fact</s:t>
        </s:is>
      </s:c>
      <s:c r="J41" s="8" t="inlineStr">
        <s:is>
          <s:t>S060; S061</s:t>
        </s:is>
      </s:c>
      <s:c r="K41" s="7" t="inlineStr">
        <s:is>
          <s:t>Losses and diplomatic credit remain disputed.</s:t>
        </s:is>
      </s:c>
      <s:c r="L41" s="7" t="inlineStr">
        <s:is>
          <s:t>Primary record</s:t>
        </s:is>
      </s:c>
    </s:row>
    <s:row r="42" ht="48" customHeight="1">
      <s:c r="A42" s="5" t="inlineStr">
        <s:is>
          <s:t>T037</s:t>
        </s:is>
      </s:c>
      <s:c r="B42" s="14" t="n">
        <s:v>45913</s:v>
      </s:c>
      <s:c r="C42" s="5" t="inlineStr">
        <s:is>
          <s:t>Day</s:t>
        </s:is>
      </s:c>
      <s:c r="D42" s="5" t="inlineStr">
        <s:is>
          <s:t>Manipur visit</s:t>
        </s:is>
      </s:c>
      <s:c r="E42" s="5" t="inlineStr">
        <s:is>
          <s:t>Crisis response</s:t>
        </s:is>
      </s:c>
      <s:c r="F42" s="5" t="inlineStr">
        <s:is>
          <s:t>Modi visited Churachandpur and announced projects after prolonged criticism of his absence.</s:t>
        </s:is>
      </s:c>
      <s:c r="G42" s="5" t="inlineStr">
        <s:is>
          <s:t>P4</s:t>
        </s:is>
      </s:c>
      <s:c r="H42" s="5" t="inlineStr">
        <s:is>
          <s:t>P4-E01</s:t>
        </s:is>
      </s:c>
      <s:c r="I42" s="5" t="inlineStr">
        <s:is>
          <s:t>Recorded fact</s:t>
        </s:is>
      </s:c>
      <s:c r="J42" s="6" t="inlineStr">
        <s:is>
          <s:t>S067; S092</s:t>
        </s:is>
      </s:c>
      <s:c r="K42" s="5" t="inlineStr">
        <s:is>
          <s:t>No additional qualification.</s:t>
        </s:is>
      </s:c>
      <s:c r="L42" s="5" t="inlineStr">
        <s:is>
          <s:t>Primary record</s:t>
        </s:is>
      </s:c>
    </s:row>
    <s:row r="43" ht="48" customHeight="1">
      <s:c r="A43" s="7" t="inlineStr">
        <s:is>
          <s:t>T038</s:t>
        </s:is>
      </s:c>
      <s:c r="B43" s="15" t="n">
        <s:v>45922</s:v>
      </s:c>
      <s:c r="C43" s="7" t="inlineStr">
        <s:is>
          <s:t>Day</s:t>
        </s:is>
      </s:c>
      <s:c r="D43" s="7" t="inlineStr">
        <s:is>
          <s:t>GST rate changes begin</s:t>
        </s:is>
      </s:c>
      <s:c r="E43" s="7" t="inlineStr">
        <s:is>
          <s:t>Policy</s:t>
        </s:is>
      </s:c>
      <s:c r="F43" s="7" t="inlineStr">
        <s:is>
          <s:t>Most changes following the 56th Council meeting took effect.</s:t>
        </s:is>
      </s:c>
      <s:c r="G43" s="7" t="inlineStr">
        <s:is>
          <s:t>P4</s:t>
        </s:is>
      </s:c>
      <s:c r="H43" s="7" t="inlineStr">
        <s:is>
          <s:t>P4-E01</s:t>
        </s:is>
      </s:c>
      <s:c r="I43" s="7" t="inlineStr">
        <s:is>
          <s:t>Recorded fact</s:t>
        </s:is>
      </s:c>
      <s:c r="J43" s="8" t="inlineStr">
        <s:is>
          <s:t>S029; S030</s:t>
        </s:is>
      </s:c>
      <s:c r="K43" s="7" t="inlineStr">
        <s:is>
          <s:t>No additional qualification.</s:t>
        </s:is>
      </s:c>
      <s:c r="L43" s="7" t="inlineStr">
        <s:is>
          <s:t>Primary record</s:t>
        </s:is>
      </s:c>
    </s:row>
    <s:row r="44" ht="48" customHeight="1">
      <s:c r="A44" s="5" t="inlineStr">
        <s:is>
          <s:t>T039</s:t>
        </s:is>
      </s:c>
      <s:c r="B44" s="14" t="n">
        <s:v>45975</s:v>
      </s:c>
      <s:c r="C44" s="5" t="inlineStr">
        <s:is>
          <s:t>Day</s:t>
        </s:is>
      </s:c>
      <s:c r="D44" s="5" t="inlineStr">
        <s:is>
          <s:t>Bihar NDA victory</s:t>
        </s:is>
      </s:c>
      <s:c r="E44" s="5" t="inlineStr">
        <s:is>
          <s:t>Election leadership</s:t>
        </s:is>
      </s:c>
      <s:c r="F44" s="5" t="inlineStr">
        <s:is>
          <s:t>Alliance won 202 assembly seats; Modi was not a candidate.</s:t>
        </s:is>
      </s:c>
      <s:c r="G44" s="5" t="inlineStr">
        <s:is>
          <s:t>P4</s:t>
        </s:is>
      </s:c>
      <s:c r="H44" s="5" t="inlineStr">
        <s:is>
          <s:t>P4-E01</s:t>
        </s:is>
      </s:c>
      <s:c r="I44" s="5" t="inlineStr">
        <s:is>
          <s:t>Recorded fact</s:t>
        </s:is>
      </s:c>
      <s:c r="J44" s="6" t="inlineStr">
        <s:is>
          <s:t>S065</s:t>
        </s:is>
      </s:c>
      <s:c r="K44" s="5" t="inlineStr">
        <s:is>
          <s:t>No additional qualification.</s:t>
        </s:is>
      </s:c>
      <s:c r="L44" s="5" t="inlineStr">
        <s:is>
          <s:t>Single credible source</s:t>
        </s:is>
      </s:c>
    </s:row>
    <s:row r="45" ht="48" customHeight="1">
      <s:c r="A45" s="7" t="inlineStr">
        <s:is>
          <s:t>T040</s:t>
        </s:is>
      </s:c>
      <s:c r="B45" s="15" t="n">
        <s:v>45982</s:v>
      </s:c>
      <s:c r="C45" s="7" t="inlineStr">
        <s:is>
          <s:t>Day</s:t>
        </s:is>
      </s:c>
      <s:c r="D45" s="7" t="inlineStr">
        <s:is>
          <s:t>Labour codes commence</s:t>
        </s:is>
      </s:c>
      <s:c r="E45" s="7" t="inlineStr">
        <s:is>
          <s:t>Implementation</s:t>
        </s:is>
      </s:c>
      <s:c r="F45" s="7" t="inlineStr">
        <s:is>
          <s:t>Union announced commencement of four labour codes.</s:t>
        </s:is>
      </s:c>
      <s:c r="G45" s="7" t="inlineStr">
        <s:is>
          <s:t>P4</s:t>
        </s:is>
      </s:c>
      <s:c r="H45" s="7" t="inlineStr">
        <s:is>
          <s:t>P4-E01</s:t>
        </s:is>
      </s:c>
      <s:c r="I45" s="7" t="inlineStr">
        <s:is>
          <s:t>Recorded fact</s:t>
        </s:is>
      </s:c>
      <s:c r="J45" s="8" t="inlineStr">
        <s:is>
          <s:t>S075</s:t>
        </s:is>
      </s:c>
      <s:c r="K45" s="7" t="inlineStr">
        <s:is>
          <s:t>No additional qualification.</s:t>
        </s:is>
      </s:c>
      <s:c r="L45" s="7" t="inlineStr">
        <s:is>
          <s:t>Primary record</s:t>
        </s:is>
      </s:c>
    </s:row>
    <s:row r="46" ht="48" customHeight="1">
      <s:c r="A46" s="5" t="inlineStr">
        <s:is>
          <s:t>T041</s:t>
        </s:is>
      </s:c>
      <s:c r="B46" s="5" t="inlineStr">
        <s:is>
          <s:t>2025-12</s:t>
        </s:is>
      </s:c>
      <s:c r="C46" s="5" t="inlineStr">
        <s:is>
          <s:t>Month</s:t>
        </s:is>
      </s:c>
      <s:c r="D46" s="5" t="inlineStr">
        <s:is>
          <s:t>Rural employment redesign</s:t>
        </s:is>
      </s:c>
      <s:c r="E46" s="5" t="inlineStr">
        <s:is>
          <s:t>Legislation</s:t>
        </s:is>
      </s:c>
      <s:c r="F46" s="5" t="inlineStr">
        <s:is>
          <s:t>New framework increased statutory rural-household employment entitlement to 125 days.</s:t>
        </s:is>
      </s:c>
      <s:c r="G46" s="5" t="inlineStr">
        <s:is>
          <s:t>P4</s:t>
        </s:is>
      </s:c>
      <s:c r="H46" s="5" t="inlineStr">
        <s:is>
          <s:t>P4-E01</s:t>
        </s:is>
      </s:c>
      <s:c r="I46" s="5" t="inlineStr">
        <s:is>
          <s:t>Recorded fact</s:t>
        </s:is>
      </s:c>
      <s:c r="J46" s="6" t="inlineStr">
        <s:is>
          <s:t>S076</s:t>
        </s:is>
      </s:c>
      <s:c r="K46" s="5" t="inlineStr">
        <s:is>
          <s:t>Entitlement differs from delivery.</s:t>
        </s:is>
      </s:c>
      <s:c r="L46" s="5" t="inlineStr">
        <s:is>
          <s:t>Single credible source</s:t>
        </s:is>
      </s:c>
    </s:row>
    <s:row r="47" ht="48" customHeight="1">
      <s:c r="A47" s="7" t="inlineStr">
        <s:is>
          <s:t>T042</s:t>
        </s:is>
      </s:c>
      <s:c r="B47" s="15" t="n">
        <s:v>46049</s:v>
      </s:c>
      <s:c r="C47" s="7" t="inlineStr">
        <s:is>
          <s:t>Day</s:t>
        </s:is>
      </s:c>
      <s:c r="D47" s="7" t="inlineStr">
        <s:is>
          <s:t>EU trade negotiations conclude</s:t>
        </s:is>
      </s:c>
      <s:c r="E47" s="7" t="inlineStr">
        <s:is>
          <s:t>Diplomacy</s:t>
        </s:is>
      </s:c>
      <s:c r="F47" s="7" t="inlineStr">
        <s:is>
          <s:t>Negotiations concluded; legal adoption and entry into force are separate.</s:t>
        </s:is>
      </s:c>
      <s:c r="G47" s="7" t="inlineStr">
        <s:is>
          <s:t>P4</s:t>
        </s:is>
      </s:c>
      <s:c r="H47" s="7" t="inlineStr">
        <s:is>
          <s:t>P4-E01</s:t>
        </s:is>
      </s:c>
      <s:c r="I47" s="7" t="inlineStr">
        <s:is>
          <s:t>Recorded fact</s:t>
        </s:is>
      </s:c>
      <s:c r="J47" s="8" t="inlineStr">
        <s:is>
          <s:t>S063; S064</s:t>
        </s:is>
      </s:c>
      <s:c r="K47" s="7" t="inlineStr">
        <s:is>
          <s:t>No additional qualification.</s:t>
        </s:is>
      </s:c>
      <s:c r="L47" s="7" t="inlineStr">
        <s:is>
          <s:t>Primary record</s:t>
        </s:is>
      </s:c>
    </s:row>
    <s:row r="48" ht="48" customHeight="1">
      <s:c r="A48" s="5" t="inlineStr">
        <s:is>
          <s:t>T043</s:t>
        </s:is>
      </s:c>
      <s:c r="B48" s="14" t="n">
        <s:v>46129</s:v>
      </s:c>
      <s:c r="C48" s="5" t="inlineStr">
        <s:is>
          <s:t>Day</s:t>
        </s:is>
      </s:c>
      <s:c r="D48" s="5" t="inlineStr">
        <s:is>
          <s:t>Delimitation amendment defeated</s:t>
        </s:is>
      </s:c>
      <s:c r="E48" s="5" t="inlineStr">
        <s:is>
          <s:t>Parliament</s:t>
        </s:is>
      </s:c>
      <s:c r="F48" s="5" t="inlineStr">
        <s:is>
          <s:t>Lok Sabha negatived the proposed 131st Amendment.</s:t>
        </s:is>
      </s:c>
      <s:c r="G48" s="5" t="inlineStr">
        <s:is>
          <s:t>P4</s:t>
        </s:is>
      </s:c>
      <s:c r="H48" s="5" t="inlineStr">
        <s:is>
          <s:t>P4-E01</s:t>
        </s:is>
      </s:c>
      <s:c r="I48" s="5" t="inlineStr">
        <s:is>
          <s:t>Recorded fact</s:t>
        </s:is>
      </s:c>
      <s:c r="J48" s="6" t="inlineStr">
        <s:is>
          <s:t>S041</s:t>
        </s:is>
      </s:c>
      <s:c r="K48" s="5" t="inlineStr">
        <s:is>
          <s:t>No additional qualification.</s:t>
        </s:is>
      </s:c>
      <s:c r="L48" s="5" t="inlineStr">
        <s:is>
          <s:t>Single credible source</s:t>
        </s:is>
      </s:c>
    </s:row>
    <s:row r="49" ht="48" customHeight="1">
      <s:c r="A49" s="7" t="inlineStr">
        <s:is>
          <s:t>T044</s:t>
        </s:is>
      </s:c>
      <s:c r="B49" s="15" t="n">
        <s:v>46147</s:v>
      </s:c>
      <s:c r="C49" s="7" t="inlineStr">
        <s:is>
          <s:t>Day</s:t>
        </s:is>
      </s:c>
      <s:c r="D49" s="7" t="inlineStr">
        <s:is>
          <s:t>West Bengal results snapshot</s:t>
        </s:is>
      </s:c>
      <s:c r="E49" s="7" t="inlineStr">
        <s:is>
          <s:t>Election leadership</s:t>
        </s:is>
      </s:c>
      <s:c r="F49" s="7" t="inlineStr">
        <s:is>
          <s:t>ECI reported BJP 207 seats among 293 declared results.</s:t>
        </s:is>
      </s:c>
      <s:c r="G49" s="7" t="inlineStr">
        <s:is>
          <s:t>P4</s:t>
        </s:is>
      </s:c>
      <s:c r="H49" s="7" t="inlineStr">
        <s:is>
          <s:t>P4-E01</s:t>
        </s:is>
      </s:c>
      <s:c r="I49" s="7" t="inlineStr">
        <s:is>
          <s:t>Recorded fact</s:t>
        </s:is>
      </s:c>
      <s:c r="J49" s="8" t="inlineStr">
        <s:is>
          <s:t>S066</s:t>
        </s:is>
      </s:c>
      <s:c r="K49" s="7" t="inlineStr">
        <s:is>
          <s:t>Page snapshot; assembly has 294 seats. Modi not personally contesting.</s:t>
        </s:is>
      </s:c>
      <s:c r="L49" s="7" t="inlineStr">
        <s:is>
          <s:t>Primary record</s:t>
        </s:is>
      </s:c>
    </s:row>
  </s:sheetData>
  <s:autoFilter ref="A5:L49"/>
  <s:mergeCells count="2">
    <s:mergeCell ref="A2:F2"/>
    <s:mergeCell ref="A1:F1"/>
  </s:mergeCells>
  <s:hyperlinks>
    <s:hyperlink ref="A3" r:id="rId1"/>
    <s:hyperlink ref="J6" r:id="rId2"/>
    <s:hyperlink ref="J7" r:id="rId3"/>
    <s:hyperlink ref="J8" r:id="rId4"/>
    <s:hyperlink ref="J9" r:id="rId5"/>
    <s:hyperlink ref="J10" r:id="rId6"/>
    <s:hyperlink ref="J11" r:id="rId7"/>
    <s:hyperlink ref="J12" r:id="rId8"/>
    <s:hyperlink ref="J13" r:id="rId9"/>
    <s:hyperlink ref="J14" r:id="rId10"/>
    <s:hyperlink ref="J15" r:id="rId11"/>
    <s:hyperlink ref="J16" r:id="rId12"/>
    <s:hyperlink ref="J17" r:id="rId13"/>
    <s:hyperlink ref="J18" r:id="rId14"/>
    <s:hyperlink ref="J19" r:id="rId15"/>
    <s:hyperlink ref="J20" r:id="rId16"/>
    <s:hyperlink ref="J21" r:id="rId17"/>
    <s:hyperlink ref="J22" r:id="rId18"/>
    <s:hyperlink ref="J23" r:id="rId19"/>
    <s:hyperlink ref="J24" r:id="rId20"/>
    <s:hyperlink ref="J25" r:id="rId21"/>
    <s:hyperlink ref="J26" r:id="rId22"/>
    <s:hyperlink ref="J27" r:id="rId23"/>
    <s:hyperlink ref="J28" r:id="rId24"/>
    <s:hyperlink ref="J29" r:id="rId25"/>
    <s:hyperlink ref="J30" r:id="rId26"/>
    <s:hyperlink ref="J31" r:id="rId27"/>
    <s:hyperlink ref="J32" r:id="rId28"/>
    <s:hyperlink ref="J33" r:id="rId29"/>
    <s:hyperlink ref="J34" r:id="rId30"/>
    <s:hyperlink ref="J35" r:id="rId31"/>
    <s:hyperlink ref="J36" r:id="rId32"/>
    <s:hyperlink ref="J37" r:id="rId33"/>
    <s:hyperlink ref="J38" r:id="rId34"/>
    <s:hyperlink ref="J39" r:id="rId35"/>
    <s:hyperlink ref="J40" r:id="rId36"/>
    <s:hyperlink ref="J41" r:id="rId37"/>
    <s:hyperlink ref="J42" r:id="rId38"/>
    <s:hyperlink ref="J43" r:id="rId39"/>
    <s:hyperlink ref="J44" r:id="rId40"/>
    <s:hyperlink ref="J45" r:id="rId41"/>
    <s:hyperlink ref="J46" r:id="rId42"/>
    <s:hyperlink ref="J47" r:id="rId43"/>
    <s:hyperlink ref="J48" r:id="rId44"/>
    <s:hyperlink ref="J49" r:id="rId45"/>
  </s:hyperlinks>
  <s:printOptions horizontalCentered="0"/>
  <s:pageMargins left="0.75" right="0.75" top="1" bottom="1" header="0.5" footer="0.5"/>
  <s:pageSetup orientation="landscape" paperSize="8" fitToHeight="0" fitToWidth="2"/>
  <s:headerFooter>
    <s:oddHeader/>
    <s:oddFooter>&amp;C&amp;8 Narendra Modi research | 24 Sep 2026 | Page &amp;P of &amp;N</s:oddFooter>
    <s:evenHeader/>
    <s:evenFooter/>
    <s:firstHeader/>
    <s:firstFooter/>
  </s:headerFooter>
  <s:tableParts count="1">
    <s:tablePart r:id="rId46"/>
  </s:tableParts>
</s:worksheet>
</file>

<file path=xl/worksheets/sheet4.xml><?xml version="1.0" encoding="utf-8"?>
<s:worksheet xmlns:r="http://schemas.openxmlformats.org/officeDocument/2006/relationships" xmlns:s="http://schemas.openxmlformats.org/spreadsheetml/2006/main">
  <s:sheetPr>
    <s:tabColor rgb="0017324D"/>
    <s:outlinePr summaryBelow="1" summaryRight="0"/>
    <s:pageSetUpPr fitToPage="1"/>
  </s:sheetPr>
  <s:dimension ref="A1:T18"/>
  <s:sheetViews>
    <s:sheetView showGridLines="0" zoomScale="85" workbookViewId="0">
      <s:pane xSplit="2" ySplit="5" topLeftCell="C6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13" customWidth="1" min="1" max="1"/>
    <s:col width="18" customWidth="1" min="2" max="2"/>
    <s:col width="29" customWidth="1" min="3" max="3"/>
    <s:col width="29" customWidth="1" min="4" max="4"/>
    <s:col width="29" customWidth="1" min="5" max="5"/>
    <s:col width="18" customWidth="1" min="6" max="6"/>
    <s:col width="18" customWidth="1" min="7" max="7"/>
    <s:col width="18" customWidth="1" min="8" max="8"/>
    <s:col width="18" customWidth="1" min="9" max="9"/>
    <s:col width="29" customWidth="1" min="10" max="10"/>
    <s:col width="29" customWidth="1" min="11" max="11"/>
    <s:col width="29" customWidth="1" min="12" max="12"/>
    <s:col width="29" customWidth="1" min="13" max="13"/>
    <s:col width="29" customWidth="1" min="14" max="14"/>
    <s:col width="16" customWidth="1" min="15" max="15"/>
    <s:col width="13" customWidth="1" min="16" max="16"/>
    <s:col width="22" customWidth="1" min="17" max="17"/>
    <s:col width="48" customWidth="1" min="18" max="18"/>
    <s:col width="29" customWidth="1" min="19" max="19"/>
    <s:col width="29" customWidth="1" min="20" max="20"/>
  </s:cols>
  <s:sheetData>
    <s:row r="1" ht="36" customHeight="1">
      <s:c r="A1" s="1" t="inlineStr">
        <s:is>
          <s:t>NARENDRA MODI  |  ELECTIONS</s:t>
        </s:is>
      </s:c>
    </s:row>
    <s:row r="2" ht="24" customHeight="1">
      <s:c r="A2" s="2" t="inlineStr">
        <s:is>
          <s:t>As of 24 Sep 2026  •  Source IDs link to the source register  •  Scroll right for evidence notes</s:t>
        </s:is>
      </s:c>
    </s:row>
    <s:row r="3">
      <s:c r="A3" s="3" t="inlineStr">
        <s:is>
          <s:t>CONTENTS</s:t>
        </s:is>
      </s:c>
    </s:row>
    <s:row r="5" ht="34" customHeight="1">
      <s:c r="A5" s="4" t="inlineStr">
        <s:is>
          <s:t>Election ID</s:t>
        </s:is>
      </s:c>
      <s:c r="B5" s="4" t="inlineStr">
        <s:is>
          <s:t>Year</s:t>
        </s:is>
      </s:c>
      <s:c r="C5" s="4" t="inlineStr">
        <s:is>
          <s:t>Constituency / geography</s:t>
        </s:is>
      </s:c>
      <s:c r="D5" s="4" t="inlineStr">
        <s:is>
          <s:t>Candidate status</s:t>
        </s:is>
      </s:c>
      <s:c r="E5" s="4" t="inlineStr">
        <s:is>
          <s:t>Result</s:t>
        </s:is>
      </s:c>
      <s:c r="F5" s="4" t="inlineStr">
        <s:is>
          <s:t>Candidate votes</s:t>
        </s:is>
      </s:c>
      <s:c r="G5" s="4" t="inlineStr">
        <s:is>
          <s:t>Opponent votes</s:t>
        </s:is>
      </s:c>
      <s:c r="H5" s="4" t="inlineStr">
        <s:is>
          <s:t>Vote share</s:t>
        </s:is>
      </s:c>
      <s:c r="I5" s="4" t="inlineStr">
        <s:is>
          <s:t>Margin (votes)</s:t>
        </s:is>
      </s:c>
      <s:c r="J5" s="4" t="inlineStr">
        <s:is>
          <s:t>Principal opponent</s:t>
        </s:is>
      </s:c>
      <s:c r="K5" s="4" t="inlineStr">
        <s:is>
          <s:t>Opponent party</s:t>
        </s:is>
      </s:c>
      <s:c r="L5" s="4" t="inlineStr">
        <s:is>
          <s:t>Election type</s:t>
        </s:is>
      </s:c>
      <s:c r="M5" s="4" t="inlineStr">
        <s:is>
          <s:t>Party / alliance</s:t>
        </s:is>
      </s:c>
      <s:c r="N5" s="4" t="inlineStr">
        <s:is>
          <s:t>Selection / counting unit</s:t>
        </s:is>
      </s:c>
      <s:c r="O5" s="4" t="inlineStr">
        <s:is>
          <s:t>Career phase</s:t>
        </s:is>
      </s:c>
      <s:c r="P5" s="4" t="inlineStr">
        <s:is>
          <s:t>Context ID</s:t>
        </s:is>
      </s:c>
      <s:c r="Q5" s="4" t="inlineStr">
        <s:is>
          <s:t>Source IDs</s:t>
        </s:is>
      </s:c>
      <s:c r="R5" s="4" t="inlineStr">
        <s:is>
          <s:t>Research note</s:t>
        </s:is>
      </s:c>
      <s:c r="S5" s="4" t="inlineStr">
        <s:is>
          <s:t>Claim type</s:t>
        </s:is>
      </s:c>
      <s:c r="T5" s="4" t="inlineStr">
        <s:is>
          <s:t>Corroboration</s:t>
        </s:is>
      </s:c>
    </s:row>
    <s:row r="6" ht="48" customHeight="1">
      <s:c r="A6" s="5" t="inlineStr">
        <s:is>
          <s:t>E01</s:t>
        </s:is>
      </s:c>
      <s:c r="B6" s="5" t="n">
        <s:v>2002</s:v>
      </s:c>
      <s:c r="C6" s="5" t="inlineStr">
        <s:is>
          <s:t>Rajkot II</s:t>
        </s:is>
      </s:c>
      <s:c r="D6" s="5" t="inlineStr">
        <s:is>
          <s:t>Contestant</s:t>
        </s:is>
      </s:c>
      <s:c r="E6" s="5" t="inlineStr">
        <s:is>
          <s:t>Won</s:t>
        </s:is>
      </s:c>
      <s:c r="F6" s="16" t="n">
        <s:v>45298</s:v>
      </s:c>
      <s:c r="G6" s="16" t="n">
        <s:v>30570</s:v>
      </s:c>
      <s:c r="H6" s="17" t="n">
        <s:v>0.5732</s:v>
      </s:c>
      <s:c r="I6" s="16">
        <s:f>F6-G6</s:f>
        <s:v>14728</s:v>
      </s:c>
      <s:c r="J6" s="5" t="inlineStr">
        <s:is>
          <s:t>Ashwinbhai Narbheshankar Mehta</s:t>
        </s:is>
      </s:c>
      <s:c r="K6" s="5" t="inlineStr">
        <s:is>
          <s:t>INC</s:t>
        </s:is>
      </s:c>
      <s:c r="L6" s="5" t="inlineStr">
        <s:is>
          <s:t>Assembly by-election</s:t>
        </s:is>
      </s:c>
      <s:c r="M6" s="5" t="inlineStr">
        <s:is>
          <s:t>BJP / NDA</s:t>
        </s:is>
      </s:c>
      <s:c r="N6" s="5" t="inlineStr">
        <s:is>
          <s:t>Direct constituency vote</s:t>
        </s:is>
      </s:c>
      <s:c r="O6" s="5" t="inlineStr">
        <s:is>
          <s:t>P2</s:t>
        </s:is>
      </s:c>
      <s:c r="P6" s="5" t="inlineStr">
        <s:is>
          <s:t>P2-E03</s:t>
        </s:is>
      </s:c>
      <s:c r="Q6" s="6" t="inlineStr">
        <s:is>
          <s:t>S004</s:t>
        </s:is>
      </s:c>
      <s:c r="R6" s="5" t="inlineStr">
        <s:is>
          <s:t>February; historical seat name.</s:t>
        </s:is>
      </s:c>
      <s:c r="S6" s="5" t="inlineStr">
        <s:is>
          <s:t>Recorded fact</s:t>
        </s:is>
      </s:c>
      <s:c r="T6" s="5" t="inlineStr">
        <s:is>
          <s:t>Primary record</s:t>
        </s:is>
      </s:c>
    </s:row>
    <s:row r="7" ht="48" customHeight="1">
      <s:c r="A7" s="7" t="inlineStr">
        <s:is>
          <s:t>E02</s:t>
        </s:is>
      </s:c>
      <s:c r="B7" s="7" t="n">
        <s:v>2002</s:v>
      </s:c>
      <s:c r="C7" s="7" t="inlineStr">
        <s:is>
          <s:t>Maninagar</s:t>
        </s:is>
      </s:c>
      <s:c r="D7" s="7" t="inlineStr">
        <s:is>
          <s:t>Contestant</s:t>
        </s:is>
      </s:c>
      <s:c r="E7" s="7" t="inlineStr">
        <s:is>
          <s:t>Won</s:t>
        </s:is>
      </s:c>
      <s:c r="F7" s="18" t="n">
        <s:v>113589</s:v>
      </s:c>
      <s:c r="G7" s="18" t="n">
        <s:v>38256</s:v>
      </s:c>
      <s:c r="H7" s="7" t="inlineStr">
        <s:is>
          <s:t>Not verified / not applicable</s:t>
        </s:is>
      </s:c>
      <s:c r="I7" s="18">
        <s:f>F7-G7</s:f>
        <s:v>75333</s:v>
      </s:c>
      <s:c r="J7" s="7" t="inlineStr">
        <s:is>
          <s:t>Yatinbhai Narendrakumar Oza</s:t>
        </s:is>
      </s:c>
      <s:c r="K7" s="7" t="inlineStr">
        <s:is>
          <s:t>INC</s:t>
        </s:is>
      </s:c>
      <s:c r="L7" s="7" t="inlineStr">
        <s:is>
          <s:t>Assembly general</s:t>
        </s:is>
      </s:c>
      <s:c r="M7" s="7" t="inlineStr">
        <s:is>
          <s:t>BJP / NDA</s:t>
        </s:is>
      </s:c>
      <s:c r="N7" s="7" t="inlineStr">
        <s:is>
          <s:t>Direct constituency vote</s:t>
        </s:is>
      </s:c>
      <s:c r="O7" s="7" t="inlineStr">
        <s:is>
          <s:t>P2</s:t>
        </s:is>
      </s:c>
      <s:c r="P7" s="7" t="inlineStr">
        <s:is>
          <s:t>P2-E03</s:t>
        </s:is>
      </s:c>
      <s:c r="Q7" s="8" t="inlineStr">
        <s:is>
          <s:t>S005; S006</s:t>
        </s:is>
      </s:c>
      <s:c r="R7" s="7" t="inlineStr">
        <s:is>
          <s:t>December; raw votes corroborated.</s:t>
        </s:is>
      </s:c>
      <s:c r="S7" s="7" t="inlineStr">
        <s:is>
          <s:t>Recorded fact</s:t>
        </s:is>
      </s:c>
      <s:c r="T7" s="7" t="inlineStr">
        <s:is>
          <s:t>Multiple independent sources</s:t>
        </s:is>
      </s:c>
    </s:row>
    <s:row r="8" ht="48" customHeight="1">
      <s:c r="A8" s="5" t="inlineStr">
        <s:is>
          <s:t>E03</s:t>
        </s:is>
      </s:c>
      <s:c r="B8" s="5" t="n">
        <s:v>2007</s:v>
      </s:c>
      <s:c r="C8" s="5" t="inlineStr">
        <s:is>
          <s:t>Maninagar</s:t>
        </s:is>
      </s:c>
      <s:c r="D8" s="5" t="inlineStr">
        <s:is>
          <s:t>Contestant</s:t>
        </s:is>
      </s:c>
      <s:c r="E8" s="5" t="inlineStr">
        <s:is>
          <s:t>Won</s:t>
        </s:is>
      </s:c>
      <s:c r="F8" s="16" t="n">
        <s:v>139568</s:v>
      </s:c>
      <s:c r="G8" s="16" t="n">
        <s:v>52407</s:v>
      </s:c>
      <s:c r="H8" s="5" t="inlineStr">
        <s:is>
          <s:t>Not verified / not applicable</s:t>
        </s:is>
      </s:c>
      <s:c r="I8" s="16">
        <s:f>F8-G8</s:f>
        <s:v>87161</s:v>
      </s:c>
      <s:c r="J8" s="5" t="inlineStr">
        <s:is>
          <s:t>Dinsha Patel</s:t>
        </s:is>
      </s:c>
      <s:c r="K8" s="5" t="inlineStr">
        <s:is>
          <s:t>INC</s:t>
        </s:is>
      </s:c>
      <s:c r="L8" s="5" t="inlineStr">
        <s:is>
          <s:t>Assembly general</s:t>
        </s:is>
      </s:c>
      <s:c r="M8" s="5" t="inlineStr">
        <s:is>
          <s:t>BJP / NDA</s:t>
        </s:is>
      </s:c>
      <s:c r="N8" s="5" t="inlineStr">
        <s:is>
          <s:t>Direct constituency vote</s:t>
        </s:is>
      </s:c>
      <s:c r="O8" s="5" t="inlineStr">
        <s:is>
          <s:t>P2</s:t>
        </s:is>
      </s:c>
      <s:c r="P8" s="5" t="inlineStr">
        <s:is>
          <s:t>P2-E03</s:t>
        </s:is>
      </s:c>
      <s:c r="Q8" s="6" t="inlineStr">
        <s:is>
          <s:t>S005</s:t>
        </s:is>
      </s:c>
      <s:c r="R8" s="5" t="inlineStr">
        <s:is>
          <s:t>Official original not recovered; secondary count table.</s:t>
        </s:is>
      </s:c>
      <s:c r="S8" s="5" t="inlineStr">
        <s:is>
          <s:t>Recorded fact</s:t>
        </s:is>
      </s:c>
      <s:c r="T8" s="5" t="inlineStr">
        <s:is>
          <s:t>Single credible source</s:t>
        </s:is>
      </s:c>
    </s:row>
    <s:row r="9" ht="48" customHeight="1">
      <s:c r="A9" s="7" t="inlineStr">
        <s:is>
          <s:t>E04</s:t>
        </s:is>
      </s:c>
      <s:c r="B9" s="7" t="n">
        <s:v>2012</s:v>
      </s:c>
      <s:c r="C9" s="7" t="inlineStr">
        <s:is>
          <s:t>Maninagar</s:t>
        </s:is>
      </s:c>
      <s:c r="D9" s="7" t="inlineStr">
        <s:is>
          <s:t>Contestant</s:t>
        </s:is>
      </s:c>
      <s:c r="E9" s="7" t="inlineStr">
        <s:is>
          <s:t>Won</s:t>
        </s:is>
      </s:c>
      <s:c r="F9" s="18" t="n">
        <s:v>120470</s:v>
      </s:c>
      <s:c r="G9" s="18" t="n">
        <s:v>34097</s:v>
      </s:c>
      <s:c r="H9" s="7" t="inlineStr">
        <s:is>
          <s:t>Not verified / not applicable</s:t>
        </s:is>
      </s:c>
      <s:c r="I9" s="18">
        <s:f>F9-G9</s:f>
        <s:v>86373</s:v>
      </s:c>
      <s:c r="J9" s="7" t="inlineStr">
        <s:is>
          <s:t>Shweta Sanjiv Bhatt</s:t>
        </s:is>
      </s:c>
      <s:c r="K9" s="7" t="inlineStr">
        <s:is>
          <s:t>INC</s:t>
        </s:is>
      </s:c>
      <s:c r="L9" s="7" t="inlineStr">
        <s:is>
          <s:t>Assembly general</s:t>
        </s:is>
      </s:c>
      <s:c r="M9" s="7" t="inlineStr">
        <s:is>
          <s:t>BJP / NDA</s:t>
        </s:is>
      </s:c>
      <s:c r="N9" s="7" t="inlineStr">
        <s:is>
          <s:t>Direct constituency vote</s:t>
        </s:is>
      </s:c>
      <s:c r="O9" s="7" t="inlineStr">
        <s:is>
          <s:t>P2</s:t>
        </s:is>
      </s:c>
      <s:c r="P9" s="7" t="inlineStr">
        <s:is>
          <s:t>P2-E03</s:t>
        </s:is>
      </s:c>
      <s:c r="Q9" s="8" t="inlineStr">
        <s:is>
          <s:t>S005</s:t>
        </s:is>
      </s:c>
      <s:c r="R9" s="7" t="inlineStr">
        <s:is>
          <s:t>Post-delimitation contest; raw margins are not normalized swing measures.</s:t>
        </s:is>
      </s:c>
      <s:c r="S9" s="7" t="inlineStr">
        <s:is>
          <s:t>Recorded fact</s:t>
        </s:is>
      </s:c>
      <s:c r="T9" s="7" t="inlineStr">
        <s:is>
          <s:t>Single credible source</s:t>
        </s:is>
      </s:c>
    </s:row>
    <s:row r="10" ht="48" customHeight="1">
      <s:c r="A10" s="5" t="inlineStr">
        <s:is>
          <s:t>E05</s:t>
        </s:is>
      </s:c>
      <s:c r="B10" s="5" t="n">
        <s:v>2014</s:v>
      </s:c>
      <s:c r="C10" s="5" t="inlineStr">
        <s:is>
          <s:t>Varanasi</s:t>
        </s:is>
      </s:c>
      <s:c r="D10" s="5" t="inlineStr">
        <s:is>
          <s:t>Contestant</s:t>
        </s:is>
      </s:c>
      <s:c r="E10" s="5" t="inlineStr">
        <s:is>
          <s:t>Won</s:t>
        </s:is>
      </s:c>
      <s:c r="F10" s="16" t="n">
        <s:v>581022</s:v>
      </s:c>
      <s:c r="G10" s="16" t="n">
        <s:v>209238</s:v>
      </s:c>
      <s:c r="H10" s="17" t="n">
        <s:v>0.5637</s:v>
      </s:c>
      <s:c r="I10" s="16">
        <s:f>F10-G10</s:f>
        <s:v>371784</s:v>
      </s:c>
      <s:c r="J10" s="5" t="inlineStr">
        <s:is>
          <s:t>Arvind Kejriwal</s:t>
        </s:is>
      </s:c>
      <s:c r="K10" s="5" t="inlineStr">
        <s:is>
          <s:t>AAP</s:t>
        </s:is>
      </s:c>
      <s:c r="L10" s="5" t="inlineStr">
        <s:is>
          <s:t>Lok Sabha general</s:t>
        </s:is>
      </s:c>
      <s:c r="M10" s="5" t="inlineStr">
        <s:is>
          <s:t>BJP / NDA</s:t>
        </s:is>
      </s:c>
      <s:c r="N10" s="5" t="inlineStr">
        <s:is>
          <s:t>Direct constituency vote</s:t>
        </s:is>
      </s:c>
      <s:c r="O10" s="5" t="inlineStr">
        <s:is>
          <s:t>P3</s:t>
        </s:is>
      </s:c>
      <s:c r="P10" s="5" t="inlineStr">
        <s:is>
          <s:t>P3-E03</s:t>
        </s:is>
      </s:c>
      <s:c r="Q10" s="6" t="inlineStr">
        <s:is>
          <s:t>S007; S008</s:t>
        </s:is>
      </s:c>
      <s:c r="R10" s="5" t="inlineStr">
        <s:is>
          <s:t>Retained this seat after also winning Vadodara.</s:t>
        </s:is>
      </s:c>
      <s:c r="S10" s="5" t="inlineStr">
        <s:is>
          <s:t>Recorded fact</s:t>
        </s:is>
      </s:c>
      <s:c r="T10" s="5" t="inlineStr">
        <s:is>
          <s:t>Primary record</s:t>
        </s:is>
      </s:c>
    </s:row>
    <s:row r="11" ht="48" customHeight="1">
      <s:c r="A11" s="7" t="inlineStr">
        <s:is>
          <s:t>E06</s:t>
        </s:is>
      </s:c>
      <s:c r="B11" s="7" t="n">
        <s:v>2014</s:v>
      </s:c>
      <s:c r="C11" s="7" t="inlineStr">
        <s:is>
          <s:t>Vadodara</s:t>
        </s:is>
      </s:c>
      <s:c r="D11" s="7" t="inlineStr">
        <s:is>
          <s:t>Contestant</s:t>
        </s:is>
      </s:c>
      <s:c r="E11" s="7" t="inlineStr">
        <s:is>
          <s:t>Won</s:t>
        </s:is>
      </s:c>
      <s:c r="F11" s="18" t="n">
        <s:v>845464</s:v>
      </s:c>
      <s:c r="G11" s="18" t="n">
        <s:v>275336</s:v>
      </s:c>
      <s:c r="H11" s="19" t="n">
        <s:v>0.7275</s:v>
      </s:c>
      <s:c r="I11" s="18">
        <s:f>F11-G11</s:f>
        <s:v>570128</s:v>
      </s:c>
      <s:c r="J11" s="7" t="inlineStr">
        <s:is>
          <s:t>Madhusudan Mistry</s:t>
        </s:is>
      </s:c>
      <s:c r="K11" s="7" t="inlineStr">
        <s:is>
          <s:t>INC</s:t>
        </s:is>
      </s:c>
      <s:c r="L11" s="7" t="inlineStr">
        <s:is>
          <s:t>Lok Sabha general</s:t>
        </s:is>
      </s:c>
      <s:c r="M11" s="7" t="inlineStr">
        <s:is>
          <s:t>BJP / NDA</s:t>
        </s:is>
      </s:c>
      <s:c r="N11" s="7" t="inlineStr">
        <s:is>
          <s:t>Direct constituency vote</s:t>
        </s:is>
      </s:c>
      <s:c r="O11" s="7" t="inlineStr">
        <s:is>
          <s:t>P3</s:t>
        </s:is>
      </s:c>
      <s:c r="P11" s="7" t="inlineStr">
        <s:is>
          <s:t>P3-E03</s:t>
        </s:is>
      </s:c>
      <s:c r="Q11" s="8" t="inlineStr">
        <s:is>
          <s:t>S008</s:t>
        </s:is>
      </s:c>
      <s:c r="R11" s="7" t="inlineStr">
        <s:is>
          <s:t>Won then vacated; this is a separate contest in the same general election.</s:t>
        </s:is>
      </s:c>
      <s:c r="S11" s="7" t="inlineStr">
        <s:is>
          <s:t>Recorded fact</s:t>
        </s:is>
      </s:c>
      <s:c r="T11" s="7" t="inlineStr">
        <s:is>
          <s:t>Primary record</s:t>
        </s:is>
      </s:c>
    </s:row>
    <s:row r="12" ht="48" customHeight="1">
      <s:c r="A12" s="5" t="inlineStr">
        <s:is>
          <s:t>E07</s:t>
        </s:is>
      </s:c>
      <s:c r="B12" s="5" t="n">
        <s:v>2019</s:v>
      </s:c>
      <s:c r="C12" s="5" t="inlineStr">
        <s:is>
          <s:t>Varanasi</s:t>
        </s:is>
      </s:c>
      <s:c r="D12" s="5" t="inlineStr">
        <s:is>
          <s:t>Contestant</s:t>
        </s:is>
      </s:c>
      <s:c r="E12" s="5" t="inlineStr">
        <s:is>
          <s:t>Won</s:t>
        </s:is>
      </s:c>
      <s:c r="F12" s="16" t="n">
        <s:v>674664</s:v>
      </s:c>
      <s:c r="G12" s="16" t="n">
        <s:v>195159</s:v>
      </s:c>
      <s:c r="H12" s="17" t="n">
        <s:v>0.636</s:v>
      </s:c>
      <s:c r="I12" s="16">
        <s:f>F12-G12</s:f>
        <s:v>479505</s:v>
      </s:c>
      <s:c r="J12" s="5" t="inlineStr">
        <s:is>
          <s:t>Shalini Yadav</s:t>
        </s:is>
      </s:c>
      <s:c r="K12" s="5" t="inlineStr">
        <s:is>
          <s:t>SP</s:t>
        </s:is>
      </s:c>
      <s:c r="L12" s="5" t="inlineStr">
        <s:is>
          <s:t>Lok Sabha general</s:t>
        </s:is>
      </s:c>
      <s:c r="M12" s="5" t="inlineStr">
        <s:is>
          <s:t>BJP / NDA</s:t>
        </s:is>
      </s:c>
      <s:c r="N12" s="5" t="inlineStr">
        <s:is>
          <s:t>Direct constituency vote</s:t>
        </s:is>
      </s:c>
      <s:c r="O12" s="5" t="inlineStr">
        <s:is>
          <s:t>P3</s:t>
        </s:is>
      </s:c>
      <s:c r="P12" s="5" t="inlineStr">
        <s:is>
          <s:t>P3-E03</s:t>
        </s:is>
      </s:c>
      <s:c r="Q12" s="6" t="inlineStr">
        <s:is>
          <s:t>S009</s:t>
        </s:is>
      </s:c>
      <s:c r="R12" s="5" t="inlineStr">
        <s:is>
          <s:t>ADR reports share rounded to 63.60%; do not manufacture extra precision.</s:t>
        </s:is>
      </s:c>
      <s:c r="S12" s="5" t="inlineStr">
        <s:is>
          <s:t>Recorded fact</s:t>
        </s:is>
      </s:c>
      <s:c r="T12" s="5" t="inlineStr">
        <s:is>
          <s:t>Single credible source</s:t>
        </s:is>
      </s:c>
    </s:row>
    <s:row r="13" ht="48" customHeight="1">
      <s:c r="A13" s="7" t="inlineStr">
        <s:is>
          <s:t>E08</s:t>
        </s:is>
      </s:c>
      <s:c r="B13" s="7" t="n">
        <s:v>2024</s:v>
      </s:c>
      <s:c r="C13" s="7" t="inlineStr">
        <s:is>
          <s:t>Varanasi</s:t>
        </s:is>
      </s:c>
      <s:c r="D13" s="7" t="inlineStr">
        <s:is>
          <s:t>Contestant</s:t>
        </s:is>
      </s:c>
      <s:c r="E13" s="7" t="inlineStr">
        <s:is>
          <s:t>Won</s:t>
        </s:is>
      </s:c>
      <s:c r="F13" s="18" t="n">
        <s:v>612970</s:v>
      </s:c>
      <s:c r="G13" s="18" t="n">
        <s:v>460457</s:v>
      </s:c>
      <s:c r="H13" s="19" t="n">
        <s:v>0.5424</s:v>
      </s:c>
      <s:c r="I13" s="18">
        <s:f>F13-G13</s:f>
        <s:v>152513</s:v>
      </s:c>
      <s:c r="J13" s="7" t="inlineStr">
        <s:is>
          <s:t>Ajay Rai</s:t>
        </s:is>
      </s:c>
      <s:c r="K13" s="7" t="inlineStr">
        <s:is>
          <s:t>INC</s:t>
        </s:is>
      </s:c>
      <s:c r="L13" s="7" t="inlineStr">
        <s:is>
          <s:t>Lok Sabha general</s:t>
        </s:is>
      </s:c>
      <s:c r="M13" s="7" t="inlineStr">
        <s:is>
          <s:t>BJP / NDA</s:t>
        </s:is>
      </s:c>
      <s:c r="N13" s="7" t="inlineStr">
        <s:is>
          <s:t>Direct constituency vote</s:t>
        </s:is>
      </s:c>
      <s:c r="O13" s="7" t="inlineStr">
        <s:is>
          <s:t>P4</s:t>
        </s:is>
      </s:c>
      <s:c r="P13" s="7" t="inlineStr">
        <s:is>
          <s:t>P4-E03</s:t>
        </s:is>
      </s:c>
      <s:c r="Q13" s="8" t="inlineStr">
        <s:is>
          <s:t>S010; S011</s:t>
        </s:is>
      </s:c>
      <s:c r="R13" s="7" t="inlineStr">
        <s:is>
          <s:t>Original ECI historical URL unavailable; two reports corroborate counts.</s:t>
        </s:is>
      </s:c>
      <s:c r="S13" s="7" t="inlineStr">
        <s:is>
          <s:t>Recorded fact</s:t>
        </s:is>
      </s:c>
      <s:c r="T13" s="7" t="inlineStr">
        <s:is>
          <s:t>Multiple independent sources</s:t>
        </s:is>
      </s:c>
    </s:row>
    <s:row r="14" ht="48" customHeight="1">
      <s:c r="A14" s="5" t="inlineStr">
        <s:is>
          <s:t>E09</s:t>
        </s:is>
      </s:c>
      <s:c r="B14" s="5" t="n">
        <s:v>2014</s:v>
      </s:c>
      <s:c r="C14" s="5" t="inlineStr">
        <s:is>
          <s:t>India (party seats)</s:t>
        </s:is>
      </s:c>
      <s:c r="D14" s="5" t="inlineStr">
        <s:is>
          <s:t>Campaign leader</s:t>
        </s:is>
      </s:c>
      <s:c r="E14" s="5" t="inlineStr">
        <s:is>
          <s:t>BJP 282</s:t>
        </s:is>
      </s:c>
      <s:c r="F14" s="5" t="inlineStr">
        <s:is>
          <s:t>Not applicable</s:t>
        </s:is>
      </s:c>
      <s:c r="G14" s="5" t="inlineStr">
        <s:is>
          <s:t>Not applicable</s:t>
        </s:is>
      </s:c>
      <s:c r="H14" s="5" t="inlineStr">
        <s:is>
          <s:t>Not verified / not applicable</s:t>
        </s:is>
      </s:c>
      <s:c r="I14" s="5" t="inlineStr">
        <s:is>
          <s:t>Not applicable</s:t>
        </s:is>
      </s:c>
      <s:c r="J14" s="5" t="inlineStr">
        <s:is>
          <s:t>Congress and other parties</s:t>
        </s:is>
      </s:c>
      <s:c r="K14" s="5" t="inlineStr">
        <s:is>
          <s:t>Multiple</s:t>
        </s:is>
      </s:c>
      <s:c r="L14" s="5" t="inlineStr">
        <s:is>
          <s:t>Lok Sabha national mandate</s:t>
        </s:is>
      </s:c>
      <s:c r="M14" s="5" t="inlineStr">
        <s:is>
          <s:t>BJP / NDA</s:t>
        </s:is>
      </s:c>
      <s:c r="N14" s="5" t="inlineStr">
        <s:is>
          <s:t>Party/alliance aggregation</s:t>
        </s:is>
      </s:c>
      <s:c r="O14" s="5" t="inlineStr">
        <s:is>
          <s:t>P3</s:t>
        </s:is>
      </s:c>
      <s:c r="P14" s="5" t="inlineStr">
        <s:is>
          <s:t>P3-E03</s:t>
        </s:is>
      </s:c>
      <s:c r="Q14" s="6" t="inlineStr">
        <s:is>
          <s:t>S087</s:t>
        </s:is>
      </s:c>
      <s:c r="R14" s="5" t="inlineStr">
        <s:is>
          <s:t>Standalone seat majority; not a majority of all votes cast.</s:t>
        </s:is>
      </s:c>
      <s:c r="S14" s="5" t="inlineStr">
        <s:is>
          <s:t>Recorded fact</s:t>
        </s:is>
      </s:c>
      <s:c r="T14" s="5" t="inlineStr">
        <s:is>
          <s:t>Primary record</s:t>
        </s:is>
      </s:c>
    </s:row>
    <s:row r="15" ht="48" customHeight="1">
      <s:c r="A15" s="7" t="inlineStr">
        <s:is>
          <s:t>E10</s:t>
        </s:is>
      </s:c>
      <s:c r="B15" s="7" t="n">
        <s:v>2019</s:v>
      </s:c>
      <s:c r="C15" s="7" t="inlineStr">
        <s:is>
          <s:t>India (party seats)</s:t>
        </s:is>
      </s:c>
      <s:c r="D15" s="7" t="inlineStr">
        <s:is>
          <s:t>Campaign leader</s:t>
        </s:is>
      </s:c>
      <s:c r="E15" s="7" t="inlineStr">
        <s:is>
          <s:t>BJP 303</s:t>
        </s:is>
      </s:c>
      <s:c r="F15" s="7" t="inlineStr">
        <s:is>
          <s:t>Not applicable</s:t>
        </s:is>
      </s:c>
      <s:c r="G15" s="7" t="inlineStr">
        <s:is>
          <s:t>Not applicable</s:t>
        </s:is>
      </s:c>
      <s:c r="H15" s="7" t="inlineStr">
        <s:is>
          <s:t>Not verified / not applicable</s:t>
        </s:is>
      </s:c>
      <s:c r="I15" s="7" t="inlineStr">
        <s:is>
          <s:t>Not applicable</s:t>
        </s:is>
      </s:c>
      <s:c r="J15" s="7" t="inlineStr">
        <s:is>
          <s:t>Congress and other parties</s:t>
        </s:is>
      </s:c>
      <s:c r="K15" s="7" t="inlineStr">
        <s:is>
          <s:t>Multiple</s:t>
        </s:is>
      </s:c>
      <s:c r="L15" s="7" t="inlineStr">
        <s:is>
          <s:t>Lok Sabha national mandate</s:t>
        </s:is>
      </s:c>
      <s:c r="M15" s="7" t="inlineStr">
        <s:is>
          <s:t>BJP / NDA</s:t>
        </s:is>
      </s:c>
      <s:c r="N15" s="7" t="inlineStr">
        <s:is>
          <s:t>Party/alliance aggregation</s:t>
        </s:is>
      </s:c>
      <s:c r="O15" s="7" t="inlineStr">
        <s:is>
          <s:t>P3</s:t>
        </s:is>
      </s:c>
      <s:c r="P15" s="7" t="inlineStr">
        <s:is>
          <s:t>P3-E03</s:t>
        </s:is>
      </s:c>
      <s:c r="Q15" s="8" t="inlineStr">
        <s:is>
          <s:t>S087</s:t>
        </s:is>
      </s:c>
      <s:c r="R15" s="7" t="inlineStr">
        <s:is>
          <s:t>Standalone seat majority; constituency victories are counted separately.</s:t>
        </s:is>
      </s:c>
      <s:c r="S15" s="7" t="inlineStr">
        <s:is>
          <s:t>Recorded fact</s:t>
        </s:is>
      </s:c>
      <s:c r="T15" s="7" t="inlineStr">
        <s:is>
          <s:t>Primary record</s:t>
        </s:is>
      </s:c>
    </s:row>
    <s:row r="16" ht="64" customHeight="1">
      <s:c r="A16" s="5" t="inlineStr">
        <s:is>
          <s:t>E11</s:t>
        </s:is>
      </s:c>
      <s:c r="B16" s="5" t="n">
        <s:v>2024</s:v>
      </s:c>
      <s:c r="C16" s="5" t="inlineStr">
        <s:is>
          <s:t>India (party seats)</s:t>
        </s:is>
      </s:c>
      <s:c r="D16" s="5" t="inlineStr">
        <s:is>
          <s:t>Campaign leader</s:t>
        </s:is>
      </s:c>
      <s:c r="E16" s="5" t="inlineStr">
        <s:is>
          <s:t>BJP 240; NDA 293</s:t>
        </s:is>
      </s:c>
      <s:c r="F16" s="5" t="inlineStr">
        <s:is>
          <s:t>Not applicable</s:t>
        </s:is>
      </s:c>
      <s:c r="G16" s="5" t="inlineStr">
        <s:is>
          <s:t>Not applicable</s:t>
        </s:is>
      </s:c>
      <s:c r="H16" s="5" t="inlineStr">
        <s:is>
          <s:t>Not verified / not applicable</s:t>
        </s:is>
      </s:c>
      <s:c r="I16" s="5" t="inlineStr">
        <s:is>
          <s:t>Not applicable</s:t>
        </s:is>
      </s:c>
      <s:c r="J16" s="5" t="inlineStr">
        <s:is>
          <s:t>INDIA alliance</s:t>
        </s:is>
      </s:c>
      <s:c r="K16" s="5" t="inlineStr">
        <s:is>
          <s:t>Multiple</s:t>
        </s:is>
      </s:c>
      <s:c r="L16" s="5" t="inlineStr">
        <s:is>
          <s:t>Lok Sabha national mandate</s:t>
        </s:is>
      </s:c>
      <s:c r="M16" s="5" t="inlineStr">
        <s:is>
          <s:t>BJP / NDA</s:t>
        </s:is>
      </s:c>
      <s:c r="N16" s="5" t="inlineStr">
        <s:is>
          <s:t>Party/alliance aggregation</s:t>
        </s:is>
      </s:c>
      <s:c r="O16" s="5" t="inlineStr">
        <s:is>
          <s:t>P4</s:t>
        </s:is>
      </s:c>
      <s:c r="P16" s="5" t="inlineStr">
        <s:is>
          <s:t>P4-E03</s:t>
        </s:is>
      </s:c>
      <s:c r="Q16" s="6" t="inlineStr">
        <s:is>
          <s:t>S012</s:t>
        </s:is>
      </s:c>
      <s:c r="R16" s="5" t="inlineStr">
        <s:is>
          <s:t>Uses AP 9 June formation count (293); some earlier reports used 294. Coalition classifications and report dates differ.</s:t>
        </s:is>
      </s:c>
      <s:c r="S16" s="5" t="inlineStr">
        <s:is>
          <s:t>Recorded fact</s:t>
        </s:is>
      </s:c>
      <s:c r="T16" s="5" t="inlineStr">
        <s:is>
          <s:t>Single credible source</s:t>
        </s:is>
      </s:c>
    </s:row>
    <s:row r="17" ht="48" customHeight="1">
      <s:c r="A17" s="7" t="inlineStr">
        <s:is>
          <s:t>E12</s:t>
        </s:is>
      </s:c>
      <s:c r="B17" s="7" t="n">
        <s:v>2025</s:v>
      </s:c>
      <s:c r="C17" s="7" t="inlineStr">
        <s:is>
          <s:t>Bihar (alliance seats)</s:t>
        </s:is>
      </s:c>
      <s:c r="D17" s="7" t="inlineStr">
        <s:is>
          <s:t>Not personally contesting</s:t>
        </s:is>
      </s:c>
      <s:c r="E17" s="7" t="inlineStr">
        <s:is>
          <s:t>NDA 202; BJP 89</s:t>
        </s:is>
      </s:c>
      <s:c r="F17" s="7" t="inlineStr">
        <s:is>
          <s:t>Not applicable</s:t>
        </s:is>
      </s:c>
      <s:c r="G17" s="7" t="inlineStr">
        <s:is>
          <s:t>Not applicable</s:t>
        </s:is>
      </s:c>
      <s:c r="H17" s="7" t="inlineStr">
        <s:is>
          <s:t>Not verified / not applicable</s:t>
        </s:is>
      </s:c>
      <s:c r="I17" s="7" t="inlineStr">
        <s:is>
          <s:t>Not applicable</s:t>
        </s:is>
      </s:c>
      <s:c r="J17" s="7" t="inlineStr">
        <s:is>
          <s:t>Opposition alliance</s:t>
        </s:is>
      </s:c>
      <s:c r="K17" s="7" t="inlineStr">
        <s:is>
          <s:t>Multiple</s:t>
        </s:is>
      </s:c>
      <s:c r="L17" s="7" t="inlineStr">
        <s:is>
          <s:t>Assembly national campaign role</s:t>
        </s:is>
      </s:c>
      <s:c r="M17" s="7" t="inlineStr">
        <s:is>
          <s:t>BJP / NDA</s:t>
        </s:is>
      </s:c>
      <s:c r="N17" s="7" t="inlineStr">
        <s:is>
          <s:t>Party/alliance aggregation</s:t>
        </s:is>
      </s:c>
      <s:c r="O17" s="7" t="inlineStr">
        <s:is>
          <s:t>P4</s:t>
        </s:is>
      </s:c>
      <s:c r="P17" s="7" t="inlineStr">
        <s:is>
          <s:t>P4-E03</s:t>
        </s:is>
      </s:c>
      <s:c r="Q17" s="8" t="inlineStr">
        <s:is>
          <s:t>S065</s:t>
        </s:is>
      </s:c>
      <s:c r="R17" s="7" t="inlineStr">
        <s:is>
          <s:t>Modi campaigned as national leader; not an MLA contest.</s:t>
        </s:is>
      </s:c>
      <s:c r="S17" s="7" t="inlineStr">
        <s:is>
          <s:t>Recorded fact</s:t>
        </s:is>
      </s:c>
      <s:c r="T17" s="7" t="inlineStr">
        <s:is>
          <s:t>Single credible source</s:t>
        </s:is>
      </s:c>
    </s:row>
    <s:row r="18" ht="48" customHeight="1">
      <s:c r="A18" s="5" t="inlineStr">
        <s:is>
          <s:t>E13</s:t>
        </s:is>
      </s:c>
      <s:c r="B18" s="5" t="n">
        <s:v>2026</s:v>
      </s:c>
      <s:c r="C18" s="5" t="inlineStr">
        <s:is>
          <s:t>West Bengal (party seats)</s:t>
        </s:is>
      </s:c>
      <s:c r="D18" s="5" t="inlineStr">
        <s:is>
          <s:t>Not personally contesting</s:t>
        </s:is>
      </s:c>
      <s:c r="E18" s="5" t="inlineStr">
        <s:is>
          <s:t>BJP 207</s:t>
        </s:is>
      </s:c>
      <s:c r="F18" s="5" t="inlineStr">
        <s:is>
          <s:t>Not applicable</s:t>
        </s:is>
      </s:c>
      <s:c r="G18" s="5" t="inlineStr">
        <s:is>
          <s:t>Not applicable</s:t>
        </s:is>
      </s:c>
      <s:c r="H18" s="5" t="inlineStr">
        <s:is>
          <s:t>Not verified / not applicable</s:t>
        </s:is>
      </s:c>
      <s:c r="I18" s="5" t="inlineStr">
        <s:is>
          <s:t>Not applicable</s:t>
        </s:is>
      </s:c>
      <s:c r="J18" s="5" t="inlineStr">
        <s:is>
          <s:t>AITC</s:t>
        </s:is>
      </s:c>
      <s:c r="K18" s="5" t="inlineStr">
        <s:is>
          <s:t>AITC</s:t>
        </s:is>
      </s:c>
      <s:c r="L18" s="5" t="inlineStr">
        <s:is>
          <s:t>Assembly national campaign role</s:t>
        </s:is>
      </s:c>
      <s:c r="M18" s="5" t="inlineStr">
        <s:is>
          <s:t>BJP / NDA</s:t>
        </s:is>
      </s:c>
      <s:c r="N18" s="5" t="inlineStr">
        <s:is>
          <s:t>Party/alliance aggregation</s:t>
        </s:is>
      </s:c>
      <s:c r="O18" s="5" t="inlineStr">
        <s:is>
          <s:t>P4</s:t>
        </s:is>
      </s:c>
      <s:c r="P18" s="5" t="inlineStr">
        <s:is>
          <s:t>P4-E03</s:t>
        </s:is>
      </s:c>
      <s:c r="Q18" s="6" t="inlineStr">
        <s:is>
          <s:t>S066</s:t>
        </s:is>
      </s:c>
      <s:c r="R18" s="5" t="inlineStr">
        <s:is>
          <s:t>ECI page: 293 declared of 294; snapshot 5 May 2026.</s:t>
        </s:is>
      </s:c>
      <s:c r="S18" s="5" t="inlineStr">
        <s:is>
          <s:t>Recorded fact</s:t>
        </s:is>
      </s:c>
      <s:c r="T18" s="5" t="inlineStr">
        <s:is>
          <s:t>Primary record</s:t>
        </s:is>
      </s:c>
    </s:row>
  </s:sheetData>
  <s:autoFilter ref="A5:T18"/>
  <s:mergeCells count="2">
    <s:mergeCell ref="A2:F2"/>
    <s:mergeCell ref="A1:F1"/>
  </s:mergeCells>
  <s:hyperlinks>
    <s:hyperlink ref="A3" r:id="rId1"/>
    <s:hyperlink ref="Q6" r:id="rId2"/>
    <s:hyperlink ref="Q7" r:id="rId3"/>
    <s:hyperlink ref="Q8" r:id="rId4"/>
    <s:hyperlink ref="Q9" r:id="rId5"/>
    <s:hyperlink ref="Q10" r:id="rId6"/>
    <s:hyperlink ref="Q11" r:id="rId7"/>
    <s:hyperlink ref="Q12" r:id="rId8"/>
    <s:hyperlink ref="Q13" r:id="rId9"/>
    <s:hyperlink ref="Q14" r:id="rId10"/>
    <s:hyperlink ref="Q15" r:id="rId11"/>
    <s:hyperlink ref="Q16" r:id="rId12"/>
    <s:hyperlink ref="Q17" r:id="rId13"/>
    <s:hyperlink ref="Q18" r:id="rId14"/>
  </s:hyperlinks>
  <s:printOptions horizontalCentered="0"/>
  <s:pageMargins left="0.75" right="0.75" top="1" bottom="1" header="0.5" footer="0.5"/>
  <s:pageSetup orientation="landscape" paperSize="8" fitToHeight="0" fitToWidth="3"/>
  <s:headerFooter>
    <s:oddHeader/>
    <s:oddFooter>&amp;C&amp;8 Narendra Modi research | 24 Sep 2026 | Page &amp;P of &amp;N</s:oddFooter>
    <s:evenHeader/>
    <s:evenFooter/>
    <s:firstHeader/>
    <s:firstFooter/>
  </s:headerFooter>
  <s:tableParts count="1">
    <s:tablePart r:id="rId15"/>
  </s:tableParts>
</s:worksheet>
</file>

<file path=xl/worksheets/sheet5.xml><?xml version="1.0" encoding="utf-8"?>
<s:worksheet xmlns:r="http://schemas.openxmlformats.org/officeDocument/2006/relationships" xmlns:s="http://schemas.openxmlformats.org/spreadsheetml/2006/main">
  <s:sheetPr>
    <s:tabColor rgb="0017324D"/>
    <s:outlinePr summaryBelow="1" summaryRight="0"/>
    <s:pageSetUpPr fitToPage="1"/>
  </s:sheetPr>
  <s:dimension ref="A1:P18"/>
  <s:sheetViews>
    <s:sheetView showGridLines="0" zoomScale="85" workbookViewId="0">
      <s:pane xSplit="2" ySplit="5" topLeftCell="C6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13" customWidth="1" min="1" max="1"/>
    <s:col width="29" customWidth="1" min="2" max="2"/>
    <s:col width="29" customWidth="1" min="3" max="3"/>
    <s:col width="29" customWidth="1" min="4" max="4"/>
    <s:col width="21" customWidth="1" min="5" max="5"/>
    <s:col width="21" customWidth="1" min="6" max="6"/>
    <s:col width="29" customWidth="1" min="7" max="7"/>
    <s:col width="29" customWidth="1" min="8" max="8"/>
    <s:col width="29" customWidth="1" min="9" max="9"/>
    <s:col width="29" customWidth="1" min="10" max="10"/>
    <s:col width="16" customWidth="1" min="11" max="11"/>
    <s:col width="22" customWidth="1" min="12" max="12"/>
    <s:col width="48" customWidth="1" min="13" max="13"/>
    <s:col width="29" customWidth="1" min="14" max="14"/>
    <s:col width="29" customWidth="1" min="15" max="15"/>
    <s:col width="13" customWidth="1" min="16" max="16"/>
  </s:cols>
  <s:sheetData>
    <s:row r="1" ht="36" customHeight="1">
      <s:c r="A1" s="1" t="inlineStr">
        <s:is>
          <s:t>NARENDRA MODI  |  OFFICES &amp; PARTY</s:t>
        </s:is>
      </s:c>
    </s:row>
    <s:row r="2" ht="24" customHeight="1">
      <s:c r="A2" s="2" t="inlineStr">
        <s:is>
          <s:t>As of 24 Sep 2026  •  Source IDs link to the source register  •  Scroll right for evidence notes</s:t>
        </s:is>
      </s:c>
    </s:row>
    <s:row r="3">
      <s:c r="A3" s="3" t="inlineStr">
        <s:is>
          <s:t>CONTENTS</s:t>
        </s:is>
      </s:c>
    </s:row>
    <s:row r="5" ht="34" customHeight="1">
      <s:c r="A5" s="4" t="inlineStr">
        <s:is>
          <s:t>Position ID</s:t>
        </s:is>
      </s:c>
      <s:c r="B5" s="4" t="inlineStr">
        <s:is>
          <s:t>Title</s:t>
        </s:is>
      </s:c>
      <s:c r="C5" s="4" t="inlineStr">
        <s:is>
          <s:t>Position category</s:t>
        </s:is>
      </s:c>
      <s:c r="D5" s="4" t="inlineStr">
        <s:is>
          <s:t>Institution / jurisdiction</s:t>
        </s:is>
      </s:c>
      <s:c r="E5" s="4" t="inlineStr">
        <s:is>
          <s:t>Start</s:t>
        </s:is>
      </s:c>
      <s:c r="F5" s="4" t="inlineStr">
        <s:is>
          <s:t>End / status</s:t>
        </s:is>
      </s:c>
      <s:c r="G5" s="4" t="inlineStr">
        <s:is>
          <s:t>Date precision</s:t>
        </s:is>
      </s:c>
      <s:c r="H5" s="4" t="inlineStr">
        <s:is>
          <s:t>Selection route</s:t>
        </s:is>
      </s:c>
      <s:c r="I5" s="4" t="inlineStr">
        <s:is>
          <s:t>Predecessor</s:t>
        </s:is>
      </s:c>
      <s:c r="J5" s="4" t="inlineStr">
        <s:is>
          <s:t>Successor</s:t>
        </s:is>
      </s:c>
      <s:c r="K5" s="4" t="inlineStr">
        <s:is>
          <s:t>Career phase</s:t>
        </s:is>
      </s:c>
      <s:c r="L5" s="4" t="inlineStr">
        <s:is>
          <s:t>Source IDs</s:t>
        </s:is>
      </s:c>
      <s:c r="M5" s="4" t="inlineStr">
        <s:is>
          <s:t>Tenure / concurrent-office note</s:t>
        </s:is>
      </s:c>
      <s:c r="N5" s="4" t="inlineStr">
        <s:is>
          <s:t>Claim type</s:t>
        </s:is>
      </s:c>
      <s:c r="O5" s="4" t="inlineStr">
        <s:is>
          <s:t>Corroboration</s:t>
        </s:is>
      </s:c>
      <s:c r="P5" s="4" t="inlineStr">
        <s:is>
          <s:t>Context ID</s:t>
        </s:is>
      </s:c>
    </s:row>
    <s:row r="6" ht="48" customHeight="1">
      <s:c r="A6" s="5" t="inlineStr">
        <s:is>
          <s:t>O01</s:t>
        </s:is>
      </s:c>
      <s:c r="B6" s="5" t="inlineStr">
        <s:is>
          <s:t>Pracharak</s:t>
        </s:is>
      </s:c>
      <s:c r="C6" s="5" t="inlineStr">
        <s:is>
          <s:t>Organization</s:t>
        </s:is>
      </s:c>
      <s:c r="D6" s="5" t="inlineStr">
        <s:is>
          <s:t>RSS</s:t>
        </s:is>
      </s:c>
      <s:c r="E6" s="5" t="inlineStr">
        <s:is>
          <s:t>1972</s:t>
        </s:is>
      </s:c>
      <s:c r="F6" s="5" t="inlineStr">
        <s:is>
          <s:t>1980s; exact end unverified</s:t>
        </s:is>
      </s:c>
      <s:c r="G6" s="5" t="inlineStr">
        <s:is>
          <s:t>Year / approximate</s:t>
        </s:is>
      </s:c>
      <s:c r="H6" s="5" t="inlineStr">
        <s:is>
          <s:t>Organizational assignment</s:t>
        </s:is>
      </s:c>
      <s:c r="I6" s="5" t="inlineStr">
        <s:is>
          <s:t>Not established</s:t>
        </s:is>
      </s:c>
      <s:c r="J6" s="5" t="inlineStr">
        <s:is>
          <s:t>Not established</s:t>
        </s:is>
      </s:c>
      <s:c r="K6" s="5" t="inlineStr">
        <s:is>
          <s:t>P1</s:t>
        </s:is>
      </s:c>
      <s:c r="L6" s="6" t="inlineStr">
        <s:is>
          <s:t>S002</s:t>
        </s:is>
      </s:c>
      <s:c r="M6" s="5" t="inlineStr">
        <s:is>
          <s:t>Official biography; not an elected governmental office.</s:t>
        </s:is>
      </s:c>
      <s:c r="N6" s="5" t="inlineStr">
        <s:is>
          <s:t>Recorded fact</s:t>
        </s:is>
      </s:c>
      <s:c r="O6" s="5" t="inlineStr">
        <s:is>
          <s:t>Interested source only</s:t>
        </s:is>
      </s:c>
      <s:c r="P6" s="5" t="inlineStr">
        <s:is>
          <s:t>P1-E02</s:t>
        </s:is>
      </s:c>
    </s:row>
    <s:row r="7" ht="48" customHeight="1">
      <s:c r="A7" s="7" t="inlineStr">
        <s:is>
          <s:t>O02</s:t>
        </s:is>
      </s:c>
      <s:c r="B7" s="7" t="inlineStr">
        <s:is>
          <s:t>Gujarat general secretary</s:t>
        </s:is>
      </s:c>
      <s:c r="C7" s="7" t="inlineStr">
        <s:is>
          <s:t>Party</s:t>
        </s:is>
      </s:c>
      <s:c r="D7" s="7" t="inlineStr">
        <s:is>
          <s:t>BJP</s:t>
        </s:is>
      </s:c>
      <s:c r="E7" s="7" t="inlineStr">
        <s:is>
          <s:t>1987</s:t>
        </s:is>
      </s:c>
      <s:c r="F7" s="7" t="inlineStr">
        <s:is>
          <s:t>1995; exact transition unverified</s:t>
        </s:is>
      </s:c>
      <s:c r="G7" s="7" t="inlineStr">
        <s:is>
          <s:t>Year</s:t>
        </s:is>
      </s:c>
      <s:c r="H7" s="7" t="inlineStr">
        <s:is>
          <s:t>Party appointment</s:t>
        </s:is>
      </s:c>
      <s:c r="I7" s="7" t="inlineStr">
        <s:is>
          <s:t>Not established</s:t>
        </s:is>
      </s:c>
      <s:c r="J7" s="7" t="inlineStr">
        <s:is>
          <s:t>Not established</s:t>
        </s:is>
      </s:c>
      <s:c r="K7" s="7" t="inlineStr">
        <s:is>
          <s:t>P1</s:t>
        </s:is>
      </s:c>
      <s:c r="L7" s="8" t="inlineStr">
        <s:is>
          <s:t>S002</s:t>
        </s:is>
      </s:c>
      <s:c r="M7" s="7" t="inlineStr">
        <s:is>
          <s:t>Historical official account does not supply appointment orders.</s:t>
        </s:is>
      </s:c>
      <s:c r="N7" s="7" t="inlineStr">
        <s:is>
          <s:t>Recorded fact</s:t>
        </s:is>
      </s:c>
      <s:c r="O7" s="7" t="inlineStr">
        <s:is>
          <s:t>Interested source only</s:t>
        </s:is>
      </s:c>
      <s:c r="P7" s="7" t="inlineStr">
        <s:is>
          <s:t>P1-E02</s:t>
        </s:is>
      </s:c>
    </s:row>
    <s:row r="8" ht="48" customHeight="1">
      <s:c r="A8" s="5" t="inlineStr">
        <s:is>
          <s:t>O03</s:t>
        </s:is>
      </s:c>
      <s:c r="B8" s="5" t="inlineStr">
        <s:is>
          <s:t>National secretary</s:t>
        </s:is>
      </s:c>
      <s:c r="C8" s="5" t="inlineStr">
        <s:is>
          <s:t>Party</s:t>
        </s:is>
      </s:c>
      <s:c r="D8" s="5" t="inlineStr">
        <s:is>
          <s:t>BJP</s:t>
        </s:is>
      </s:c>
      <s:c r="E8" s="5" t="inlineStr">
        <s:is>
          <s:t>1995</s:t>
        </s:is>
      </s:c>
      <s:c r="F8" s="5" t="inlineStr">
        <s:is>
          <s:t>1998; approximate</s:t>
        </s:is>
      </s:c>
      <s:c r="G8" s="5" t="inlineStr">
        <s:is>
          <s:t>Year</s:t>
        </s:is>
      </s:c>
      <s:c r="H8" s="5" t="inlineStr">
        <s:is>
          <s:t>Party appointment</s:t>
        </s:is>
      </s:c>
      <s:c r="I8" s="5" t="inlineStr">
        <s:is>
          <s:t>Not established</s:t>
        </s:is>
      </s:c>
      <s:c r="J8" s="5" t="inlineStr">
        <s:is>
          <s:t>Not established</s:t>
        </s:is>
      </s:c>
      <s:c r="K8" s="5" t="inlineStr">
        <s:is>
          <s:t>P1</s:t>
        </s:is>
      </s:c>
      <s:c r="L8" s="6" t="inlineStr">
        <s:is>
          <s:t>S002</s:t>
        </s:is>
      </s:c>
      <s:c r="M8" s="5" t="inlineStr">
        <s:is>
          <s:t>National organizational duties, including state responsibilities.</s:t>
        </s:is>
      </s:c>
      <s:c r="N8" s="5" t="inlineStr">
        <s:is>
          <s:t>Recorded fact</s:t>
        </s:is>
      </s:c>
      <s:c r="O8" s="5" t="inlineStr">
        <s:is>
          <s:t>Interested source only</s:t>
        </s:is>
      </s:c>
      <s:c r="P8" s="5" t="inlineStr">
        <s:is>
          <s:t>P1-E02</s:t>
        </s:is>
      </s:c>
    </s:row>
    <s:row r="9" ht="48" customHeight="1">
      <s:c r="A9" s="7" t="inlineStr">
        <s:is>
          <s:t>O04</s:t>
        </s:is>
      </s:c>
      <s:c r="B9" s="7" t="inlineStr">
        <s:is>
          <s:t>General secretary (organization)</s:t>
        </s:is>
      </s:c>
      <s:c r="C9" s="7" t="inlineStr">
        <s:is>
          <s:t>Party</s:t>
        </s:is>
      </s:c>
      <s:c r="D9" s="7" t="inlineStr">
        <s:is>
          <s:t>BJP</s:t>
        </s:is>
      </s:c>
      <s:c r="E9" s="7" t="inlineStr">
        <s:is>
          <s:t>1998</s:t>
        </s:is>
      </s:c>
      <s:c r="F9" s="7" t="inlineStr">
        <s:is>
          <s:t>2001</s:t>
        </s:is>
      </s:c>
      <s:c r="G9" s="7" t="inlineStr">
        <s:is>
          <s:t>Year</s:t>
        </s:is>
      </s:c>
      <s:c r="H9" s="7" t="inlineStr">
        <s:is>
          <s:t>Party appointment</s:t>
        </s:is>
      </s:c>
      <s:c r="I9" s="7" t="inlineStr">
        <s:is>
          <s:t>Not established</s:t>
        </s:is>
      </s:c>
      <s:c r="J9" s="7" t="inlineStr">
        <s:is>
          <s:t>Not established</s:t>
        </s:is>
      </s:c>
      <s:c r="K9" s="7" t="inlineStr">
        <s:is>
          <s:t>P1</s:t>
        </s:is>
      </s:c>
      <s:c r="L9" s="8" t="inlineStr">
        <s:is>
          <s:t>S002</s:t>
        </s:is>
      </s:c>
      <s:c r="M9" s="7" t="inlineStr">
        <s:is>
          <s:t>Exact appointment dates not recovered.</s:t>
        </s:is>
      </s:c>
      <s:c r="N9" s="7" t="inlineStr">
        <s:is>
          <s:t>Recorded fact</s:t>
        </s:is>
      </s:c>
      <s:c r="O9" s="7" t="inlineStr">
        <s:is>
          <s:t>Interested source only</s:t>
        </s:is>
      </s:c>
      <s:c r="P9" s="7" t="inlineStr">
        <s:is>
          <s:t>P1-E02</s:t>
        </s:is>
      </s:c>
    </s:row>
    <s:row r="10" ht="64" customHeight="1">
      <s:c r="A10" s="5" t="inlineStr">
        <s:is>
          <s:t>O05</s:t>
        </s:is>
      </s:c>
      <s:c r="B10" s="5" t="inlineStr">
        <s:is>
          <s:t>Chief Minister</s:t>
        </s:is>
      </s:c>
      <s:c r="C10" s="5" t="inlineStr">
        <s:is>
          <s:t>Executive</s:t>
        </s:is>
      </s:c>
      <s:c r="D10" s="5" t="inlineStr">
        <s:is>
          <s:t>Government of Gujarat</s:t>
        </s:is>
      </s:c>
      <s:c r="E10" s="14" t="n">
        <s:v>37171</s:v>
      </s:c>
      <s:c r="F10" s="14" t="n">
        <s:v>41781</s:v>
      </s:c>
      <s:c r="G10" s="5" t="inlineStr">
        <s:is>
          <s:t>Day; end succession date</s:t>
        </s:is>
      </s:c>
      <s:c r="H10" s="5" t="inlineStr">
        <s:is>
          <s:t>Governor appointment; legislative confidence</s:t>
        </s:is>
      </s:c>
      <s:c r="I10" s="5" t="inlineStr">
        <s:is>
          <s:t>Keshubhai Patel</s:t>
        </s:is>
      </s:c>
      <s:c r="J10" s="5" t="inlineStr">
        <s:is>
          <s:t>Anandiben Patel</s:t>
        </s:is>
      </s:c>
      <s:c r="K10" s="5" t="inlineStr">
        <s:is>
          <s:t>P2</s:t>
        </s:is>
      </s:c>
      <s:c r="L10" s="6" t="inlineStr">
        <s:is>
          <s:t>S093; S094; S014; S015</s:t>
        </s:is>
      </s:c>
      <s:c r="M10" s="5" t="inlineStr">
        <s:is>
          <s:t>Continuous tenure; resignation 21 May, successor sworn 22 May. State government formations in 2001, 2002, 2007 and 2012.</s:t>
        </s:is>
      </s:c>
      <s:c r="N10" s="5" t="inlineStr">
        <s:is>
          <s:t>Recorded fact</s:t>
        </s:is>
      </s:c>
      <s:c r="O10" s="5" t="inlineStr">
        <s:is>
          <s:t>Primary record</s:t>
        </s:is>
      </s:c>
      <s:c r="P10" s="5" t="inlineStr">
        <s:is>
          <s:t>P2-E02</s:t>
        </s:is>
      </s:c>
    </s:row>
    <s:row r="11" ht="48" customHeight="1">
      <s:c r="A11" s="7" t="inlineStr">
        <s:is>
          <s:t>O06</s:t>
        </s:is>
      </s:c>
      <s:c r="B11" s="7" t="inlineStr">
        <s:is>
          <s:t>Member of Legislative Assembly</s:t>
        </s:is>
      </s:c>
      <s:c r="C11" s="7" t="inlineStr">
        <s:is>
          <s:t>Elected</s:t>
        </s:is>
      </s:c>
      <s:c r="D11" s="7" t="inlineStr">
        <s:is>
          <s:t>Gujarat Assembly: Rajkot II</s:t>
        </s:is>
      </s:c>
      <s:c r="E11" s="7" t="inlineStr">
        <s:is>
          <s:t>2002-02</s:t>
        </s:is>
      </s:c>
      <s:c r="F11" s="7" t="inlineStr">
        <s:is>
          <s:t>2002; dissolution</s:t>
        </s:is>
      </s:c>
      <s:c r="G11" s="7" t="inlineStr">
        <s:is>
          <s:t>Month / year</s:t>
        </s:is>
      </s:c>
      <s:c r="H11" s="7" t="inlineStr">
        <s:is>
          <s:t>By-election</s:t>
        </s:is>
      </s:c>
      <s:c r="I11" s="7" t="inlineStr">
        <s:is>
          <s:t>Not verified in consulted table</s:t>
        </s:is>
      </s:c>
      <s:c r="J11" s="7" t="inlineStr">
        <s:is>
          <s:t>Not verified</s:t>
        </s:is>
      </s:c>
      <s:c r="K11" s="7" t="inlineStr">
        <s:is>
          <s:t>P2</s:t>
        </s:is>
      </s:c>
      <s:c r="L11" s="8" t="inlineStr">
        <s:is>
          <s:t>S004</s:t>
        </s:is>
      </s:c>
      <s:c r="M11" s="7" t="inlineStr">
        <s:is>
          <s:t>Do not use election result date as an independently verified oath date.</s:t>
        </s:is>
      </s:c>
      <s:c r="N11" s="7" t="inlineStr">
        <s:is>
          <s:t>Recorded fact</s:t>
        </s:is>
      </s:c>
      <s:c r="O11" s="7" t="inlineStr">
        <s:is>
          <s:t>Primary record</s:t>
        </s:is>
      </s:c>
      <s:c r="P11" s="7" t="inlineStr">
        <s:is>
          <s:t>P2-E02</s:t>
        </s:is>
      </s:c>
    </s:row>
    <s:row r="12" ht="64" customHeight="1">
      <s:c r="A12" s="5" t="inlineStr">
        <s:is>
          <s:t>O07</s:t>
        </s:is>
      </s:c>
      <s:c r="B12" s="5" t="inlineStr">
        <s:is>
          <s:t>Member of Legislative Assembly</s:t>
        </s:is>
      </s:c>
      <s:c r="C12" s="5" t="inlineStr">
        <s:is>
          <s:t>Elected</s:t>
        </s:is>
      </s:c>
      <s:c r="D12" s="5" t="inlineStr">
        <s:is>
          <s:t>Gujarat Assembly: Maninagar</s:t>
        </s:is>
      </s:c>
      <s:c r="E12" s="5" t="inlineStr">
        <s:is>
          <s:t>2002-12</s:t>
        </s:is>
      </s:c>
      <s:c r="F12" s="5" t="inlineStr">
        <s:is>
          <s:t>2014-05</s:t>
        </s:is>
      </s:c>
      <s:c r="G12" s="5" t="inlineStr">
        <s:is>
          <s:t>Month</s:t>
        </s:is>
      </s:c>
      <s:c r="H12" s="5" t="inlineStr">
        <s:is>
          <s:t>Direct elections in 2002, 2007, 2012</s:t>
        </s:is>
      </s:c>
      <s:c r="I12" s="5" t="inlineStr">
        <s:is>
          <s:t>Not verified</s:t>
        </s:is>
      </s:c>
      <s:c r="J12" s="5" t="inlineStr">
        <s:is>
          <s:t>Not verified</s:t>
        </s:is>
      </s:c>
      <s:c r="K12" s="5" t="inlineStr">
        <s:is>
          <s:t>P2</s:t>
        </s:is>
      </s:c>
      <s:c r="L12" s="6" t="inlineStr">
        <s:is>
          <s:t>S005; S014</s:t>
        </s:is>
      </s:c>
      <s:c r="M12" s="5" t="inlineStr">
        <s:is>
          <s:t>Continuous constituency service across assembly terms; simultaneous chief ministership.</s:t>
        </s:is>
      </s:c>
      <s:c r="N12" s="5" t="inlineStr">
        <s:is>
          <s:t>Recorded fact</s:t>
        </s:is>
      </s:c>
      <s:c r="O12" s="5" t="inlineStr">
        <s:is>
          <s:t>Multiple independent sources</s:t>
        </s:is>
      </s:c>
      <s:c r="P12" s="5" t="inlineStr">
        <s:is>
          <s:t>P2-E02</s:t>
        </s:is>
      </s:c>
    </s:row>
    <s:row r="13" ht="48" customHeight="1">
      <s:c r="A13" s="7" t="inlineStr">
        <s:is>
          <s:t>O08</s:t>
        </s:is>
      </s:c>
      <s:c r="B13" s="7" t="inlineStr">
        <s:is>
          <s:t>Prime Minister — first term</s:t>
        </s:is>
      </s:c>
      <s:c r="C13" s="7" t="inlineStr">
        <s:is>
          <s:t>Executive</s:t>
        </s:is>
      </s:c>
      <s:c r="D13" s="7" t="inlineStr">
        <s:is>
          <s:t>Union Government</s:t>
        </s:is>
      </s:c>
      <s:c r="E13" s="15" t="n">
        <s:v>41785</s:v>
      </s:c>
      <s:c r="F13" s="15" t="n">
        <s:v>43615</s:v>
      </s:c>
      <s:c r="G13" s="7" t="inlineStr">
        <s:is>
          <s:t>Day; next oath as term boundary</s:t>
        </s:is>
      </s:c>
      <s:c r="H13" s="7" t="inlineStr">
        <s:is>
          <s:t>President appointment; Lok Sabha confidence</s:t>
        </s:is>
      </s:c>
      <s:c r="I13" s="7" t="inlineStr">
        <s:is>
          <s:t>Manmohan Singh</s:t>
        </s:is>
      </s:c>
      <s:c r="J13" s="7" t="inlineStr">
        <s:is>
          <s:t>Self, second ministry</s:t>
        </s:is>
      </s:c>
      <s:c r="K13" s="7" t="inlineStr">
        <s:is>
          <s:t>P3</s:t>
        </s:is>
      </s:c>
      <s:c r="L13" s="8" t="inlineStr">
        <s:is>
          <s:t>S002; S013</s:t>
        </s:is>
      </s:c>
      <s:c r="M13" s="7" t="inlineStr">
        <s:is>
          <s:t>Boundary includes inter-ministry caretaker continuity; not the resignation date.</s:t>
        </s:is>
      </s:c>
      <s:c r="N13" s="7" t="inlineStr">
        <s:is>
          <s:t>Recorded fact</s:t>
        </s:is>
      </s:c>
      <s:c r="O13" s="7" t="inlineStr">
        <s:is>
          <s:t>Primary record</s:t>
        </s:is>
      </s:c>
      <s:c r="P13" s="7" t="inlineStr">
        <s:is>
          <s:t>P3-E02</s:t>
        </s:is>
      </s:c>
    </s:row>
    <s:row r="14" ht="48" customHeight="1">
      <s:c r="A14" s="5" t="inlineStr">
        <s:is>
          <s:t>O09</s:t>
        </s:is>
      </s:c>
      <s:c r="B14" s="5" t="inlineStr">
        <s:is>
          <s:t>Prime Minister — second term</s:t>
        </s:is>
      </s:c>
      <s:c r="C14" s="5" t="inlineStr">
        <s:is>
          <s:t>Executive</s:t>
        </s:is>
      </s:c>
      <s:c r="D14" s="5" t="inlineStr">
        <s:is>
          <s:t>Union Government</s:t>
        </s:is>
      </s:c>
      <s:c r="E14" s="14" t="n">
        <s:v>43615</s:v>
      </s:c>
      <s:c r="F14" s="14" t="n">
        <s:v>45452</s:v>
      </s:c>
      <s:c r="G14" s="5" t="inlineStr">
        <s:is>
          <s:t>Day; next oath as term boundary</s:t>
        </s:is>
      </s:c>
      <s:c r="H14" s="5" t="inlineStr">
        <s:is>
          <s:t>President appointment; Lok Sabha confidence</s:t>
        </s:is>
      </s:c>
      <s:c r="I14" s="5" t="inlineStr">
        <s:is>
          <s:t>Self, first ministry</s:t>
        </s:is>
      </s:c>
      <s:c r="J14" s="5" t="inlineStr">
        <s:is>
          <s:t>Self, third ministry</s:t>
        </s:is>
      </s:c>
      <s:c r="K14" s="5" t="inlineStr">
        <s:is>
          <s:t>P3</s:t>
        </s:is>
      </s:c>
      <s:c r="L14" s="6" t="inlineStr">
        <s:is>
          <s:t>S013; S012</s:t>
        </s:is>
      </s:c>
      <s:c r="M14" s="5" t="inlineStr">
        <s:is>
          <s:t>NDA government with BJP standalone majority; simultaneous Varanasi MP.</s:t>
        </s:is>
      </s:c>
      <s:c r="N14" s="5" t="inlineStr">
        <s:is>
          <s:t>Recorded fact</s:t>
        </s:is>
      </s:c>
      <s:c r="O14" s="5" t="inlineStr">
        <s:is>
          <s:t>Primary record</s:t>
        </s:is>
      </s:c>
      <s:c r="P14" s="5" t="inlineStr">
        <s:is>
          <s:t>P3-E02</s:t>
        </s:is>
      </s:c>
    </s:row>
    <s:row r="15" ht="48" customHeight="1">
      <s:c r="A15" s="7" t="inlineStr">
        <s:is>
          <s:t>O10</s:t>
        </s:is>
      </s:c>
      <s:c r="B15" s="7" t="inlineStr">
        <s:is>
          <s:t>Prime Minister — third term</s:t>
        </s:is>
      </s:c>
      <s:c r="C15" s="7" t="inlineStr">
        <s:is>
          <s:t>Executive</s:t>
        </s:is>
      </s:c>
      <s:c r="D15" s="7" t="inlineStr">
        <s:is>
          <s:t>Union Government</s:t>
        </s:is>
      </s:c>
      <s:c r="E15" s="15" t="n">
        <s:v>45452</s:v>
      </s:c>
      <s:c r="F15" s="7" t="inlineStr">
        <s:is>
          <s:t>Incumbent at research cutoff</s:t>
        </s:is>
      </s:c>
      <s:c r="G15" s="7" t="inlineStr">
        <s:is>
          <s:t>Day / ongoing</s:t>
        </s:is>
      </s:c>
      <s:c r="H15" s="7" t="inlineStr">
        <s:is>
          <s:t>President appointment; coalition confidence</s:t>
        </s:is>
      </s:c>
      <s:c r="I15" s="7" t="inlineStr">
        <s:is>
          <s:t>Self, second ministry</s:t>
        </s:is>
      </s:c>
      <s:c r="J15" s="7" t="inlineStr">
        <s:is>
          <s:t>Not applicable</s:t>
        </s:is>
      </s:c>
      <s:c r="K15" s="7" t="inlineStr">
        <s:is>
          <s:t>P4</s:t>
        </s:is>
      </s:c>
      <s:c r="L15" s="8" t="inlineStr">
        <s:is>
          <s:t>S012; S003</s:t>
        </s:is>
      </s:c>
      <s:c r="M15" s="7" t="inlineStr">
        <s:is>
          <s:t>2024 government formed through NDA majority; BJP short of standalone majority.</s:t>
        </s:is>
      </s:c>
      <s:c r="N15" s="7" t="inlineStr">
        <s:is>
          <s:t>Recorded fact</s:t>
        </s:is>
      </s:c>
      <s:c r="O15" s="7" t="inlineStr">
        <s:is>
          <s:t>Primary record</s:t>
        </s:is>
      </s:c>
      <s:c r="P15" s="7" t="inlineStr">
        <s:is>
          <s:t>P4-E02</s:t>
        </s:is>
      </s:c>
    </s:row>
    <s:row r="16" ht="48" customHeight="1">
      <s:c r="A16" s="5" t="inlineStr">
        <s:is>
          <s:t>O11</s:t>
        </s:is>
      </s:c>
      <s:c r="B16" s="5" t="inlineStr">
        <s:is>
          <s:t>Member of Parliament — 16th Lok Sabha</s:t>
        </s:is>
      </s:c>
      <s:c r="C16" s="5" t="inlineStr">
        <s:is>
          <s:t>Elected</s:t>
        </s:is>
      </s:c>
      <s:c r="D16" s="5" t="inlineStr">
        <s:is>
          <s:t>Lok Sabha: Varanasi</s:t>
        </s:is>
      </s:c>
      <s:c r="E16" s="5" t="inlineStr">
        <s:is>
          <s:t>2014</s:t>
        </s:is>
      </s:c>
      <s:c r="F16" s="5" t="inlineStr">
        <s:is>
          <s:t>2019</s:t>
        </s:is>
      </s:c>
      <s:c r="G16" s="5" t="inlineStr">
        <s:is>
          <s:t>Election years</s:t>
        </s:is>
      </s:c>
      <s:c r="H16" s="5" t="inlineStr">
        <s:is>
          <s:t>Direct election</s:t>
        </s:is>
      </s:c>
      <s:c r="I16" s="5" t="inlineStr">
        <s:is>
          <s:t>Not verified</s:t>
        </s:is>
      </s:c>
      <s:c r="J16" s="5" t="inlineStr">
        <s:is>
          <s:t>Self</s:t>
        </s:is>
      </s:c>
      <s:c r="K16" s="5" t="inlineStr">
        <s:is>
          <s:t>P3</s:t>
        </s:is>
      </s:c>
      <s:c r="L16" s="6" t="inlineStr">
        <s:is>
          <s:t>S007; S008</s:t>
        </s:is>
      </s:c>
      <s:c r="M16" s="5" t="inlineStr">
        <s:is>
          <s:t>Also won Vadodara and vacated it; no continuous Vadodara service implied.</s:t>
        </s:is>
      </s:c>
      <s:c r="N16" s="5" t="inlineStr">
        <s:is>
          <s:t>Recorded fact</s:t>
        </s:is>
      </s:c>
      <s:c r="O16" s="5" t="inlineStr">
        <s:is>
          <s:t>Primary record</s:t>
        </s:is>
      </s:c>
      <s:c r="P16" s="5" t="inlineStr">
        <s:is>
          <s:t>P3-E02</s:t>
        </s:is>
      </s:c>
    </s:row>
    <s:row r="17" ht="48" customHeight="1">
      <s:c r="A17" s="7" t="inlineStr">
        <s:is>
          <s:t>O12</s:t>
        </s:is>
      </s:c>
      <s:c r="B17" s="7" t="inlineStr">
        <s:is>
          <s:t>Member of Parliament — 17th Lok Sabha</s:t>
        </s:is>
      </s:c>
      <s:c r="C17" s="7" t="inlineStr">
        <s:is>
          <s:t>Elected</s:t>
        </s:is>
      </s:c>
      <s:c r="D17" s="7" t="inlineStr">
        <s:is>
          <s:t>Lok Sabha: Varanasi</s:t>
        </s:is>
      </s:c>
      <s:c r="E17" s="7" t="inlineStr">
        <s:is>
          <s:t>2019</s:t>
        </s:is>
      </s:c>
      <s:c r="F17" s="7" t="inlineStr">
        <s:is>
          <s:t>2024</s:t>
        </s:is>
      </s:c>
      <s:c r="G17" s="7" t="inlineStr">
        <s:is>
          <s:t>Election years</s:t>
        </s:is>
      </s:c>
      <s:c r="H17" s="7" t="inlineStr">
        <s:is>
          <s:t>Direct election</s:t>
        </s:is>
      </s:c>
      <s:c r="I17" s="7" t="inlineStr">
        <s:is>
          <s:t>Self</s:t>
        </s:is>
      </s:c>
      <s:c r="J17" s="7" t="inlineStr">
        <s:is>
          <s:t>Self</s:t>
        </s:is>
      </s:c>
      <s:c r="K17" s="7" t="inlineStr">
        <s:is>
          <s:t>P3</s:t>
        </s:is>
      </s:c>
      <s:c r="L17" s="8" t="inlineStr">
        <s:is>
          <s:t>S009</s:t>
        </s:is>
      </s:c>
      <s:c r="M17" s="7" t="inlineStr">
        <s:is>
          <s:t>Parliamentary office distinct from executive term.</s:t>
        </s:is>
      </s:c>
      <s:c r="N17" s="7" t="inlineStr">
        <s:is>
          <s:t>Recorded fact</s:t>
        </s:is>
      </s:c>
      <s:c r="O17" s="7" t="inlineStr">
        <s:is>
          <s:t>Single credible source</s:t>
        </s:is>
      </s:c>
      <s:c r="P17" s="7" t="inlineStr">
        <s:is>
          <s:t>P3-E02</s:t>
        </s:is>
      </s:c>
    </s:row>
    <s:row r="18" ht="48" customHeight="1">
      <s:c r="A18" s="5" t="inlineStr">
        <s:is>
          <s:t>O13</s:t>
        </s:is>
      </s:c>
      <s:c r="B18" s="5" t="inlineStr">
        <s:is>
          <s:t>Member of Parliament — 18th Lok Sabha</s:t>
        </s:is>
      </s:c>
      <s:c r="C18" s="5" t="inlineStr">
        <s:is>
          <s:t>Elected</s:t>
        </s:is>
      </s:c>
      <s:c r="D18" s="5" t="inlineStr">
        <s:is>
          <s:t>Lok Sabha: Varanasi</s:t>
        </s:is>
      </s:c>
      <s:c r="E18" s="5" t="inlineStr">
        <s:is>
          <s:t>2024</s:t>
        </s:is>
      </s:c>
      <s:c r="F18" s="5" t="inlineStr">
        <s:is>
          <s:t>Incumbent at research cutoff</s:t>
        </s:is>
      </s:c>
      <s:c r="G18" s="5" t="inlineStr">
        <s:is>
          <s:t>Election year / ongoing</s:t>
        </s:is>
      </s:c>
      <s:c r="H18" s="5" t="inlineStr">
        <s:is>
          <s:t>Direct election</s:t>
        </s:is>
      </s:c>
      <s:c r="I18" s="5" t="inlineStr">
        <s:is>
          <s:t>Self</s:t>
        </s:is>
      </s:c>
      <s:c r="J18" s="5" t="inlineStr">
        <s:is>
          <s:t>Not applicable</s:t>
        </s:is>
      </s:c>
      <s:c r="K18" s="5" t="inlineStr">
        <s:is>
          <s:t>P4</s:t>
        </s:is>
      </s:c>
      <s:c r="L18" s="6" t="inlineStr">
        <s:is>
          <s:t>S010; S003</s:t>
        </s:is>
      </s:c>
      <s:c r="M18" s="5" t="inlineStr">
        <s:is>
          <s:t>Exact oath date not used as term start.</s:t>
        </s:is>
      </s:c>
      <s:c r="N18" s="5" t="inlineStr">
        <s:is>
          <s:t>Recorded fact</s:t>
        </s:is>
      </s:c>
      <s:c r="O18" s="5" t="inlineStr">
        <s:is>
          <s:t>Primary record</s:t>
        </s:is>
      </s:c>
      <s:c r="P18" s="5" t="inlineStr">
        <s:is>
          <s:t>P4-E02</s:t>
        </s:is>
      </s:c>
    </s:row>
  </s:sheetData>
  <s:autoFilter ref="A5:P18"/>
  <s:mergeCells count="2">
    <s:mergeCell ref="A2:F2"/>
    <s:mergeCell ref="A1:F1"/>
  </s:mergeCells>
  <s:hyperlinks>
    <s:hyperlink ref="A3" r:id="rId1"/>
    <s:hyperlink ref="L6" r:id="rId2"/>
    <s:hyperlink ref="L7" r:id="rId3"/>
    <s:hyperlink ref="L8" r:id="rId4"/>
    <s:hyperlink ref="L9" r:id="rId5"/>
    <s:hyperlink ref="L10" r:id="rId6"/>
    <s:hyperlink ref="L11" r:id="rId7"/>
    <s:hyperlink ref="L12" r:id="rId8"/>
    <s:hyperlink ref="L13" r:id="rId9"/>
    <s:hyperlink ref="L14" r:id="rId10"/>
    <s:hyperlink ref="L15" r:id="rId11"/>
    <s:hyperlink ref="L16" r:id="rId12"/>
    <s:hyperlink ref="L17" r:id="rId13"/>
    <s:hyperlink ref="L18" r:id="rId14"/>
  </s:hyperlinks>
  <s:printOptions horizontalCentered="0"/>
  <s:pageMargins left="0.75" right="0.75" top="1" bottom="1" header="0.5" footer="0.5"/>
  <s:pageSetup orientation="landscape" paperSize="8" fitToHeight="0" fitToWidth="3"/>
  <s:headerFooter>
    <s:oddHeader/>
    <s:oddFooter>&amp;C&amp;8 Narendra Modi research | 24 Sep 2026 | Page &amp;P of &amp;N</s:oddFooter>
    <s:evenHeader/>
    <s:evenFooter/>
    <s:firstHeader/>
    <s:firstFooter/>
  </s:headerFooter>
  <s:tableParts count="1">
    <s:tablePart r:id="rId15"/>
  </s:tableParts>
</s:worksheet>
</file>

<file path=xl/worksheets/sheet6.xml><?xml version="1.0" encoding="utf-8"?>
<s:worksheet xmlns:r="http://schemas.openxmlformats.org/officeDocument/2006/relationships" xmlns:s="http://schemas.openxmlformats.org/spreadsheetml/2006/main">
  <s:sheetPr>
    <s:tabColor rgb="0017324D"/>
    <s:outlinePr summaryBelow="1" summaryRight="0"/>
    <s:pageSetUpPr fitToPage="1"/>
  </s:sheetPr>
  <s:dimension ref="A1:R40"/>
  <s:sheetViews>
    <s:sheetView showGridLines="0" zoomScale="85" workbookViewId="0">
      <s:pane xSplit="2" ySplit="5" topLeftCell="C6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13" customWidth="1" min="1" max="1"/>
    <s:col width="29" customWidth="1" min="2" max="2"/>
    <s:col width="29" customWidth="1" min="3" max="3"/>
    <s:col width="29" customWidth="1" min="4" max="4"/>
    <s:col width="29" customWidth="1" min="5" max="5"/>
    <s:col width="29" customWidth="1" min="6" max="6"/>
    <s:col width="29" customWidth="1" min="7" max="7"/>
    <s:col width="29" customWidth="1" min="8" max="8"/>
    <s:col width="29" customWidth="1" min="9" max="9"/>
    <s:col width="48" customWidth="1" min="10" max="10"/>
    <s:col width="48" customWidth="1" min="11" max="11"/>
    <s:col width="48" customWidth="1" min="12" max="12"/>
    <s:col width="16" customWidth="1" min="13" max="13"/>
    <s:col width="13" customWidth="1" min="14" max="14"/>
    <s:col width="29" customWidth="1" min="15" max="15"/>
    <s:col width="22" customWidth="1" min="16" max="16"/>
    <s:col width="48" customWidth="1" min="17" max="17"/>
    <s:col width="29" customWidth="1" min="18" max="18"/>
  </s:cols>
  <s:sheetData>
    <s:row r="1" ht="36" customHeight="1">
      <s:c r="A1" s="1" t="inlineStr">
        <s:is>
          <s:t>NARENDRA MODI  |  POLICY &amp; GOVERNANCE</s:t>
        </s:is>
      </s:c>
    </s:row>
    <s:row r="2" ht="24" customHeight="1">
      <s:c r="A2" s="2" t="inlineStr">
        <s:is>
          <s:t>As of 24 Sep 2026  •  Source IDs link to the source register  •  Scroll right for evidence notes</s:t>
        </s:is>
      </s:c>
    </s:row>
    <s:row r="3">
      <s:c r="A3" s="3" t="inlineStr">
        <s:is>
          <s:t>CONTENTS</s:t>
        </s:is>
      </s:c>
    </s:row>
    <s:row r="5" ht="34" customHeight="1">
      <s:c r="A5" s="4" t="inlineStr">
        <s:is>
          <s:t>Record ID</s:t>
        </s:is>
      </s:c>
      <s:c r="B5" s="4" t="inlineStr">
        <s:is>
          <s:t>Domain</s:t>
        </s:is>
      </s:c>
      <s:c r="C5" s="4" t="inlineStr">
        <s:is>
          <s:t>Initiative / decision</s:t>
        </s:is>
      </s:c>
      <s:c r="D5" s="4" t="inlineStr">
        <s:is>
          <s:t>Period</s:t>
        </s:is>
      </s:c>
      <s:c r="E5" s="4" t="inlineStr">
        <s:is>
          <s:t>Modi’s documented role</s:t>
        </s:is>
      </s:c>
      <s:c r="F5" s="4" t="inlineStr">
        <s:is>
          <s:t>Stated objective</s:t>
        </s:is>
      </s:c>
      <s:c r="G5" s="4" t="inlineStr">
        <s:is>
          <s:t>Mechanism</s:t>
        </s:is>
      </s:c>
      <s:c r="H5" s="4" t="inlineStr">
        <s:is>
          <s:t>Adoption / current status</s:t>
        </s:is>
      </s:c>
      <s:c r="I5" s="4" t="inlineStr">
        <s:is>
          <s:t>Outputs</s:t>
        </s:is>
      </s:c>
      <s:c r="J5" s="4" t="inlineStr">
        <s:is>
          <s:t>Outcomes / evidence</s:t>
        </s:is>
      </s:c>
      <s:c r="K5" s="4" t="inlineStr">
        <s:is>
          <s:t>Attribution assessment</s:t>
        </s:is>
      </s:c>
      <s:c r="L5" s="4" t="inlineStr">
        <s:is>
          <s:t>Tradeoffs / limitations</s:t>
        </s:is>
      </s:c>
      <s:c r="M5" s="4" t="inlineStr">
        <s:is>
          <s:t>Career phase</s:t>
        </s:is>
      </s:c>
      <s:c r="N5" s="4" t="inlineStr">
        <s:is>
          <s:t>Context ID</s:t>
        </s:is>
      </s:c>
      <s:c r="O5" s="4" t="inlineStr">
        <s:is>
          <s:t>Claim type</s:t>
        </s:is>
      </s:c>
      <s:c r="P5" s="4" t="inlineStr">
        <s:is>
          <s:t>Source IDs</s:t>
        </s:is>
      </s:c>
      <s:c r="Q5" s="4" t="inlineStr">
        <s:is>
          <s:t>Research note</s:t>
        </s:is>
      </s:c>
      <s:c r="R5" s="4" t="inlineStr">
        <s:is>
          <s:t>Corroboration</s:t>
        </s:is>
      </s:c>
    </s:row>
    <s:row r="6" ht="64" customHeight="1">
      <s:c r="A6" s="5" t="inlineStr">
        <s:is>
          <s:t>P01</s:t>
        </s:is>
      </s:c>
      <s:c r="B6" s="5" t="inlineStr">
        <s:is>
          <s:t>Electricity / irrigation</s:t>
        </s:is>
      </s:c>
      <s:c r="C6" s="5" t="inlineStr">
        <s:is>
          <s:t>Jyotigram Yojana</s:t>
        </s:is>
      </s:c>
      <s:c r="D6" s="5" t="inlineStr">
        <s:is>
          <s:t>2003 onward</s:t>
        </s:is>
      </s:c>
      <s:c r="E6" s="5" t="inlineStr">
        <s:is>
          <s:t>Led state government</s:t>
        </s:is>
      </s:c>
      <s:c r="F6" s="5" t="inlineStr">
        <s:is>
          <s:t>Improve rural electricity reliability</s:t>
        </s:is>
      </s:c>
      <s:c r="G6" s="5" t="inlineStr">
        <s:is>
          <s:t>Separate farm and non-farm feeders; ration farm power</s:t>
        </s:is>
      </s:c>
      <s:c r="H6" s="5" t="inlineStr">
        <s:is>
          <s:t>Implemented</s:t>
        </s:is>
      </s:c>
      <s:c r="I6" s="5" t="inlineStr">
        <s:is>
          <s:t>IWMI describes statewide reform and replication</s:t>
        </s:is>
      </s:c>
      <s:c r="J6" s="5" t="inlineStr">
        <s:is>
          <s:t>More reliable non-farm supply; distributional impacts need separate study</s:t>
        </s:is>
      </s:c>
      <s:c r="K6" s="5" t="inlineStr">
        <s:is>
          <s:t>State utilities and IWMI research contributed</s:t>
        </s:is>
      </s:c>
      <s:c r="L6" s="5" t="inlineStr">
        <s:is>
          <s:t>Farm power rationing can affect water access</s:t>
        </s:is>
      </s:c>
      <s:c r="M6" s="5" t="inlineStr">
        <s:is>
          <s:t>P2</s:t>
        </s:is>
      </s:c>
      <s:c r="N6" s="5" t="inlineStr">
        <s:is>
          <s:t>P2-E04</s:t>
        </s:is>
      </s:c>
      <s:c r="O6" s="5" t="inlineStr">
        <s:is>
          <s:t>Analysis</s:t>
        </s:is>
      </s:c>
      <s:c r="P6" s="6" t="inlineStr">
        <s:is>
          <s:t>S018</s:t>
        </s:is>
      </s:c>
      <s:c r="Q6" s="5" t="inlineStr">
        <s:is>
          <s:t>Outcome evaluation is limited to the evidence described.</s:t>
        </s:is>
      </s:c>
      <s:c r="R6" s="5" t="inlineStr">
        <s:is>
          <s:t>Single credible source</s:t>
        </s:is>
      </s:c>
    </s:row>
    <s:row r="7" ht="48" customHeight="1">
      <s:c r="A7" s="7" t="inlineStr">
        <s:is>
          <s:t>P02</s:t>
        </s:is>
      </s:c>
      <s:c r="B7" s="7" t="inlineStr">
        <s:is>
          <s:t>Industrial development</s:t>
        </s:is>
      </s:c>
      <s:c r="C7" s="7" t="inlineStr">
        <s:is>
          <s:t>Gujarat investment model</s:t>
        </s:is>
      </s:c>
      <s:c r="D7" s="7" t="inlineStr">
        <s:is>
          <s:t>2001–2014</s:t>
        </s:is>
      </s:c>
      <s:c r="E7" s="7" t="inlineStr">
        <s:is>
          <s:t>Led</s:t>
        </s:is>
      </s:c>
      <s:c r="F7" s="7" t="inlineStr">
        <s:is>
          <s:t>Attract investment and growth</s:t>
        </s:is>
      </s:c>
      <s:c r="G7" s="7" t="inlineStr">
        <s:is>
          <s:t>Executive facilitation and infrastructure emphasis</s:t>
        </s:is>
      </s:c>
      <s:c r="H7" s="7" t="inlineStr">
        <s:is>
          <s:t>Implemented</s:t>
        </s:is>
      </s:c>
      <s:c r="I7" s="7" t="inlineStr">
        <s:is>
          <s:t>Industrial growth and investment promotion</s:t>
        </s:is>
      </s:c>
      <s:c r="J7" s="7" t="inlineStr">
        <s:is>
          <s:t>Independent assessments distinguish income growth from weaker social conversion</s:t>
        </s:is>
      </s:c>
      <s:c r="K7" s="7" t="inlineStr">
        <s:is>
          <s:t>Inherited commercial base and national trends matter</s:t>
        </s:is>
      </s:c>
      <s:c r="L7" s="7" t="inlineStr">
        <s:is>
          <s:t>Capital intensity can limit job creation</s:t>
        </s:is>
      </s:c>
      <s:c r="M7" s="7" t="inlineStr">
        <s:is>
          <s:t>P2</s:t>
        </s:is>
      </s:c>
      <s:c r="N7" s="7" t="inlineStr">
        <s:is>
          <s:t>P2-E04</s:t>
        </s:is>
      </s:c>
      <s:c r="O7" s="7" t="inlineStr">
        <s:is>
          <s:t>Analysis</s:t>
        </s:is>
      </s:c>
      <s:c r="P7" s="8" t="inlineStr">
        <s:is>
          <s:t>S016; S017</s:t>
        </s:is>
      </s:c>
      <s:c r="Q7" s="7" t="inlineStr">
        <s:is>
          <s:t>Outcome evaluation is limited to the evidence described.</s:t>
        </s:is>
      </s:c>
      <s:c r="R7" s="7" t="inlineStr">
        <s:is>
          <s:t>Single credible source</s:t>
        </s:is>
      </s:c>
    </s:row>
    <s:row r="8" ht="48" customHeight="1">
      <s:c r="A8" s="5" t="inlineStr">
        <s:is>
          <s:t>P03</s:t>
        </s:is>
      </s:c>
      <s:c r="B8" s="5" t="inlineStr">
        <s:is>
          <s:t>Financial inclusion</s:t>
        </s:is>
      </s:c>
      <s:c r="C8" s="5" t="inlineStr">
        <s:is>
          <s:t>Jan Dhan</s:t>
        </s:is>
      </s:c>
      <s:c r="D8" s="5" t="inlineStr">
        <s:is>
          <s:t>2014 onward</s:t>
        </s:is>
      </s:c>
      <s:c r="E8" s="5" t="inlineStr">
        <s:is>
          <s:t>Initiated / led launch</s:t>
        </s:is>
      </s:c>
      <s:c r="F8" s="5" t="inlineStr">
        <s:is>
          <s:t>Broaden access to formal finance</s:t>
        </s:is>
      </s:c>
      <s:c r="G8" s="5" t="inlineStr">
        <s:is>
          <s:t>Basic accounts and associated financial services</s:t>
        </s:is>
      </s:c>
      <s:c r="H8" s="5" t="inlineStr">
        <s:is>
          <s:t>Launched 28 August 2014</s:t>
        </s:is>
      </s:c>
      <s:c r="I8" s="5" t="inlineStr">
        <s:is>
          <s:t>Bank-account infrastructure expanded</s:t>
        </s:is>
      </s:c>
      <s:c r="J8" s="5" t="inlineStr">
        <s:is>
          <s:t>Active use, balances and financial resilience need separate measurement</s:t>
        </s:is>
      </s:c>
      <s:c r="K8" s="5" t="inlineStr">
        <s:is>
          <s:t>Banks and earlier inclusion policy are essential contributors</s:t>
        </s:is>
      </s:c>
      <s:c r="L8" s="5" t="inlineStr">
        <s:is>
          <s:t>Opening accounts does not eliminate exclusion</s:t>
        </s:is>
      </s:c>
      <s:c r="M8" s="5" t="inlineStr">
        <s:is>
          <s:t>P3</s:t>
        </s:is>
      </s:c>
      <s:c r="N8" s="5" t="inlineStr">
        <s:is>
          <s:t>P3-E04</s:t>
        </s:is>
      </s:c>
      <s:c r="O8" s="5" t="inlineStr">
        <s:is>
          <s:t>Analysis</s:t>
        </s:is>
      </s:c>
      <s:c r="P8" s="6" t="inlineStr">
        <s:is>
          <s:t>S022</s:t>
        </s:is>
      </s:c>
      <s:c r="Q8" s="5" t="inlineStr">
        <s:is>
          <s:t>Outcome evaluation is limited to the evidence described.</s:t>
        </s:is>
      </s:c>
      <s:c r="R8" s="5" t="inlineStr">
        <s:is>
          <s:t>Primary record</s:t>
        </s:is>
      </s:c>
    </s:row>
    <s:row r="9" ht="64" customHeight="1">
      <s:c r="A9" s="7" t="inlineStr">
        <s:is>
          <s:t>P04</s:t>
        </s:is>
      </s:c>
      <s:c r="B9" s="7" t="inlineStr">
        <s:is>
          <s:t>Digital payments</s:t>
        </s:is>
      </s:c>
      <s:c r="C9" s="7" t="inlineStr">
        <s:is>
          <s:t>UPI</s:t>
        </s:is>
      </s:c>
      <s:c r="D9" s="7" t="inlineStr">
        <s:is>
          <s:t>2016 onward</s:t>
        </s:is>
      </s:c>
      <s:c r="E9" s="7" t="inlineStr">
        <s:is>
          <s:t>Associated / promoted</s:t>
        </s:is>
      </s:c>
      <s:c r="F9" s="7" t="inlineStr">
        <s:is>
          <s:t>Enable interoperable instant payments</s:t>
        </s:is>
      </s:c>
      <s:c r="G9" s="7" t="inlineStr">
        <s:is>
          <s:t>NPCI infrastructure linking banks and payment providers</s:t>
        </s:is>
      </s:c>
      <s:c r="H9" s="7" t="inlineStr">
        <s:is>
          <s:t>Operational</s:t>
        </s:is>
      </s:c>
      <s:c r="I9" s="7" t="inlineStr">
        <s:is>
          <s:t>10.35 million transactions reported in June 2017</s:t>
        </s:is>
      </s:c>
      <s:c r="J9" s="7" t="inlineStr">
        <s:is>
          <s:t>Evidence here documents early adoption only</s:t>
        </s:is>
      </s:c>
      <s:c r="K9" s="7" t="inlineStr">
        <s:is>
          <s:t>NPCI, RBI, banks and private firms designed and operated the system</s:t>
        </s:is>
      </s:c>
      <s:c r="L9" s="7" t="inlineStr">
        <s:is>
          <s:t>Do not attribute invention to the prime minister</s:t>
        </s:is>
      </s:c>
      <s:c r="M9" s="7" t="inlineStr">
        <s:is>
          <s:t>P3</s:t>
        </s:is>
      </s:c>
      <s:c r="N9" s="7" t="inlineStr">
        <s:is>
          <s:t>P3-E04</s:t>
        </s:is>
      </s:c>
      <s:c r="O9" s="7" t="inlineStr">
        <s:is>
          <s:t>Analysis</s:t>
        </s:is>
      </s:c>
      <s:c r="P9" s="8" t="inlineStr">
        <s:is>
          <s:t>S023</s:t>
        </s:is>
      </s:c>
      <s:c r="Q9" s="7" t="inlineStr">
        <s:is>
          <s:t>Outcome evaluation is limited to the evidence described.</s:t>
        </s:is>
      </s:c>
      <s:c r="R9" s="7" t="inlineStr">
        <s:is>
          <s:t>Primary record</s:t>
        </s:is>
      </s:c>
    </s:row>
    <s:row r="10" ht="48" customHeight="1">
      <s:c r="A10" s="5" t="inlineStr">
        <s:is>
          <s:t>P05</s:t>
        </s:is>
      </s:c>
      <s:c r="B10" s="5" t="inlineStr">
        <s:is>
          <s:t>Sanitation</s:t>
        </s:is>
      </s:c>
      <s:c r="C10" s="5" t="inlineStr">
        <s:is>
          <s:t>Swachh Bharat Mission</s:t>
        </s:is>
      </s:c>
      <s:c r="D10" s="5" t="inlineStr">
        <s:is>
          <s:t>2014 onward</s:t>
        </s:is>
      </s:c>
      <s:c r="E10" s="5" t="inlineStr">
        <s:is>
          <s:t>Led national mission</s:t>
        </s:is>
      </s:c>
      <s:c r="F10" s="5" t="inlineStr">
        <s:is>
          <s:t>Reduce open defecation and improve sanitation</s:t>
        </s:is>
      </s:c>
      <s:c r="G10" s="5" t="inlineStr">
        <s:is>
          <s:t>Toilet construction and behaviour-change efforts</s:t>
        </s:is>
      </s:c>
      <s:c r="H10" s="5" t="inlineStr">
        <s:is>
          <s:t>Implemented</s:t>
        </s:is>
      </s:c>
      <s:c r="I10" s="5" t="inlineStr">
        <s:is>
          <s:t>Research records large-scale toilet construction</s:t>
        </s:is>
      </s:c>
      <s:c r="J10" s="5" t="inlineStr">
        <s:is>
          <s:t>2024 study reports an association with lower child mortality</s:t>
        </s:is>
      </s:c>
      <s:c r="K10" s="5" t="inlineStr">
        <s:is>
          <s:t>Multi-actor delivery; quasi-experimental design has assumptions</s:t>
        </s:is>
      </s:c>
      <s:c r="L10" s="5" t="inlineStr">
        <s:is>
          <s:t>Construction does not guarantee use or sustained sanitation</s:t>
        </s:is>
      </s:c>
      <s:c r="M10" s="5" t="inlineStr">
        <s:is>
          <s:t>P3</s:t>
        </s:is>
      </s:c>
      <s:c r="N10" s="5" t="inlineStr">
        <s:is>
          <s:t>P3-E04</s:t>
        </s:is>
      </s:c>
      <s:c r="O10" s="5" t="inlineStr">
        <s:is>
          <s:t>Analysis</s:t>
        </s:is>
      </s:c>
      <s:c r="P10" s="6" t="inlineStr">
        <s:is>
          <s:t>S026</s:t>
        </s:is>
      </s:c>
      <s:c r="Q10" s="5" t="inlineStr">
        <s:is>
          <s:t>Outcome evaluation is limited to the evidence described.</s:t>
        </s:is>
      </s:c>
      <s:c r="R10" s="5" t="inlineStr">
        <s:is>
          <s:t>Single credible source</s:t>
        </s:is>
      </s:c>
    </s:row>
    <s:row r="11" ht="48" customHeight="1">
      <s:c r="A11" s="7" t="inlineStr">
        <s:is>
          <s:t>P06</s:t>
        </s:is>
      </s:c>
      <s:c r="B11" s="7" t="inlineStr">
        <s:is>
          <s:t>Household energy</s:t>
        </s:is>
      </s:c>
      <s:c r="C11" s="7" t="inlineStr">
        <s:is>
          <s:t>Ujjwala LPG access</s:t>
        </s:is>
      </s:c>
      <s:c r="D11" s="7" t="inlineStr">
        <s:is>
          <s:t>2016 onward</s:t>
        </s:is>
      </s:c>
      <s:c r="E11" s="7" t="inlineStr">
        <s:is>
          <s:t>Initiated / led launch</s:t>
        </s:is>
      </s:c>
      <s:c r="F11" s="7" t="inlineStr">
        <s:is>
          <s:t>Increase access to cleaner cooking</s:t>
        </s:is>
      </s:c>
      <s:c r="G11" s="7" t="inlineStr">
        <s:is>
          <s:t>Connections targeted to women in poor households</s:t>
        </s:is>
      </s:c>
      <s:c r="H11" s="7" t="inlineStr">
        <s:is>
          <s:t>Launched 1 May 2016</s:t>
        </s:is>
      </s:c>
      <s:c r="I11" s="7" t="inlineStr">
        <s:is>
          <s:t>Connections delivered</s:t>
        </s:is>
      </s:c>
      <s:c r="J11" s="7" t="inlineStr">
        <s:is>
          <s:t>CAG found average 3.21 annual refills in its specified 2018 cohort</s:t>
        </s:is>
      </s:c>
      <s:c r="K11" s="7" t="inlineStr">
        <s:is>
          <s:t>Oil companies, subsidies and household budgets affect use</s:t>
        </s:is>
      </s:c>
      <s:c r="L11" s="7" t="inlineStr">
        <s:is>
          <s:t>Fuel affordability limits sustained switching</s:t>
        </s:is>
      </s:c>
      <s:c r="M11" s="7" t="inlineStr">
        <s:is>
          <s:t>P3</s:t>
        </s:is>
      </s:c>
      <s:c r="N11" s="7" t="inlineStr">
        <s:is>
          <s:t>P3-E04</s:t>
        </s:is>
      </s:c>
      <s:c r="O11" s="7" t="inlineStr">
        <s:is>
          <s:t>Analysis</s:t>
        </s:is>
      </s:c>
      <s:c r="P11" s="8" t="inlineStr">
        <s:is>
          <s:t>S024; S025</s:t>
        </s:is>
      </s:c>
      <s:c r="Q11" s="7" t="inlineStr">
        <s:is>
          <s:t>Outcome evaluation is limited to the evidence described.</s:t>
        </s:is>
      </s:c>
      <s:c r="R11" s="7" t="inlineStr">
        <s:is>
          <s:t>Primary record</s:t>
        </s:is>
      </s:c>
    </s:row>
    <s:row r="12" ht="64" customHeight="1">
      <s:c r="A12" s="5" t="inlineStr">
        <s:is>
          <s:t>P07</s:t>
        </s:is>
      </s:c>
      <s:c r="B12" s="5" t="inlineStr">
        <s:is>
          <s:t>Monetary / informal economy</s:t>
        </s:is>
      </s:c>
      <s:c r="C12" s="5" t="inlineStr">
        <s:is>
          <s:t>Demonetization</s:t>
        </s:is>
      </s:c>
      <s:c r="D12" s="5" t="inlineStr">
        <s:is>
          <s:t>November 2016</s:t>
        </s:is>
      </s:c>
      <s:c r="E12" s="5" t="inlineStr">
        <s:is>
          <s:t>Led / announced</s:t>
        </s:is>
      </s:c>
      <s:c r="F12" s="5" t="inlineStr">
        <s:is>
          <s:t>Combat illicit cash and encourage formalization</s:t>
        </s:is>
      </s:c>
      <s:c r="G12" s="5" t="inlineStr">
        <s:is>
          <s:t>Sudden withdrawal of large-denomination legal tender</s:t>
        </s:is>
      </s:c>
      <s:c r="H12" s="5" t="inlineStr">
        <s:is>
          <s:t>Implemented</s:t>
        </s:is>
      </s:c>
      <s:c r="I12" s="5" t="inlineStr">
        <s:is>
          <s:t>Large cash-supply disruption</s:t>
        </s:is>
      </s:c>
      <s:c r="J12" s="5" t="inlineStr">
        <s:is>
          <s:t>Research finds short-run employment and activity losses, plus payment substitution</s:t>
        </s:is>
      </s:c>
      <s:c r="K12" s="5" t="inlineStr">
        <s:is>
          <s:t>District variation informs causal estimates, not a single full national welfare balance</s:t>
        </s:is>
      </s:c>
      <s:c r="L12" s="5" t="inlineStr">
        <s:is>
          <s:t>High exposure of cash-dependent firms and workers</s:t>
        </s:is>
      </s:c>
      <s:c r="M12" s="5" t="inlineStr">
        <s:is>
          <s:t>P3</s:t>
        </s:is>
      </s:c>
      <s:c r="N12" s="5" t="inlineStr">
        <s:is>
          <s:t>P3-E04</s:t>
        </s:is>
      </s:c>
      <s:c r="O12" s="5" t="inlineStr">
        <s:is>
          <s:t>Analysis</s:t>
        </s:is>
      </s:c>
      <s:c r="P12" s="6" t="inlineStr">
        <s:is>
          <s:t>S027</s:t>
        </s:is>
      </s:c>
      <s:c r="Q12" s="5" t="inlineStr">
        <s:is>
          <s:t>Outcome evaluation is limited to the evidence described.</s:t>
        </s:is>
      </s:c>
      <s:c r="R12" s="5" t="inlineStr">
        <s:is>
          <s:t>Single credible source</s:t>
        </s:is>
      </s:c>
    </s:row>
    <s:row r="13" ht="64" customHeight="1">
      <s:c r="A13" s="7" t="inlineStr">
        <s:is>
          <s:t>P08</s:t>
        </s:is>
      </s:c>
      <s:c r="B13" s="7" t="inlineStr">
        <s:is>
          <s:t>Tax / federalism</s:t>
        </s:is>
      </s:c>
      <s:c r="C13" s="7" t="inlineStr">
        <s:is>
          <s:t>Goods and Services Tax</s:t>
        </s:is>
      </s:c>
      <s:c r="D13" s="7" t="inlineStr">
        <s:is>
          <s:t>2017 onward</s:t>
        </s:is>
      </s:c>
      <s:c r="E13" s="7" t="inlineStr">
        <s:is>
          <s:t>Led Union adoption</s:t>
        </s:is>
      </s:c>
      <s:c r="F13" s="7" t="inlineStr">
        <s:is>
          <s:t>Harmonize indirect taxation</s:t>
        </s:is>
      </s:c>
      <s:c r="G13" s="7" t="inlineStr">
        <s:is>
          <s:t>Constitutional and statutory reform; joint GST Council</s:t>
        </s:is>
      </s:c>
      <s:c r="H13" s="7" t="inlineStr">
        <s:is>
          <s:t>Implemented July 2017</s:t>
        </s:is>
      </s:c>
      <s:c r="I13" s="7" t="inlineStr">
        <s:is>
          <s:t>Common framework with Centre–state administration</s:t>
        </s:is>
      </s:c>
      <s:c r="J13" s="7" t="inlineStr">
        <s:is>
          <s:t>Long-run compliance and revenue effects require evaluation</s:t>
        </s:is>
      </s:c>
      <s:c r="K13" s="7" t="inlineStr">
        <s:is>
          <s:t>Inherited reform agenda; Parliament and states were indispensable</s:t>
        </s:is>
      </s:c>
      <s:c r="L13" s="7" t="inlineStr">
        <s:is>
          <s:t>Compliance burden and revenue-sharing tradeoffs</s:t>
        </s:is>
      </s:c>
      <s:c r="M13" s="7" t="inlineStr">
        <s:is>
          <s:t>P3</s:t>
        </s:is>
      </s:c>
      <s:c r="N13" s="7" t="inlineStr">
        <s:is>
          <s:t>P3-E04</s:t>
        </s:is>
      </s:c>
      <s:c r="O13" s="7" t="inlineStr">
        <s:is>
          <s:t>Analysis</s:t>
        </s:is>
      </s:c>
      <s:c r="P13" s="8" t="inlineStr">
        <s:is>
          <s:t>S028</s:t>
        </s:is>
      </s:c>
      <s:c r="Q13" s="7" t="inlineStr">
        <s:is>
          <s:t>Outcome evaluation is limited to the evidence described.</s:t>
        </s:is>
      </s:c>
      <s:c r="R13" s="7" t="inlineStr">
        <s:is>
          <s:t>Primary record</s:t>
        </s:is>
      </s:c>
    </s:row>
    <s:row r="14" ht="48" customHeight="1">
      <s:c r="A14" s="5" t="inlineStr">
        <s:is>
          <s:t>P09</s:t>
        </s:is>
      </s:c>
      <s:c r="B14" s="5" t="inlineStr">
        <s:is>
          <s:t>Institutions</s:t>
        </s:is>
      </s:c>
      <s:c r="C14" s="5" t="inlineStr">
        <s:is>
          <s:t>NITI Aayog</s:t>
        </s:is>
      </s:c>
      <s:c r="D14" s="5" t="inlineStr">
        <s:is>
          <s:t>2015 onward</s:t>
        </s:is>
      </s:c>
      <s:c r="E14" s="5" t="inlineStr">
        <s:is>
          <s:t>Approved / chaired</s:t>
        </s:is>
      </s:c>
      <s:c r="F14" s="5" t="inlineStr">
        <s:is>
          <s:t>Provide strategy and policy coordination</s:t>
        </s:is>
      </s:c>
      <s:c r="G14" s="5" t="inlineStr">
        <s:is>
          <s:t>Cabinet-created policy institution</s:t>
        </s:is>
      </s:c>
      <s:c r="H14" s="5" t="inlineStr">
        <s:is>
          <s:t>Constituted 1 January 2015</s:t>
        </s:is>
      </s:c>
      <s:c r="I14" s="5" t="inlineStr">
        <s:is>
          <s:t>Institutional replacement of planning architecture</s:t>
        </s:is>
      </s:c>
      <s:c r="J14" s="5" t="inlineStr">
        <s:is>
          <s:t>Official mandate emphasizes cooperative federalism</s:t>
        </s:is>
      </s:c>
      <s:c r="K14" s="5" t="inlineStr">
        <s:is>
          <s:t>Institutional design is documented; effectiveness not inferred</s:t>
        </s:is>
      </s:c>
      <s:c r="L14" s="5" t="inlineStr">
        <s:is>
          <s:t>Consultation mechanisms do not guarantee equal influence</s:t>
        </s:is>
      </s:c>
      <s:c r="M14" s="5" t="inlineStr">
        <s:is>
          <s:t>P3</s:t>
        </s:is>
      </s:c>
      <s:c r="N14" s="5" t="inlineStr">
        <s:is>
          <s:t>P3-E04</s:t>
        </s:is>
      </s:c>
      <s:c r="O14" s="5" t="inlineStr">
        <s:is>
          <s:t>Analysis</s:t>
        </s:is>
      </s:c>
      <s:c r="P14" s="6" t="inlineStr">
        <s:is>
          <s:t>S031</s:t>
        </s:is>
      </s:c>
      <s:c r="Q14" s="5" t="inlineStr">
        <s:is>
          <s:t>Outcome evaluation is limited to the evidence described.</s:t>
        </s:is>
      </s:c>
      <s:c r="R14" s="5" t="inlineStr">
        <s:is>
          <s:t>Primary record</s:t>
        </s:is>
      </s:c>
    </s:row>
    <s:row r="15" ht="48" customHeight="1">
      <s:c r="A15" s="7" t="inlineStr">
        <s:is>
          <s:t>P10</s:t>
        </s:is>
      </s:c>
      <s:c r="B15" s="7" t="inlineStr">
        <s:is>
          <s:t>Agriculture / transfers</s:t>
        </s:is>
      </s:c>
      <s:c r="C15" s="7" t="inlineStr">
        <s:is>
          <s:t>PM-KISAN</s:t>
        </s:is>
      </s:c>
      <s:c r="D15" s="7" t="inlineStr">
        <s:is>
          <s:t>2019 onward</s:t>
        </s:is>
      </s:c>
      <s:c r="E15" s="7" t="inlineStr">
        <s:is>
          <s:t>Led / launched</s:t>
        </s:is>
      </s:c>
      <s:c r="F15" s="7" t="inlineStr">
        <s:is>
          <s:t>Supplement eligible farmer-household income</s:t>
        </s:is>
      </s:c>
      <s:c r="G15" s="7" t="inlineStr">
        <s:is>
          <s:t>Direct payment; initial annual entitlement Rs 6,000</s:t>
        </s:is>
      </s:c>
      <s:c r="H15" s="7" t="inlineStr">
        <s:is>
          <s:t>Launched 24 February 2019</s:t>
        </s:is>
      </s:c>
      <s:c r="I15" s="7" t="inlineStr">
        <s:is>
          <s:t>Transfer mechanism operational</s:t>
        </s:is>
      </s:c>
      <s:c r="J15" s="7" t="inlineStr">
        <s:is>
          <s:t>Income support; net farm-income effect not quantified here</s:t>
        </s:is>
      </s:c>
      <s:c r="K15" s="7" t="inlineStr">
        <s:is>
          <s:t>States identify beneficiaries; land records shape eligibility</s:t>
        </s:is>
      </s:c>
      <s:c r="L15" s="7" t="inlineStr">
        <s:is>
          <s:t>Tenants and landless workers face different access conditions</s:t>
        </s:is>
      </s:c>
      <s:c r="M15" s="7" t="inlineStr">
        <s:is>
          <s:t>P3</s:t>
        </s:is>
      </s:c>
      <s:c r="N15" s="7" t="inlineStr">
        <s:is>
          <s:t>P3-E04</s:t>
        </s:is>
      </s:c>
      <s:c r="O15" s="7" t="inlineStr">
        <s:is>
          <s:t>Analysis</s:t>
        </s:is>
      </s:c>
      <s:c r="P15" s="8" t="inlineStr">
        <s:is>
          <s:t>S032</s:t>
        </s:is>
      </s:c>
      <s:c r="Q15" s="7" t="inlineStr">
        <s:is>
          <s:t>Outcome evaluation is limited to the evidence described.</s:t>
        </s:is>
      </s:c>
      <s:c r="R15" s="7" t="inlineStr">
        <s:is>
          <s:t>Primary record</s:t>
        </s:is>
      </s:c>
    </s:row>
    <s:row r="16" ht="48" customHeight="1">
      <s:c r="A16" s="5" t="inlineStr">
        <s:is>
          <s:t>P11</s:t>
        </s:is>
      </s:c>
      <s:c r="B16" s="5" t="inlineStr">
        <s:is>
          <s:t>Agricultural markets</s:t>
        </s:is>
      </s:c>
      <s:c r="C16" s="5" t="inlineStr">
        <s:is>
          <s:t>Three farm laws and repeal</s:t>
        </s:is>
      </s:c>
      <s:c r="D16" s="5" t="inlineStr">
        <s:is>
          <s:t>2020–2021</s:t>
        </s:is>
      </s:c>
      <s:c r="E16" s="5" t="inlineStr">
        <s:is>
          <s:t>Approved; accepted repeal</s:t>
        </s:is>
      </s:c>
      <s:c r="F16" s="5" t="inlineStr">
        <s:is>
          <s:t>Liberalize agricultural trading and contracting</s:t>
        </s:is>
      </s:c>
      <s:c r="G16" s="5" t="inlineStr">
        <s:is>
          <s:t>Three central statutes subsequently repealed</s:t>
        </s:is>
      </s:c>
      <s:c r="H16" s="5" t="inlineStr">
        <s:is>
          <s:t>Repeal passed 29 November 2021</s:t>
        </s:is>
      </s:c>
      <s:c r="I16" s="5" t="inlineStr">
        <s:is>
          <s:t>Statutory rollback</s:t>
        </s:is>
      </s:c>
      <s:c r="J16" s="5" t="inlineStr">
        <s:is>
          <s:t>Political resistance constrained reform</s:t>
        </s:is>
      </s:c>
      <s:c r="K16" s="5" t="inlineStr">
        <s:is>
          <s:t>Union legislation interacted with state markets and farmer organization</s:t>
        </s:is>
      </s:c>
      <s:c r="L16" s="5" t="inlineStr">
        <s:is>
          <s:t>Implementation benefits cannot be assumed for repealed arrangements</s:t>
        </s:is>
      </s:c>
      <s:c r="M16" s="5" t="inlineStr">
        <s:is>
          <s:t>P3</s:t>
        </s:is>
      </s:c>
      <s:c r="N16" s="5" t="inlineStr">
        <s:is>
          <s:t>P3-E04</s:t>
        </s:is>
      </s:c>
      <s:c r="O16" s="5" t="inlineStr">
        <s:is>
          <s:t>Analysis</s:t>
        </s:is>
      </s:c>
      <s:c r="P16" s="6" t="inlineStr">
        <s:is>
          <s:t>S033</s:t>
        </s:is>
      </s:c>
      <s:c r="Q16" s="5" t="inlineStr">
        <s:is>
          <s:t>Outcome evaluation is limited to the evidence described.</s:t>
        </s:is>
      </s:c>
      <s:c r="R16" s="5" t="inlineStr">
        <s:is>
          <s:t>Single credible source</s:t>
        </s:is>
      </s:c>
    </s:row>
    <s:row r="17" ht="64" customHeight="1">
      <s:c r="A17" s="7" t="inlineStr">
        <s:is>
          <s:t>P12</s:t>
        </s:is>
      </s:c>
      <s:c r="B17" s="7" t="inlineStr">
        <s:is>
          <s:t>Federal / constitutional</s:t>
        </s:is>
      </s:c>
      <s:c r="C17" s="7" t="inlineStr">
        <s:is>
          <s:t>Article 370 and Jammu and Kashmir</s:t>
        </s:is>
      </s:c>
      <s:c r="D17" s="7" t="inlineStr">
        <s:is>
          <s:t>2019; judgment 2023</s:t>
        </s:is>
      </s:c>
      <s:c r="E17" s="7" t="inlineStr">
        <s:is>
          <s:t>Led Union government</s:t>
        </s:is>
      </s:c>
      <s:c r="F17" s="7" t="inlineStr">
        <s:is>
          <s:t>Integrate constitutional arrangements</s:t>
        </s:is>
      </s:c>
      <s:c r="G17" s="7" t="inlineStr">
        <s:is>
          <s:t>Presidential and parliamentary action; territorial reorganization</s:t>
        </s:is>
      </s:c>
      <s:c r="H17" s="7" t="inlineStr">
        <s:is>
          <s:t>Abrogation upheld in December 2023</s:t>
        </s:is>
      </s:c>
      <s:c r="I17" s="7" t="inlineStr">
        <s:is>
          <s:t>Former special arrangement removed</s:t>
        </s:is>
      </s:c>
      <s:c r="J17" s="7" t="inlineStr">
        <s:is>
          <s:t>Political autonomy and rights consequences remain contested</s:t>
        </s:is>
      </s:c>
      <s:c r="K17" s="7" t="inlineStr">
        <s:is>
          <s:t>Union Cabinet, Parliament and courts had distinct roles</s:t>
        </s:is>
      </s:c>
      <s:c r="L17" s="7" t="inlineStr">
        <s:is>
          <s:t>Legal validity does not itself establish welfare or consent</s:t>
        </s:is>
      </s:c>
      <s:c r="M17" s="7" t="inlineStr">
        <s:is>
          <s:t>P3</s:t>
        </s:is>
      </s:c>
      <s:c r="N17" s="7" t="inlineStr">
        <s:is>
          <s:t>P3-E04</s:t>
        </s:is>
      </s:c>
      <s:c r="O17" s="7" t="inlineStr">
        <s:is>
          <s:t>Analysis</s:t>
        </s:is>
      </s:c>
      <s:c r="P17" s="8" t="inlineStr">
        <s:is>
          <s:t>S034</s:t>
        </s:is>
      </s:c>
      <s:c r="Q17" s="7" t="inlineStr">
        <s:is>
          <s:t>Outcome evaluation is limited to the evidence described.</s:t>
        </s:is>
      </s:c>
      <s:c r="R17" s="7" t="inlineStr">
        <s:is>
          <s:t>Single credible source</s:t>
        </s:is>
      </s:c>
    </s:row>
    <s:row r="18" ht="112" customHeight="1">
      <s:c r="A18" s="5" t="inlineStr">
        <s:is>
          <s:t>P13</s:t>
        </s:is>
      </s:c>
      <s:c r="B18" s="5" t="inlineStr">
        <s:is>
          <s:t>Citizenship</s:t>
        </s:is>
      </s:c>
      <s:c r="C18" s="5" t="inlineStr">
        <s:is>
          <s:t>Citizenship Amendment Act and rules</s:t>
        </s:is>
      </s:c>
      <s:c r="D18" s="5" t="inlineStr">
        <s:is>
          <s:t>2019; rules 2024</s:t>
        </s:is>
      </s:c>
      <s:c r="E18" s="5" t="inlineStr">
        <s:is>
          <s:t>Approved / defended</s:t>
        </s:is>
      </s:c>
      <s:c r="F18" s="5" t="inlineStr">
        <s:is>
          <s:t>Provide citizenship pathway to specified migrant groups</s:t>
        </s:is>
      </s:c>
      <s:c r="G18" s="5" t="inlineStr">
        <s:is>
          <s:t>Hindu, Sikh, Buddhist, Jain, Parsi and Christian migrants from Afghanistan, Bangladesh and Pakistan; entry by 31 December 2014, with statutory conditions</s:t>
        </s:is>
      </s:c>
      <s:c r="H18" s="5" t="inlineStr">
        <s:is>
          <s:t>Rules notified March 2024</s:t>
        </s:is>
      </s:c>
      <s:c r="I18" s="5" t="inlineStr">
        <s:is>
          <s:t>Application mechanism established</s:t>
        </s:is>
      </s:c>
      <s:c r="J18" s="5" t="inlineStr">
        <s:is>
          <s:t>No population-wide effect inferred</s:t>
        </s:is>
      </s:c>
      <s:c r="K18" s="5" t="inlineStr">
        <s:is>
          <s:t>Parliament and Home Ministry administer the legal pathway</s:t>
        </s:is>
      </s:c>
      <s:c r="L18" s="5" t="inlineStr">
        <s:is>
          <s:t>Religion-based eligibility raises equality questions; government says existing citizens unaffected</s:t>
        </s:is>
      </s:c>
      <s:c r="M18" s="5" t="inlineStr">
        <s:is>
          <s:t>P3</s:t>
        </s:is>
      </s:c>
      <s:c r="N18" s="5" t="inlineStr">
        <s:is>
          <s:t>P3-E04</s:t>
        </s:is>
      </s:c>
      <s:c r="O18" s="5" t="inlineStr">
        <s:is>
          <s:t>Analysis</s:t>
        </s:is>
      </s:c>
      <s:c r="P18" s="6" t="inlineStr">
        <s:is>
          <s:t>S095; S035; S036; S096</s:t>
        </s:is>
      </s:c>
      <s:c r="Q18" s="5" t="inlineStr">
        <s:is>
          <s:t>Outcome evaluation is limited to the evidence described.</s:t>
        </s:is>
      </s:c>
      <s:c r="R18" s="5" t="inlineStr">
        <s:is>
          <s:t>Primary record</s:t>
        </s:is>
      </s:c>
    </s:row>
    <s:row r="19" ht="48" customHeight="1">
      <s:c r="A19" s="7" t="inlineStr">
        <s:is>
          <s:t>P14</s:t>
        </s:is>
      </s:c>
      <s:c r="B19" s="7" t="inlineStr">
        <s:is>
          <s:t>Pandemic response</s:t>
        </s:is>
      </s:c>
      <s:c r="C19" s="7" t="inlineStr">
        <s:is>
          <s:t>Nationwide lockdown</s:t>
        </s:is>
      </s:c>
      <s:c r="D19" s="7" t="inlineStr">
        <s:is>
          <s:t>March 2020</s:t>
        </s:is>
      </s:c>
      <s:c r="E19" s="7" t="inlineStr">
        <s:is>
          <s:t>Led / announced</s:t>
        </s:is>
      </s:c>
      <s:c r="F19" s="7" t="inlineStr">
        <s:is>
          <s:t>Slow viral transmission</s:t>
        </s:is>
      </s:c>
      <s:c r="G19" s="7" t="inlineStr">
        <s:is>
          <s:t>21-day nationwide restrictions from midnight</s:t>
        </s:is>
      </s:c>
      <s:c r="H19" s="7" t="inlineStr">
        <s:is>
          <s:t>Implemented</s:t>
        </s:is>
      </s:c>
      <s:c r="I19" s="7" t="inlineStr">
        <s:is>
          <s:t>Restrictions imposed rapidly</s:t>
        </s:is>
      </s:c>
      <s:c r="J19" s="7" t="inlineStr">
        <s:is>
          <s:t>Health benefits and livelihood costs require separate counterfactuals</s:t>
        </s:is>
      </s:c>
      <s:c r="K19" s="7" t="inlineStr">
        <s:is>
          <s:t>States, health systems and social conditions shaped impact</s:t>
        </s:is>
      </s:c>
      <s:c r="L19" s="7" t="inlineStr">
        <s:is>
          <s:t>Preparation time and migrant livelihoods are key evaluation questions</s:t>
        </s:is>
      </s:c>
      <s:c r="M19" s="7" t="inlineStr">
        <s:is>
          <s:t>P3</s:t>
        </s:is>
      </s:c>
      <s:c r="N19" s="7" t="inlineStr">
        <s:is>
          <s:t>P3-E04</s:t>
        </s:is>
      </s:c>
      <s:c r="O19" s="7" t="inlineStr">
        <s:is>
          <s:t>Analysis</s:t>
        </s:is>
      </s:c>
      <s:c r="P19" s="8" t="inlineStr">
        <s:is>
          <s:t>S037; S038; S039</s:t>
        </s:is>
      </s:c>
      <s:c r="Q19" s="7" t="inlineStr">
        <s:is>
          <s:t>Outcome evaluation is limited to the evidence described.</s:t>
        </s:is>
      </s:c>
      <s:c r="R19" s="7" t="inlineStr">
        <s:is>
          <s:t>Primary record</s:t>
        </s:is>
      </s:c>
    </s:row>
    <s:row r="20" ht="48" customHeight="1">
      <s:c r="A20" s="5" t="inlineStr">
        <s:is>
          <s:t>P15</s:t>
        </s:is>
      </s:c>
      <s:c r="B20" s="5" t="inlineStr">
        <s:is>
          <s:t>Education</s:t>
        </s:is>
      </s:c>
      <s:c r="C20" s="5" t="inlineStr">
        <s:is>
          <s:t>National Education Policy 2020</s:t>
        </s:is>
      </s:c>
      <s:c r="D20" s="5" t="inlineStr">
        <s:is>
          <s:t>2020 onward</s:t>
        </s:is>
      </s:c>
      <s:c r="E20" s="5" t="inlineStr">
        <s:is>
          <s:t>Chaired approving Cabinet</s:t>
        </s:is>
      </s:c>
      <s:c r="F20" s="5" t="inlineStr">
        <s:is>
          <s:t>Reform school and higher education</s:t>
        </s:is>
      </s:c>
      <s:c r="G20" s="5" t="inlineStr">
        <s:is>
          <s:t>Policy framework requiring Union and state action</s:t>
        </s:is>
      </s:c>
      <s:c r="H20" s="5" t="inlineStr">
        <s:is>
          <s:t>Approved 29 July 2020</s:t>
        </s:is>
      </s:c>
      <s:c r="I20" s="5" t="inlineStr">
        <s:is>
          <s:t>New framework adopted</s:t>
        </s:is>
      </s:c>
      <s:c r="J20" s="5" t="inlineStr">
        <s:is>
          <s:t>Learning and access outcomes not established by announcement</s:t>
        </s:is>
      </s:c>
      <s:c r="K20" s="5" t="inlineStr">
        <s:is>
          <s:t>Education authorities and states implement</s:t>
        </s:is>
      </s:c>
      <s:c r="L20" s="5" t="inlineStr">
        <s:is>
          <s:t>Language, capacity and federal agreement shape delivery</s:t>
        </s:is>
      </s:c>
      <s:c r="M20" s="5" t="inlineStr">
        <s:is>
          <s:t>P3</s:t>
        </s:is>
      </s:c>
      <s:c r="N20" s="5" t="inlineStr">
        <s:is>
          <s:t>P3-E04</s:t>
        </s:is>
      </s:c>
      <s:c r="O20" s="5" t="inlineStr">
        <s:is>
          <s:t>Analysis</s:t>
        </s:is>
      </s:c>
      <s:c r="P20" s="6" t="inlineStr">
        <s:is>
          <s:t>S068</s:t>
        </s:is>
      </s:c>
      <s:c r="Q20" s="5" t="inlineStr">
        <s:is>
          <s:t>Outcome evaluation is limited to the evidence described.</s:t>
        </s:is>
      </s:c>
      <s:c r="R20" s="5" t="inlineStr">
        <s:is>
          <s:t>Primary record</s:t>
        </s:is>
      </s:c>
    </s:row>
    <s:row r="21" ht="64" customHeight="1">
      <s:c r="A21" s="7" t="inlineStr">
        <s:is>
          <s:t>P16</s:t>
        </s:is>
      </s:c>
      <s:c r="B21" s="7" t="inlineStr">
        <s:is>
          <s:t>Gender / social policy</s:t>
        </s:is>
      </s:c>
      <s:c r="C21" s="7" t="inlineStr">
        <s:is>
          <s:t>Beti Bachao Beti Padhao</s:t>
        </s:is>
      </s:c>
      <s:c r="D21" s="7" t="inlineStr">
        <s:is>
          <s:t>2015 onward</s:t>
        </s:is>
      </s:c>
      <s:c r="E21" s="7" t="inlineStr">
        <s:is>
          <s:t>Led national initiative</s:t>
        </s:is>
      </s:c>
      <s:c r="F21" s="7" t="inlineStr">
        <s:is>
          <s:t>Improve valuation and opportunities of girls</s:t>
        </s:is>
      </s:c>
      <s:c r="G21" s="7" t="inlineStr">
        <s:is>
          <s:t>Advocacy and multisector implementation</s:t>
        </s:is>
      </s:c>
      <s:c r="H21" s="7" t="inlineStr">
        <s:is>
          <s:t>Implemented; parliamentary scrutiny</s:t>
        </s:is>
      </s:c>
      <s:c r="I21" s="7" t="inlineStr">
        <s:is>
          <s:t>Government reported expenditure and committee review</s:t>
        </s:is>
      </s:c>
      <s:c r="J21" s="7" t="inlineStr">
        <s:is>
          <s:t>Publicity metrics are not proof of reduced discrimination</s:t>
        </s:is>
      </s:c>
      <s:c r="K21" s="7" t="inlineStr">
        <s:is>
          <s:t>States, communities and ministries contribute</s:t>
        </s:is>
      </s:c>
      <s:c r="L21" s="7" t="inlineStr">
        <s:is>
          <s:t>Assess resource allocation and outcomes separately</s:t>
        </s:is>
      </s:c>
      <s:c r="M21" s="7" t="inlineStr">
        <s:is>
          <s:t>P3</s:t>
        </s:is>
      </s:c>
      <s:c r="N21" s="7" t="inlineStr">
        <s:is>
          <s:t>P3-E04</s:t>
        </s:is>
      </s:c>
      <s:c r="O21" s="7" t="inlineStr">
        <s:is>
          <s:t>Analysis</s:t>
        </s:is>
      </s:c>
      <s:c r="P21" s="8" t="inlineStr">
        <s:is>
          <s:t>S042</s:t>
        </s:is>
      </s:c>
      <s:c r="Q21" s="7" t="inlineStr">
        <s:is>
          <s:t>Outcome evaluation is limited to the evidence described.</s:t>
        </s:is>
      </s:c>
      <s:c r="R21" s="7" t="inlineStr">
        <s:is>
          <s:t>Primary record</s:t>
        </s:is>
      </s:c>
    </s:row>
    <s:row r="22" ht="64" customHeight="1">
      <s:c r="A22" s="5" t="inlineStr">
        <s:is>
          <s:t>P17</s:t>
        </s:is>
      </s:c>
      <s:c r="B22" s="5" t="inlineStr">
        <s:is>
          <s:t>Gender / family law</s:t>
        </s:is>
      </s:c>
      <s:c r="C22" s="5" t="inlineStr">
        <s:is>
          <s:t>Instant triple-talaq legislation</s:t>
        </s:is>
      </s:c>
      <s:c r="D22" s="5" t="inlineStr">
        <s:is>
          <s:t>2019</s:t>
        </s:is>
      </s:c>
      <s:c r="E22" s="5" t="inlineStr">
        <s:is>
          <s:t>Approved / promoted</s:t>
        </s:is>
      </s:c>
      <s:c r="F22" s="5" t="inlineStr">
        <s:is>
          <s:t>Protect Muslim women against instant divorce</s:t>
        </s:is>
      </s:c>
      <s:c r="G22" s="5" t="inlineStr">
        <s:is>
          <s:t>Practice declared void and illegal; criminal penalty up to three years</s:t>
        </s:is>
      </s:c>
      <s:c r="H22" s="5" t="inlineStr">
        <s:is>
          <s:t>Enacted</s:t>
        </s:is>
      </s:c>
      <s:c r="I22" s="5" t="inlineStr">
        <s:is>
          <s:t>Statutory prohibition and criminal framework</s:t>
        </s:is>
      </s:c>
      <s:c r="J22" s="5" t="inlineStr">
        <s:is>
          <s:t>No independent causal estimate of empowerment included</s:t>
        </s:is>
      </s:c>
      <s:c r="K22" s="5" t="inlineStr">
        <s:is>
          <s:t>Legislation distinct from prior judicial action</s:t>
        </s:is>
      </s:c>
      <s:c r="L22" s="5" t="inlineStr">
        <s:is>
          <s:t>Protection objectives and effects of criminalization require separate assessment</s:t>
        </s:is>
      </s:c>
      <s:c r="M22" s="5" t="inlineStr">
        <s:is>
          <s:t>P3</s:t>
        </s:is>
      </s:c>
      <s:c r="N22" s="5" t="inlineStr">
        <s:is>
          <s:t>P3-E04</s:t>
        </s:is>
      </s:c>
      <s:c r="O22" s="5" t="inlineStr">
        <s:is>
          <s:t>Analysis</s:t>
        </s:is>
      </s:c>
      <s:c r="P22" s="6" t="inlineStr">
        <s:is>
          <s:t>S043</s:t>
        </s:is>
      </s:c>
      <s:c r="Q22" s="5" t="inlineStr">
        <s:is>
          <s:t>Outcome evaluation is limited to the evidence described.</s:t>
        </s:is>
      </s:c>
      <s:c r="R22" s="5" t="inlineStr">
        <s:is>
          <s:t>Primary record</s:t>
        </s:is>
      </s:c>
    </s:row>
    <s:row r="23" ht="64" customHeight="1">
      <s:c r="A23" s="7" t="inlineStr">
        <s:is>
          <s:t>P18</s:t>
        </s:is>
      </s:c>
      <s:c r="B23" s="7" t="inlineStr">
        <s:is>
          <s:t>Representation</s:t>
        </s:is>
      </s:c>
      <s:c r="C23" s="7" t="inlineStr">
        <s:is>
          <s:t>Women’s reservation</s:t>
        </s:is>
      </s:c>
      <s:c r="D23" s="7" t="inlineStr">
        <s:is>
          <s:t>2023–2026</s:t>
        </s:is>
      </s:c>
      <s:c r="E23" s="7" t="inlineStr">
        <s:is>
          <s:t>Sponsored through government</s:t>
        </s:is>
      </s:c>
      <s:c r="F23" s="7" t="inlineStr">
        <s:is>
          <s:t>Reserve roughly one-third of specified legislative seats</s:t>
        </s:is>
      </s:c>
      <s:c r="G23" s="7" t="inlineStr">
        <s:is>
          <s:t>2023 constitutional amendment links commencement to census and delimitation</s:t>
        </s:is>
      </s:c>
      <s:c r="H23" s="7" t="inlineStr">
        <s:is>
          <s:t>Enacted; not immediately operational</s:t>
        </s:is>
      </s:c>
      <s:c r="I23" s="7" t="inlineStr">
        <s:is>
          <s:t>Legal commitment established</s:t>
        </s:is>
      </s:c>
      <s:c r="J23" s="7" t="inlineStr">
        <s:is>
          <s:t>Reserved-seat effects not yet demonstrated by evidence here</s:t>
        </s:is>
      </s:c>
      <s:c r="K23" s="7" t="inlineStr">
        <s:is>
          <s:t>Longstanding cross-party reform, not a new issue created in 2023</s:t>
        </s:is>
      </s:c>
      <s:c r="L23" s="7" t="inlineStr">
        <s:is>
          <s:t>Delayed implementation; 2026 acceleration proposal defeated</s:t>
        </s:is>
      </s:c>
      <s:c r="M23" s="7" t="inlineStr">
        <s:is>
          <s:t>P3</s:t>
        </s:is>
      </s:c>
      <s:c r="N23" s="7" t="inlineStr">
        <s:is>
          <s:t>P3-E04</s:t>
        </s:is>
      </s:c>
      <s:c r="O23" s="7" t="inlineStr">
        <s:is>
          <s:t>Analysis</s:t>
        </s:is>
      </s:c>
      <s:c r="P23" s="8" t="inlineStr">
        <s:is>
          <s:t>S040; S041</s:t>
        </s:is>
      </s:c>
      <s:c r="Q23" s="7" t="inlineStr">
        <s:is>
          <s:t>Outcome evaluation is limited to the evidence described.</s:t>
        </s:is>
      </s:c>
      <s:c r="R23" s="7" t="inlineStr">
        <s:is>
          <s:t>Single credible source</s:t>
        </s:is>
      </s:c>
    </s:row>
    <s:row r="24" ht="64" customHeight="1">
      <s:c r="A24" s="5" t="inlineStr">
        <s:is>
          <s:t>P19</s:t>
        </s:is>
      </s:c>
      <s:c r="B24" s="5" t="inlineStr">
        <s:is>
          <s:t>Infrastructure</s:t>
        </s:is>
      </s:c>
      <s:c r="C24" s="5" t="inlineStr">
        <s:is>
          <s:t>National highways expansion</s:t>
        </s:is>
      </s:c>
      <s:c r="D24" s="5" t="inlineStr">
        <s:is>
          <s:t>2014–2024/25 snapshot</s:t>
        </s:is>
      </s:c>
      <s:c r="E24" s="5" t="inlineStr">
        <s:is>
          <s:t>Led Union government</s:t>
        </s:is>
      </s:c>
      <s:c r="F24" s="5" t="inlineStr">
        <s:is>
          <s:t>Improve transport connectivity</s:t>
        </s:is>
      </s:c>
      <s:c r="G24" s="5" t="inlineStr">
        <s:is>
          <s:t>Investment, upgrading and network designation</s:t>
        </s:is>
      </s:c>
      <s:c r="H24" s="5" t="inlineStr">
        <s:is>
          <s:t>Implemented</s:t>
        </s:is>
      </s:c>
      <s:c r="I24" s="5" t="inlineStr">
        <s:is>
          <s:t>Ministry: 91,287 km in 2014 to 146,195 km in January 2025 release</s:t>
        </s:is>
      </s:c>
      <s:c r="J24" s="5" t="inlineStr">
        <s:is>
          <s:t>Network length is an output, not a complete welfare measure</s:t>
        </s:is>
      </s:c>
      <s:c r="K24" s="5" t="inlineStr">
        <s:is>
          <s:t>Ministry, NHAI, states, contractors and prior projects contribute</s:t>
        </s:is>
      </s:c>
      <s:c r="L24" s="5" t="inlineStr">
        <s:is>
          <s:t>Land, environment, safety and fiscal costs require assessment</s:t>
        </s:is>
      </s:c>
      <s:c r="M24" s="5" t="inlineStr">
        <s:is>
          <s:t>P3</s:t>
        </s:is>
      </s:c>
      <s:c r="N24" s="5" t="inlineStr">
        <s:is>
          <s:t>P3-E04</s:t>
        </s:is>
      </s:c>
      <s:c r="O24" s="5" t="inlineStr">
        <s:is>
          <s:t>Analysis</s:t>
        </s:is>
      </s:c>
      <s:c r="P24" s="6" t="inlineStr">
        <s:is>
          <s:t>S069</s:t>
        </s:is>
      </s:c>
      <s:c r="Q24" s="5" t="inlineStr">
        <s:is>
          <s:t>Outcome evaluation is limited to the evidence described.</s:t>
        </s:is>
      </s:c>
      <s:c r="R24" s="5" t="inlineStr">
        <s:is>
          <s:t>Primary record</s:t>
        </s:is>
      </s:c>
    </s:row>
    <s:row r="25" ht="80" customHeight="1">
      <s:c r="A25" s="7" t="inlineStr">
        <s:is>
          <s:t>P20</s:t>
        </s:is>
      </s:c>
      <s:c r="B25" s="7" t="inlineStr">
        <s:is>
          <s:t>Climate</s:t>
        </s:is>
      </s:c>
      <s:c r="C25" s="7" t="inlineStr">
        <s:is>
          <s:t>Updated NDC</s:t>
        </s:is>
      </s:c>
      <s:c r="D25" s="7" t="inlineStr">
        <s:is>
          <s:t>2022 commitment for 2030</s:t>
        </s:is>
      </s:c>
      <s:c r="E25" s="7" t="inlineStr">
        <s:is>
          <s:t>Approved / associated</s:t>
        </s:is>
      </s:c>
      <s:c r="F25" s="7" t="inlineStr">
        <s:is>
          <s:t>Lower emissions intensity and expand non-fossil capacity</s:t>
        </s:is>
      </s:c>
      <s:c r="G25" s="7" t="inlineStr">
        <s:is>
          <s:t>45% intensity reduction from 2005; about 50% installed capacity non-fossil by 2030</s:t>
        </s:is>
      </s:c>
      <s:c r="H25" s="7" t="inlineStr">
        <s:is>
          <s:t>Historical target submission</s:t>
        </s:is>
      </s:c>
      <s:c r="I25" s="7" t="inlineStr">
        <s:is>
          <s:t>Commitments filed with UNFCCC</s:t>
        </s:is>
      </s:c>
      <s:c r="J25" s="7" t="inlineStr">
        <s:is>
          <s:t>Do not report targets as achieved outcomes</s:t>
        </s:is>
      </s:c>
      <s:c r="K25" s="7" t="inlineStr">
        <s:is>
          <s:t>Long-run energy transition involves states, firms and consumers</s:t>
        </s:is>
      </s:c>
      <s:c r="L25" s="7" t="inlineStr">
        <s:is>
          <s:t>Installed capacity differs from generated electricity</s:t>
        </s:is>
      </s:c>
      <s:c r="M25" s="7" t="inlineStr">
        <s:is>
          <s:t>P3</s:t>
        </s:is>
      </s:c>
      <s:c r="N25" s="7" t="inlineStr">
        <s:is>
          <s:t>P3-E04</s:t>
        </s:is>
      </s:c>
      <s:c r="O25" s="7" t="inlineStr">
        <s:is>
          <s:t>Analysis</s:t>
        </s:is>
      </s:c>
      <s:c r="P25" s="8" t="inlineStr">
        <s:is>
          <s:t>S058</s:t>
        </s:is>
      </s:c>
      <s:c r="Q25" s="7" t="inlineStr">
        <s:is>
          <s:t>Outcome evaluation is limited to the evidence described.</s:t>
        </s:is>
      </s:c>
      <s:c r="R25" s="7" t="inlineStr">
        <s:is>
          <s:t>Primary record</s:t>
        </s:is>
      </s:c>
    </s:row>
    <s:row r="26" ht="64" customHeight="1">
      <s:c r="A26" s="5" t="inlineStr">
        <s:is>
          <s:t>P21</s:t>
        </s:is>
      </s:c>
      <s:c r="B26" s="5" t="inlineStr">
        <s:is>
          <s:t>Multilateral diplomacy</s:t>
        </s:is>
      </s:c>
      <s:c r="C26" s="5" t="inlineStr">
        <s:is>
          <s:t>G20 presidency</s:t>
        </s:is>
      </s:c>
      <s:c r="D26" s="5" t="inlineStr">
        <s:is>
          <s:t>2023</s:t>
        </s:is>
      </s:c>
      <s:c r="E26" s="5" t="inlineStr">
        <s:is>
          <s:t>Led presidency</s:t>
        </s:is>
      </s:c>
      <s:c r="F26" s="5" t="inlineStr">
        <s:is>
          <s:t>Increase multilateral cooperation and representation</s:t>
        </s:is>
      </s:c>
      <s:c r="G26" s="5" t="inlineStr">
        <s:is>
          <s:t>Summit bargaining and agenda setting</s:t>
        </s:is>
      </s:c>
      <s:c r="H26" s="5" t="inlineStr">
        <s:is>
          <s:t>Leaders’ declaration adopted</s:t>
        </s:is>
      </s:c>
      <s:c r="I26" s="5" t="inlineStr">
        <s:is>
          <s:t>African Union included as permanent member</s:t>
        </s:is>
      </s:c>
      <s:c r="J26" s="5" t="inlineStr">
        <s:is>
          <s:t>Institutional inclusion is clearer than downstream implementation</s:t>
        </s:is>
      </s:c>
      <s:c r="K26" s="5" t="inlineStr">
        <s:is>
          <s:t>Required agreement of other G20 members</s:t>
        </s:is>
      </s:c>
      <s:c r="L26" s="5" t="inlineStr">
        <s:is>
          <s:t>Official retrospective is not independent acclaim</s:t>
        </s:is>
      </s:c>
      <s:c r="M26" s="5" t="inlineStr">
        <s:is>
          <s:t>P3</s:t>
        </s:is>
      </s:c>
      <s:c r="N26" s="5" t="inlineStr">
        <s:is>
          <s:t>P3-E04</s:t>
        </s:is>
      </s:c>
      <s:c r="O26" s="5" t="inlineStr">
        <s:is>
          <s:t>Analysis</s:t>
        </s:is>
      </s:c>
      <s:c r="P26" s="6" t="inlineStr">
        <s:is>
          <s:t>S059</s:t>
        </s:is>
      </s:c>
      <s:c r="Q26" s="5" t="inlineStr">
        <s:is>
          <s:t>Outcome evaluation is limited to the evidence described.</s:t>
        </s:is>
      </s:c>
      <s:c r="R26" s="5" t="inlineStr">
        <s:is>
          <s:t>Primary record</s:t>
        </s:is>
      </s:c>
    </s:row>
    <s:row r="27" ht="64" customHeight="1">
      <s:c r="A27" s="7" t="inlineStr">
        <s:is>
          <s:t>P22</s:t>
        </s:is>
      </s:c>
      <s:c r="B27" s="7" t="inlineStr">
        <s:is>
          <s:t>Security / diplomacy</s:t>
        </s:is>
      </s:c>
      <s:c r="C27" s="7" t="inlineStr">
        <s:is>
          <s:t>Operation Sindoor</s:t>
        </s:is>
      </s:c>
      <s:c r="D27" s="7" t="inlineStr">
        <s:is>
          <s:t>May 2025</s:t>
        </s:is>
      </s:c>
      <s:c r="E27" s="7" t="inlineStr">
        <s:is>
          <s:t>Led executive</s:t>
        </s:is>
      </s:c>
      <s:c r="F27" s="7" t="inlineStr">
        <s:is>
          <s:t>Indian stated objective: respond to terrorism</s:t>
        </s:is>
      </s:c>
      <s:c r="G27" s="7" t="inlineStr">
        <s:is>
          <s:t>Military strikes followed by exchanges and cessation</s:t>
        </s:is>
      </s:c>
      <s:c r="H27" s="7" t="inlineStr">
        <s:is>
          <s:t>Hostilities stopped under 10 May understanding</s:t>
        </s:is>
      </s:c>
      <s:c r="I27" s="7" t="inlineStr">
        <s:is>
          <s:t>Military action and DGMO communications documented</s:t>
        </s:is>
      </s:c>
      <s:c r="J27" s="7" t="inlineStr">
        <s:is>
          <s:t>Deterrence and losses remain disputed</s:t>
        </s:is>
      </s:c>
      <s:c r="K27" s="7" t="inlineStr">
        <s:is>
          <s:t>Armed forces, diplomacy and Pakistani decisions all matter</s:t>
        </s:is>
      </s:c>
      <s:c r="L27" s="7" t="inlineStr">
        <s:is>
          <s:t>Escalation risk; Indian and external mediation accounts differ</s:t>
        </s:is>
      </s:c>
      <s:c r="M27" s="7" t="inlineStr">
        <s:is>
          <s:t>P4</s:t>
        </s:is>
      </s:c>
      <s:c r="N27" s="7" t="inlineStr">
        <s:is>
          <s:t>P4-E04</s:t>
        </s:is>
      </s:c>
      <s:c r="O27" s="7" t="inlineStr">
        <s:is>
          <s:t>Analysis</s:t>
        </s:is>
      </s:c>
      <s:c r="P27" s="8" t="inlineStr">
        <s:is>
          <s:t>S060; S061; S062</s:t>
        </s:is>
      </s:c>
      <s:c r="Q27" s="7" t="inlineStr">
        <s:is>
          <s:t>Outcome evaluation is limited to the evidence described.</s:t>
        </s:is>
      </s:c>
      <s:c r="R27" s="7" t="inlineStr">
        <s:is>
          <s:t>Primary record</s:t>
        </s:is>
      </s:c>
    </s:row>
    <s:row r="28" ht="64" customHeight="1">
      <s:c r="A28" s="5" t="inlineStr">
        <s:is>
          <s:t>P23</s:t>
        </s:is>
      </s:c>
      <s:c r="B28" s="5" t="inlineStr">
        <s:is>
          <s:t>Tax</s:t>
        </s:is>
      </s:c>
      <s:c r="C28" s="5" t="inlineStr">
        <s:is>
          <s:t>GST rate rationalization</s:t>
        </s:is>
      </s:c>
      <s:c r="D28" s="5" t="inlineStr">
        <s:is>
          <s:t>September 2025</s:t>
        </s:is>
      </s:c>
      <s:c r="E28" s="5" t="inlineStr">
        <s:is>
          <s:t>Announced agenda; Council approved</s:t>
        </s:is>
      </s:c>
      <s:c r="F28" s="5" t="inlineStr">
        <s:is>
          <s:t>Simplify rates and reduce selected burdens</s:t>
        </s:is>
      </s:c>
      <s:c r="G28" s="5" t="inlineStr">
        <s:is>
          <s:t>Two main rates, 5% and 18%, with special 40% rate and exceptions</s:t>
        </s:is>
      </s:c>
      <s:c r="H28" s="5" t="inlineStr">
        <s:is>
          <s:t>Most changes effective 22 September 2025</s:t>
        </s:is>
      </s:c>
      <s:c r="I28" s="5" t="inlineStr">
        <s:is>
          <s:t>Revised rate framework</s:t>
        </s:is>
      </s:c>
      <s:c r="J28" s="5" t="inlineStr">
        <s:is>
          <s:t>Realized price and fiscal effects not quantified</s:t>
        </s:is>
      </s:c>
      <s:c r="K28" s="5" t="inlineStr">
        <s:is>
          <s:t>GST Council and states share authority</s:t>
        </s:is>
      </s:c>
      <s:c r="L28" s="5" t="inlineStr">
        <s:is>
          <s:t>Not literally a two-rate tax for every product</s:t>
        </s:is>
      </s:c>
      <s:c r="M28" s="5" t="inlineStr">
        <s:is>
          <s:t>P4</s:t>
        </s:is>
      </s:c>
      <s:c r="N28" s="5" t="inlineStr">
        <s:is>
          <s:t>P4-E04</s:t>
        </s:is>
      </s:c>
      <s:c r="O28" s="5" t="inlineStr">
        <s:is>
          <s:t>Analysis</s:t>
        </s:is>
      </s:c>
      <s:c r="P28" s="6" t="inlineStr">
        <s:is>
          <s:t>S029; S030</s:t>
        </s:is>
      </s:c>
      <s:c r="Q28" s="5" t="inlineStr">
        <s:is>
          <s:t>Outcome evaluation is limited to the evidence described.</s:t>
        </s:is>
      </s:c>
      <s:c r="R28" s="5" t="inlineStr">
        <s:is>
          <s:t>Primary record</s:t>
        </s:is>
      </s:c>
    </s:row>
    <s:row r="29" ht="48" customHeight="1">
      <s:c r="A29" s="7" t="inlineStr">
        <s:is>
          <s:t>P24</s:t>
        </s:is>
      </s:c>
      <s:c r="B29" s="7" t="inlineStr">
        <s:is>
          <s:t>Labour</s:t>
        </s:is>
      </s:c>
      <s:c r="C29" s="7" t="inlineStr">
        <s:is>
          <s:t>Four Labour Codes</s:t>
        </s:is>
      </s:c>
      <s:c r="D29" s="7" t="inlineStr">
        <s:is>
          <s:t>2019/2020 enactments; 2025 commencement</s:t>
        </s:is>
      </s:c>
      <s:c r="E29" s="7" t="inlineStr">
        <s:is>
          <s:t>Led government implementation</s:t>
        </s:is>
      </s:c>
      <s:c r="F29" s="7" t="inlineStr">
        <s:is>
          <s:t>Consolidate labour regulation</s:t>
        </s:is>
      </s:c>
      <s:c r="G29" s="7" t="inlineStr">
        <s:is>
          <s:t>Four codes rationalize 29 central labour laws</s:t>
        </s:is>
      </s:c>
      <s:c r="H29" s="7" t="inlineStr">
        <s:is>
          <s:t>Government announced effect from 21 November 2025</s:t>
        </s:is>
      </s:c>
      <s:c r="I29" s="7" t="inlineStr">
        <s:is>
          <s:t>Central commencement announced</s:t>
        </s:is>
      </s:c>
      <s:c r="J29" s="7" t="inlineStr">
        <s:is>
          <s:t>Delivery depends on rules, enforcement and states</s:t>
        </s:is>
      </s:c>
      <s:c r="K29" s="7" t="inlineStr">
        <s:is>
          <s:t>Institutions beyond PM determine compliance</s:t>
        </s:is>
      </s:c>
      <s:c r="L29" s="7" t="inlineStr">
        <s:is>
          <s:t>Legal consolidation does not itself prove better job quality</s:t>
        </s:is>
      </s:c>
      <s:c r="M29" s="7" t="inlineStr">
        <s:is>
          <s:t>P4</s:t>
        </s:is>
      </s:c>
      <s:c r="N29" s="7" t="inlineStr">
        <s:is>
          <s:t>P4-E04</s:t>
        </s:is>
      </s:c>
      <s:c r="O29" s="7" t="inlineStr">
        <s:is>
          <s:t>Analysis</s:t>
        </s:is>
      </s:c>
      <s:c r="P29" s="8" t="inlineStr">
        <s:is>
          <s:t>S075</s:t>
        </s:is>
      </s:c>
      <s:c r="Q29" s="7" t="inlineStr">
        <s:is>
          <s:t>Outcome evaluation is limited to the evidence described.</s:t>
        </s:is>
      </s:c>
      <s:c r="R29" s="7" t="inlineStr">
        <s:is>
          <s:t>Primary record</s:t>
        </s:is>
      </s:c>
    </s:row>
    <s:row r="30" ht="64" customHeight="1">
      <s:c r="A30" s="5" t="inlineStr">
        <s:is>
          <s:t>P25</s:t>
        </s:is>
      </s:c>
      <s:c r="B30" s="5" t="inlineStr">
        <s:is>
          <s:t>Rural employment</s:t>
        </s:is>
      </s:c>
      <s:c r="C30" s="5" t="inlineStr">
        <s:is>
          <s:t>Rural employment-law redesign</s:t>
        </s:is>
      </s:c>
      <s:c r="D30" s="5" t="inlineStr">
        <s:is>
          <s:t>December 2025</s:t>
        </s:is>
      </s:c>
      <s:c r="E30" s="5" t="inlineStr">
        <s:is>
          <s:t>Government-sponsored</s:t>
        </s:is>
      </s:c>
      <s:c r="F30" s="5" t="inlineStr">
        <s:is>
          <s:t>Expand formal employment entitlement</s:t>
        </s:is>
      </s:c>
      <s:c r="G30" s="5" t="inlineStr">
        <s:is>
          <s:t>New rural employment framework; 125-day household entitlement</s:t>
        </s:is>
      </s:c>
      <s:c r="H30" s="5" t="inlineStr">
        <s:is>
          <s:t>Legislative change recorded by PRS</s:t>
        </s:is>
      </s:c>
      <s:c r="I30" s="5" t="inlineStr">
        <s:is>
          <s:t>Higher statutory day entitlement</s:t>
        </s:is>
      </s:c>
      <s:c r="J30" s="5" t="inlineStr">
        <s:is>
          <s:t>Actual work supplied and payments require monitoring</s:t>
        </s:is>
      </s:c>
      <s:c r="K30" s="5" t="inlineStr">
        <s:is>
          <s:t>States, funding and local administrations mediate delivery</s:t>
        </s:is>
      </s:c>
      <s:c r="L30" s="5" t="inlineStr">
        <s:is>
          <s:t>Entitlement is distinct from guaranteed implementation</s:t>
        </s:is>
      </s:c>
      <s:c r="M30" s="5" t="inlineStr">
        <s:is>
          <s:t>P4</s:t>
        </s:is>
      </s:c>
      <s:c r="N30" s="5" t="inlineStr">
        <s:is>
          <s:t>P4-E04</s:t>
        </s:is>
      </s:c>
      <s:c r="O30" s="5" t="inlineStr">
        <s:is>
          <s:t>Analysis</s:t>
        </s:is>
      </s:c>
      <s:c r="P30" s="6" t="inlineStr">
        <s:is>
          <s:t>S076</s:t>
        </s:is>
      </s:c>
      <s:c r="Q30" s="5" t="inlineStr">
        <s:is>
          <s:t>Outcome evaluation is limited to the evidence described.</s:t>
        </s:is>
      </s:c>
      <s:c r="R30" s="5" t="inlineStr">
        <s:is>
          <s:t>Single credible source</s:t>
        </s:is>
      </s:c>
    </s:row>
    <s:row r="31" ht="64" customHeight="1">
      <s:c r="A31" s="7" t="inlineStr">
        <s:is>
          <s:t>P26</s:t>
        </s:is>
      </s:c>
      <s:c r="B31" s="7" t="inlineStr">
        <s:is>
          <s:t>Trade diplomacy</s:t>
        </s:is>
      </s:c>
      <s:c r="C31" s="7" t="inlineStr">
        <s:is>
          <s:t>EU–India free-trade agreement</s:t>
        </s:is>
      </s:c>
      <s:c r="D31" s="7" t="inlineStr">
        <s:is>
          <s:t>January–September 2026</s:t>
        </s:is>
      </s:c>
      <s:c r="E31" s="7" t="inlineStr">
        <s:is>
          <s:t>Led political negotiation partnership</s:t>
        </s:is>
      </s:c>
      <s:c r="F31" s="7" t="inlineStr">
        <s:is>
          <s:t>Reduce trade barriers and diversify markets</s:t>
        </s:is>
      </s:c>
      <s:c r="G31" s="7" t="inlineStr">
        <s:is>
          <s:t>Negotiations concluded; legal adoption procedures follow</s:t>
        </s:is>
      </s:c>
      <s:c r="H31" s="7" t="inlineStr">
        <s:is>
          <s:t>Commission signature proposals submitted September 2026</s:t>
        </s:is>
      </s:c>
      <s:c r="I31" s="7" t="inlineStr">
        <s:is>
          <s:t>Negotiated text and adoption process</s:t>
        </s:is>
      </s:c>
      <s:c r="J31" s="7" t="inlineStr">
        <s:is>
          <s:t>Projected gains remain forecasts; no entry-into-force claim</s:t>
        </s:is>
      </s:c>
      <s:c r="K31" s="7" t="inlineStr">
        <s:is>
          <s:t>Negotiators and both sides’ legal processes matter</s:t>
        </s:is>
      </s:c>
      <s:c r="L31" s="7" t="inlineStr">
        <s:is>
          <s:t>Sectoral adjustment and ratification remain relevant</s:t>
        </s:is>
      </s:c>
      <s:c r="M31" s="7" t="inlineStr">
        <s:is>
          <s:t>P4</s:t>
        </s:is>
      </s:c>
      <s:c r="N31" s="7" t="inlineStr">
        <s:is>
          <s:t>P4-E04</s:t>
        </s:is>
      </s:c>
      <s:c r="O31" s="7" t="inlineStr">
        <s:is>
          <s:t>Analysis</s:t>
        </s:is>
      </s:c>
      <s:c r="P31" s="8" t="inlineStr">
        <s:is>
          <s:t>S063; S064</s:t>
        </s:is>
      </s:c>
      <s:c r="Q31" s="7" t="inlineStr">
        <s:is>
          <s:t>Outcome evaluation is limited to the evidence described.</s:t>
        </s:is>
      </s:c>
      <s:c r="R31" s="7" t="inlineStr">
        <s:is>
          <s:t>Primary record</s:t>
        </s:is>
      </s:c>
    </s:row>
    <s:row r="32" ht="64" customHeight="1">
      <s:c r="A32" s="5" t="inlineStr">
        <s:is>
          <s:t>P27</s:t>
        </s:is>
      </s:c>
      <s:c r="B32" s="5" t="inlineStr">
        <s:is>
          <s:t>Constitution / federalism</s:t>
        </s:is>
      </s:c>
      <s:c r="C32" s="5" t="inlineStr">
        <s:is>
          <s:t>131st Amendment proposal</s:t>
        </s:is>
      </s:c>
      <s:c r="D32" s="5" t="inlineStr">
        <s:is>
          <s:t>April 2026</s:t>
        </s:is>
      </s:c>
      <s:c r="E32" s="5" t="inlineStr">
        <s:is>
          <s:t>Government-sponsored</s:t>
        </s:is>
      </s:c>
      <s:c r="F32" s="5" t="inlineStr">
        <s:is>
          <s:t>Enable new delimitation and accelerate women’s reservation</s:t>
        </s:is>
      </s:c>
      <s:c r="G32" s="5" t="inlineStr">
        <s:is>
          <s:t>Proposed changes to seat ceiling and census/delimitation conditions</s:t>
        </s:is>
      </s:c>
      <s:c r="H32" s="5" t="inlineStr">
        <s:is>
          <s:t>Negatived in Lok Sabha, 17 April 2026</s:t>
        </s:is>
      </s:c>
      <s:c r="I32" s="5" t="inlineStr">
        <s:is>
          <s:t>Proposal failed</s:t>
        </s:is>
      </s:c>
      <s:c r="J32" s="5" t="inlineStr">
        <s:is>
          <s:t>No legal effect from the defeated bill</s:t>
        </s:is>
      </s:c>
      <s:c r="K32" s="5" t="inlineStr">
        <s:is>
          <s:t>Constitutional majority requirement constrained government</s:t>
        </s:is>
      </s:c>
      <s:c r="L32" s="5" t="inlineStr">
        <s:is>
          <s:t>State representation and demographic differences central to dispute</s:t>
        </s:is>
      </s:c>
      <s:c r="M32" s="5" t="inlineStr">
        <s:is>
          <s:t>P4</s:t>
        </s:is>
      </s:c>
      <s:c r="N32" s="5" t="inlineStr">
        <s:is>
          <s:t>P4-E04</s:t>
        </s:is>
      </s:c>
      <s:c r="O32" s="5" t="inlineStr">
        <s:is>
          <s:t>Analysis</s:t>
        </s:is>
      </s:c>
      <s:c r="P32" s="6" t="inlineStr">
        <s:is>
          <s:t>S041</s:t>
        </s:is>
      </s:c>
      <s:c r="Q32" s="5" t="inlineStr">
        <s:is>
          <s:t>Outcome evaluation is limited to the evidence described.</s:t>
        </s:is>
      </s:c>
      <s:c r="R32" s="5" t="inlineStr">
        <s:is>
          <s:t>Single credible source</s:t>
        </s:is>
      </s:c>
    </s:row>
    <s:row r="33" ht="64" customHeight="1">
      <s:c r="A33" s="7" t="inlineStr">
        <s:is>
          <s:t>P28</s:t>
        </s:is>
      </s:c>
      <s:c r="B33" s="7" t="inlineStr">
        <s:is>
          <s:t>Poverty / economic outcomes</s:t>
        </s:is>
      </s:c>
      <s:c r="C33" s="7" t="inlineStr">
        <s:is>
          <s:t>Poverty reduction across governments</s:t>
        </s:is>
      </s:c>
      <s:c r="D33" s="7" t="inlineStr">
        <s:is>
          <s:t>2011–12 to 2023–24</s:t>
        </s:is>
      </s:c>
      <s:c r="E33" s="7" t="inlineStr">
        <s:is>
          <s:t>Associated; not sole author</s:t>
        </s:is>
      </s:c>
      <s:c r="F33" s="7" t="inlineStr">
        <s:is>
          <s:t>Reduce deprivation</s:t>
        </s:is>
      </s:c>
      <s:c r="G33" s="7" t="inlineStr">
        <s:is>
          <s:t>Growth, transfers, public services and household adaptation</s:t>
        </s:is>
      </s:c>
      <s:c r="H33" s="7" t="inlineStr">
        <s:is>
          <s:t>Observed / estimated trend</s:t>
        </s:is>
      </s:c>
      <s:c r="I33" s="7" t="inlineStr">
        <s:is>
          <s:t>World Bank 2026 estimate: $3/day poverty 27.1% to 2.6% (2021 PPP)</s:t>
        </s:is>
      </s:c>
      <s:c r="J33" s="7" t="inlineStr">
        <s:is>
          <s:t>Large reduction under stated measure</s:t>
        </s:is>
      </s:c>
      <s:c r="K33" s="7" t="inlineStr">
        <s:is>
          <s:t>Period begins before Modi; no single-leader causal attribution</s:t>
        </s:is>
      </s:c>
      <s:c r="L33" s="7" t="inlineStr">
        <s:is>
          <s:t>Different poverty lines and survey methods yield different estimates</s:t>
        </s:is>
      </s:c>
      <s:c r="M33" s="7" t="inlineStr">
        <s:is>
          <s:t>P3</s:t>
        </s:is>
      </s:c>
      <s:c r="N33" s="7" t="inlineStr">
        <s:is>
          <s:t>P3-E04</s:t>
        </s:is>
      </s:c>
      <s:c r="O33" s="7" t="inlineStr">
        <s:is>
          <s:t>Analysis</s:t>
        </s:is>
      </s:c>
      <s:c r="P33" s="8" t="inlineStr">
        <s:is>
          <s:t>S056</s:t>
        </s:is>
      </s:c>
      <s:c r="Q33" s="7" t="inlineStr">
        <s:is>
          <s:t>National population; April 2026 publication describes 2023–24 consumption data.</s:t>
        </s:is>
      </s:c>
      <s:c r="R33" s="7" t="inlineStr">
        <s:is>
          <s:t>Single credible source</s:t>
        </s:is>
      </s:c>
    </s:row>
    <s:row r="34" ht="80" customHeight="1">
      <s:c r="A34" s="5" t="inlineStr">
        <s:is>
          <s:t>P29</s:t>
        </s:is>
      </s:c>
      <s:c r="B34" s="5" t="inlineStr">
        <s:is>
          <s:t>Health</s:t>
        </s:is>
      </s:c>
      <s:c r="C34" s="5" t="inlineStr">
        <s:is>
          <s:t>Ayushman Bharat / PM-JAY</s:t>
        </s:is>
      </s:c>
      <s:c r="D34" s="5" t="inlineStr">
        <s:is>
          <s:t>2018 onward</s:t>
        </s:is>
      </s:c>
      <s:c r="E34" s="5" t="inlineStr">
        <s:is>
          <s:t>Led national launch</s:t>
        </s:is>
      </s:c>
      <s:c r="F34" s="5" t="inlineStr">
        <s:is>
          <s:t>Reduce hospitalization-related financial barriers</s:t>
        </s:is>
      </s:c>
      <s:c r="G34" s="5" t="inlineStr">
        <s:is>
          <s:t>Up to Rs 5 lakh per eligible family annually for secondary and tertiary hospitalization</s:t>
        </s:is>
      </s:c>
      <s:c r="H34" s="5" t="inlineStr">
        <s:is>
          <s:t>Launched 23 September 2018</s:t>
        </s:is>
      </s:c>
      <s:c r="I34" s="5" t="inlineStr">
        <s:is>
          <s:t>Coverage framework and hospital access mechanism</s:t>
        </s:is>
      </s:c>
      <s:c r="J34" s="5" t="inlineStr">
        <s:is>
          <s:t>Utilization, out-of-pocket cost and quality effects not independently quantified here</s:t>
        </s:is>
      </s:c>
      <s:c r="K34" s="5" t="inlineStr">
        <s:is>
          <s:t>NHA, states, hospitals and prior schemes contribute</s:t>
        </s:is>
      </s:c>
      <s:c r="L34" s="5" t="inlineStr">
        <s:is>
          <s:t>Coverage entitlement is distinct from effective access</s:t>
        </s:is>
      </s:c>
      <s:c r="M34" s="5" t="inlineStr">
        <s:is>
          <s:t>P3</s:t>
        </s:is>
      </s:c>
      <s:c r="N34" s="5" t="inlineStr">
        <s:is>
          <s:t>P3-E04</s:t>
        </s:is>
      </s:c>
      <s:c r="O34" s="5" t="inlineStr">
        <s:is>
          <s:t>Analysis</s:t>
        </s:is>
      </s:c>
      <s:c r="P34" s="6" t="inlineStr">
        <s:is>
          <s:t>S078</s:t>
        </s:is>
      </s:c>
      <s:c r="Q34" s="5" t="inlineStr">
        <s:is>
          <s:t>Outcome evaluation is limited to the evidence described.</s:t>
        </s:is>
      </s:c>
      <s:c r="R34" s="5" t="inlineStr">
        <s:is>
          <s:t>Primary record</s:t>
        </s:is>
      </s:c>
    </s:row>
    <s:row r="35" ht="64" customHeight="1">
      <s:c r="A35" s="7" t="inlineStr">
        <s:is>
          <s:t>P30</s:t>
        </s:is>
      </s:c>
      <s:c r="B35" s="7" t="inlineStr">
        <s:is>
          <s:t>Food security</s:t>
        </s:is>
      </s:c>
      <s:c r="C35" s="7" t="inlineStr">
        <s:is>
          <s:t>Free foodgrain continuation</s:t>
        </s:is>
      </s:c>
      <s:c r="D35" s="7" t="inlineStr">
        <s:is>
          <s:t>2024–2028 decision</s:t>
        </s:is>
      </s:c>
      <s:c r="E35" s="7" t="inlineStr">
        <s:is>
          <s:t>Chaired approving Cabinet</s:t>
        </s:is>
      </s:c>
      <s:c r="F35" s="7" t="inlineStr">
        <s:is>
          <s:t>Protect food access for eligible households</s:t>
        </s:is>
      </s:c>
      <s:c r="G35" s="7" t="inlineStr">
        <s:is>
          <s:t>Five-year free-grain commitment from January 2024 under PMGKAY</s:t>
        </s:is>
      </s:c>
      <s:c r="H35" s="7" t="inlineStr">
        <s:is>
          <s:t>Cabinet approved</s:t>
        </s:is>
      </s:c>
      <s:c r="I35" s="7" t="inlineStr">
        <s:is>
          <s:t>Government specified about 81.35 crore beneficiaries</s:t>
        </s:is>
      </s:c>
      <s:c r="J35" s="7" t="inlineStr">
        <s:is>
          <s:t>Nutrition and exclusion effects require independent measurement</s:t>
        </s:is>
      </s:c>
      <s:c r="K35" s="7" t="inlineStr">
        <s:is>
          <s:t>Builds on pre-existing food-security law and state distribution systems</s:t>
        </s:is>
      </s:c>
      <s:c r="L35" s="7" t="inlineStr">
        <s:is>
          <s:t>Do not equate beneficiary ceiling with verified timely delivery</s:t>
        </s:is>
      </s:c>
      <s:c r="M35" s="7" t="inlineStr">
        <s:is>
          <s:t>P3</s:t>
        </s:is>
      </s:c>
      <s:c r="N35" s="7" t="inlineStr">
        <s:is>
          <s:t>P3-E04</s:t>
        </s:is>
      </s:c>
      <s:c r="O35" s="7" t="inlineStr">
        <s:is>
          <s:t>Analysis</s:t>
        </s:is>
      </s:c>
      <s:c r="P35" s="8" t="inlineStr">
        <s:is>
          <s:t>S079</s:t>
        </s:is>
      </s:c>
      <s:c r="Q35" s="7" t="inlineStr">
        <s:is>
          <s:t>Outcome evaluation is limited to the evidence described.</s:t>
        </s:is>
      </s:c>
      <s:c r="R35" s="7" t="inlineStr">
        <s:is>
          <s:t>Primary record</s:t>
        </s:is>
      </s:c>
    </s:row>
    <s:row r="36" ht="64" customHeight="1">
      <s:c r="A36" s="5" t="inlineStr">
        <s:is>
          <s:t>P31</s:t>
        </s:is>
      </s:c>
      <s:c r="B36" s="5" t="inlineStr">
        <s:is>
          <s:t>Housing</s:t>
        </s:is>
      </s:c>
      <s:c r="C36" s="5" t="inlineStr">
        <s:is>
          <s:t>PMAY expansion</s:t>
        </s:is>
      </s:c>
      <s:c r="D36" s="5" t="inlineStr">
        <s:is>
          <s:t>June 2024</s:t>
        </s:is>
      </s:c>
      <s:c r="E36" s="5" t="inlineStr">
        <s:is>
          <s:t>Chaired approving Cabinet</s:t>
        </s:is>
      </s:c>
      <s:c r="F36" s="5" t="inlineStr">
        <s:is>
          <s:t>Assist additional rural and urban housing</s:t>
        </s:is>
      </s:c>
      <s:c r="G36" s="5" t="inlineStr">
        <s:is>
          <s:t>Approval to assist construction of three crore additional houses</s:t>
        </s:is>
      </s:c>
      <s:c r="H36" s="5" t="inlineStr">
        <s:is>
          <s:t>Approved</s:t>
        </s:is>
      </s:c>
      <s:c r="I36" s="5" t="inlineStr">
        <s:is>
          <s:t>Additional program commitment</s:t>
        </s:is>
      </s:c>
      <s:c r="J36" s="5" t="inlineStr">
        <s:is>
          <s:t>Not a count of houses completed</s:t>
        </s:is>
      </s:c>
      <s:c r="K36" s="5" t="inlineStr">
        <s:is>
          <s:t>State agencies, local bodies and beneficiaries deliver</s:t>
        </s:is>
      </s:c>
      <s:c r="L36" s="5" t="inlineStr">
        <s:is>
          <s:t>Land access, quality and completion require follow-up</s:t>
        </s:is>
      </s:c>
      <s:c r="M36" s="5" t="inlineStr">
        <s:is>
          <s:t>P4</s:t>
        </s:is>
      </s:c>
      <s:c r="N36" s="5" t="inlineStr">
        <s:is>
          <s:t>P4-E04</s:t>
        </s:is>
      </s:c>
      <s:c r="O36" s="5" t="inlineStr">
        <s:is>
          <s:t>Analysis</s:t>
        </s:is>
      </s:c>
      <s:c r="P36" s="6" t="inlineStr">
        <s:is>
          <s:t>S080</s:t>
        </s:is>
      </s:c>
      <s:c r="Q36" s="5" t="inlineStr">
        <s:is>
          <s:t>Outcome evaluation is limited to the evidence described.</s:t>
        </s:is>
      </s:c>
      <s:c r="R36" s="5" t="inlineStr">
        <s:is>
          <s:t>Primary record</s:t>
        </s:is>
      </s:c>
    </s:row>
    <s:row r="37" ht="64" customHeight="1">
      <s:c r="A37" s="7" t="inlineStr">
        <s:is>
          <s:t>P32</s:t>
        </s:is>
      </s:c>
      <s:c r="B37" s="7" t="inlineStr">
        <s:is>
          <s:t>Public health</s:t>
        </s:is>
      </s:c>
      <s:c r="C37" s="7" t="inlineStr">
        <s:is>
          <s:t>COVID vaccination scale-up</s:t>
        </s:is>
      </s:c>
      <s:c r="D37" s="7" t="inlineStr">
        <s:is>
          <s:t>2021–2022 milestone</s:t>
        </s:is>
      </s:c>
      <s:c r="E37" s="7" t="inlineStr">
        <s:is>
          <s:t>Led Union response</s:t>
        </s:is>
      </s:c>
      <s:c r="F37" s="7" t="inlineStr">
        <s:is>
          <s:t>Reduce severe disease and deaths</s:t>
        </s:is>
      </s:c>
      <s:c r="G37" s="7" t="inlineStr">
        <s:is>
          <s:t>Procurement and rollout through national and state health systems</s:t>
        </s:is>
      </s:c>
      <s:c r="H37" s="7" t="inlineStr">
        <s:is>
          <s:t>Implemented</s:t>
        </s:is>
      </s:c>
      <s:c r="I37" s="7" t="inlineStr">
        <s:is>
          <s:t>Government reported 200 crore doses on 17 July 2022</s:t>
        </s:is>
      </s:c>
      <s:c r="J37" s="7" t="inlineStr">
        <s:is>
          <s:t>Health impact is not quantified by dose count alone</s:t>
        </s:is>
      </s:c>
      <s:c r="K37" s="7" t="inlineStr">
        <s:is>
          <s:t>Scientists, manufacturers, health workers and states were essential</s:t>
        </s:is>
      </s:c>
      <s:c r="L37" s="7" t="inlineStr">
        <s:is>
          <s:t>Multiple doses per person; rollout timing and distribution matter</s:t>
        </s:is>
      </s:c>
      <s:c r="M37" s="7" t="inlineStr">
        <s:is>
          <s:t>P3</s:t>
        </s:is>
      </s:c>
      <s:c r="N37" s="7" t="inlineStr">
        <s:is>
          <s:t>P3-E04</s:t>
        </s:is>
      </s:c>
      <s:c r="O37" s="7" t="inlineStr">
        <s:is>
          <s:t>Analysis</s:t>
        </s:is>
      </s:c>
      <s:c r="P37" s="8" t="inlineStr">
        <s:is>
          <s:t>S081</s:t>
        </s:is>
      </s:c>
      <s:c r="Q37" s="7" t="inlineStr">
        <s:is>
          <s:t>Outcome evaluation is limited to the evidence described.</s:t>
        </s:is>
      </s:c>
      <s:c r="R37" s="7" t="inlineStr">
        <s:is>
          <s:t>Primary record</s:t>
        </s:is>
      </s:c>
    </s:row>
    <s:row r="38" ht="64" customHeight="1">
      <s:c r="A38" s="5" t="inlineStr">
        <s:is>
          <s:t>P33</s:t>
        </s:is>
      </s:c>
      <s:c r="B38" s="5" t="inlineStr">
        <s:is>
          <s:t>Manufacturing</s:t>
        </s:is>
      </s:c>
      <s:c r="C38" s="5" t="inlineStr">
        <s:is>
          <s:t>Production Linked Incentive schemes</s:t>
        </s:is>
      </s:c>
      <s:c r="D38" s="5" t="inlineStr">
        <s:is>
          <s:t>2020 onward; 2024 assessment</s:t>
        </s:is>
      </s:c>
      <s:c r="E38" s="5" t="inlineStr">
        <s:is>
          <s:t>Government-sponsored</s:t>
        </s:is>
      </s:c>
      <s:c r="F38" s="5" t="inlineStr">
        <s:is>
          <s:t>Expand domestic production and investment</s:t>
        </s:is>
      </s:c>
      <s:c r="G38" s="5" t="inlineStr">
        <s:is>
          <s:t>Sector-specific incentives linked to production / sales</s:t>
        </s:is>
      </s:c>
      <s:c r="H38" s="5" t="inlineStr">
        <s:is>
          <s:t>Implemented across 14 sectors</s:t>
        </s:is>
      </s:c>
      <s:c r="I38" s="5" t="inlineStr">
        <s:is>
          <s:t>Official investment and programme activity; RTI-based job reporting</s:t>
        </s:is>
      </s:c>
      <s:c r="J38" s="5" t="inlineStr">
        <s:is>
          <s:t>Independent reporting finds uneven job creation across sectors</s:t>
        </s:is>
      </s:c>
      <s:c r="K38" s="5" t="inlineStr">
        <s:is>
          <s:t>Private investment and external demand complicate net-additionality claims</s:t>
        </s:is>
      </s:c>
      <s:c r="L38" s="5" t="inlineStr">
        <s:is>
          <s:t>Outlay, disbursement, production and net jobs are separate indicators</s:t>
        </s:is>
      </s:c>
      <s:c r="M38" s="5" t="inlineStr">
        <s:is>
          <s:t>P3</s:t>
        </s:is>
      </s:c>
      <s:c r="N38" s="5" t="inlineStr">
        <s:is>
          <s:t>P3-E04</s:t>
        </s:is>
      </s:c>
      <s:c r="O38" s="5" t="inlineStr">
        <s:is>
          <s:t>Analysis</s:t>
        </s:is>
      </s:c>
      <s:c r="P38" s="6" t="inlineStr">
        <s:is>
          <s:t>S082; S083</s:t>
        </s:is>
      </s:c>
      <s:c r="Q38" s="5" t="inlineStr">
        <s:is>
          <s:t>Outcome evaluation is limited to the evidence described.</s:t>
        </s:is>
      </s:c>
      <s:c r="R38" s="5" t="inlineStr">
        <s:is>
          <s:t>Primary record</s:t>
        </s:is>
      </s:c>
    </s:row>
    <s:row r="39" ht="64" customHeight="1">
      <s:c r="A39" s="7" t="inlineStr">
        <s:is>
          <s:t>P34</s:t>
        </s:is>
      </s:c>
      <s:c r="B39" s="7" t="inlineStr">
        <s:is>
          <s:t>Security</s:t>
        </s:is>
      </s:c>
      <s:c r="C39" s="7" t="inlineStr">
        <s:is>
          <s:t>Balakot air strike</s:t>
        </s:is>
      </s:c>
      <s:c r="D39" s="7" t="inlineStr">
        <s:is>
          <s:t>February 2019</s:t>
        </s:is>
      </s:c>
      <s:c r="E39" s="7" t="inlineStr">
        <s:is>
          <s:t>Led Union executive</s:t>
        </s:is>
      </s:c>
      <s:c r="F39" s="7" t="inlineStr">
        <s:is>
          <s:t>Indian stated aim: act against terrorist infrastructure</s:t>
        </s:is>
      </s:c>
      <s:c r="G39" s="7" t="inlineStr">
        <s:is>
          <s:t>Air operation announced by Foreign Secretary</s:t>
        </s:is>
      </s:c>
      <s:c r="H39" s="7" t="inlineStr">
        <s:is>
          <s:t>Operation announced 26 February</s:t>
        </s:is>
      </s:c>
      <s:c r="I39" s="7" t="inlineStr">
        <s:is>
          <s:t>Indian official account of strike</s:t>
        </s:is>
      </s:c>
      <s:c r="J39" s="7" t="inlineStr">
        <s:is>
          <s:t>Deterrence and claimed damage not independently established here</s:t>
        </s:is>
      </s:c>
      <s:c r="K39" s="7" t="inlineStr">
        <s:is>
          <s:t>Military command and wider crisis dynamics matter</s:t>
        </s:is>
      </s:c>
      <s:c r="L39" s="7" t="inlineStr">
        <s:is>
          <s:t>Escalation and conflicting operational accounts require caution</s:t>
        </s:is>
      </s:c>
      <s:c r="M39" s="7" t="inlineStr">
        <s:is>
          <s:t>P3</s:t>
        </s:is>
      </s:c>
      <s:c r="N39" s="7" t="inlineStr">
        <s:is>
          <s:t>P3-E04</s:t>
        </s:is>
      </s:c>
      <s:c r="O39" s="7" t="inlineStr">
        <s:is>
          <s:t>Analysis</s:t>
        </s:is>
      </s:c>
      <s:c r="P39" s="8" t="inlineStr">
        <s:is>
          <s:t>S084</s:t>
        </s:is>
      </s:c>
      <s:c r="Q39" s="7" t="inlineStr">
        <s:is>
          <s:t>Outcome evaluation is limited to the evidence described.</s:t>
        </s:is>
      </s:c>
      <s:c r="R39" s="7" t="inlineStr">
        <s:is>
          <s:t>Primary record</s:t>
        </s:is>
      </s:c>
    </s:row>
    <s:row r="40" ht="80" customHeight="1">
      <s:c r="A40" s="5" t="inlineStr">
        <s:is>
          <s:t>P35</s:t>
        </s:is>
      </s:c>
      <s:c r="B40" s="5" t="inlineStr">
        <s:is>
          <s:t>China / border diplomacy</s:t>
        </s:is>
      </s:c>
      <s:c r="C40" s="5" t="inlineStr">
        <s:is>
          <s:t>Galwan crisis to Kazan engagement</s:t>
        </s:is>
      </s:c>
      <s:c r="D40" s="5" t="inlineStr">
        <s:is>
          <s:t>2020–2024</s:t>
        </s:is>
      </s:c>
      <s:c r="E40" s="5" t="inlineStr">
        <s:is>
          <s:t>Led executive and summit diplomacy</s:t>
        </s:is>
      </s:c>
      <s:c r="F40" s="5" t="inlineStr">
        <s:is>
          <s:t>Restore border stability</s:t>
        </s:is>
      </s:c>
      <s:c r="G40" s="5" t="inlineStr">
        <s:is>
          <s:t>Military/diplomatic negotiations; leaders’ meeting after disengagement agreement</s:t>
        </s:is>
      </s:c>
      <s:c r="H40" s="5" t="inlineStr">
        <s:is>
          <s:t>Kazan meeting held 23 October 2024</s:t>
        </s:is>
      </s:c>
      <s:c r="I40" s="5" t="inlineStr">
        <s:is>
          <s:t>Diplomatic re-engagement documented</s:t>
        </s:is>
      </s:c>
      <s:c r="J40" s="5" t="inlineStr">
        <s:is>
          <s:t>No full boundary settlement inferred</s:t>
        </s:is>
      </s:c>
      <s:c r="K40" s="5" t="inlineStr">
        <s:is>
          <s:t>Military negotiators and Chinese decisions shaped results</s:t>
        </s:is>
      </s:c>
      <s:c r="L40" s="5" t="inlineStr">
        <s:is>
          <s:t>Official national accounts do not independently settle territorial facts</s:t>
        </s:is>
      </s:c>
      <s:c r="M40" s="5" t="inlineStr">
        <s:is>
          <s:t>P4</s:t>
        </s:is>
      </s:c>
      <s:c r="N40" s="5" t="inlineStr">
        <s:is>
          <s:t>P4-E04</s:t>
        </s:is>
      </s:c>
      <s:c r="O40" s="5" t="inlineStr">
        <s:is>
          <s:t>Analysis</s:t>
        </s:is>
      </s:c>
      <s:c r="P40" s="6" t="inlineStr">
        <s:is>
          <s:t>S085; S086</s:t>
        </s:is>
      </s:c>
      <s:c r="Q40" s="5" t="inlineStr">
        <s:is>
          <s:t>Outcome evaluation is limited to the evidence described.</s:t>
        </s:is>
      </s:c>
      <s:c r="R40" s="5" t="inlineStr">
        <s:is>
          <s:t>Primary record</s:t>
        </s:is>
      </s:c>
    </s:row>
  </s:sheetData>
  <s:autoFilter ref="A5:R40"/>
  <s:mergeCells count="2">
    <s:mergeCell ref="A2:F2"/>
    <s:mergeCell ref="A1:F1"/>
  </s:mergeCells>
  <s:hyperlinks>
    <s:hyperlink ref="A3" r:id="rId1"/>
    <s:hyperlink ref="P6" r:id="rId2"/>
    <s:hyperlink ref="P7" r:id="rId3"/>
    <s:hyperlink ref="P8" r:id="rId4"/>
    <s:hyperlink ref="P9" r:id="rId5"/>
    <s:hyperlink ref="P10" r:id="rId6"/>
    <s:hyperlink ref="P11" r:id="rId7"/>
    <s:hyperlink ref="P12" r:id="rId8"/>
    <s:hyperlink ref="P13" r:id="rId9"/>
    <s:hyperlink ref="P14" r:id="rId10"/>
    <s:hyperlink ref="P15" r:id="rId11"/>
    <s:hyperlink ref="P16" r:id="rId12"/>
    <s:hyperlink ref="P17" r:id="rId13"/>
    <s:hyperlink ref="P18" r:id="rId14"/>
    <s:hyperlink ref="P19" r:id="rId15"/>
    <s:hyperlink ref="P20" r:id="rId16"/>
    <s:hyperlink ref="P21" r:id="rId17"/>
    <s:hyperlink ref="P22" r:id="rId18"/>
    <s:hyperlink ref="P23" r:id="rId19"/>
    <s:hyperlink ref="P24" r:id="rId20"/>
    <s:hyperlink ref="P25" r:id="rId21"/>
    <s:hyperlink ref="P26" r:id="rId22"/>
    <s:hyperlink ref="P27" r:id="rId23"/>
    <s:hyperlink ref="P28" r:id="rId24"/>
    <s:hyperlink ref="P29" r:id="rId25"/>
    <s:hyperlink ref="P30" r:id="rId26"/>
    <s:hyperlink ref="P31" r:id="rId27"/>
    <s:hyperlink ref="P32" r:id="rId28"/>
    <s:hyperlink ref="P33" r:id="rId29"/>
    <s:hyperlink ref="P34" r:id="rId30"/>
    <s:hyperlink ref="P35" r:id="rId31"/>
    <s:hyperlink ref="P36" r:id="rId32"/>
    <s:hyperlink ref="P37" r:id="rId33"/>
    <s:hyperlink ref="P38" r:id="rId34"/>
    <s:hyperlink ref="P39" r:id="rId35"/>
    <s:hyperlink ref="P40" r:id="rId36"/>
  </s:hyperlinks>
  <s:printOptions horizontalCentered="0"/>
  <s:pageMargins left="0.75" right="0.75" top="1" bottom="1" header="0.5" footer="0.5"/>
  <s:pageSetup orientation="landscape" paperSize="8" fitToHeight="0" fitToWidth="3"/>
  <s:headerFooter>
    <s:oddHeader/>
    <s:oddFooter>&amp;C&amp;8 Narendra Modi research | 24 Sep 2026 | Page &amp;P of &amp;N</s:oddFooter>
    <s:evenHeader/>
    <s:evenFooter/>
    <s:firstHeader/>
    <s:firstFooter/>
  </s:headerFooter>
  <s:tableParts count="1">
    <s:tablePart r:id="rId37"/>
  </s:tableParts>
</s:worksheet>
</file>

<file path=xl/worksheets/sheet7.xml><?xml version="1.0" encoding="utf-8"?>
<s:worksheet xmlns:r="http://schemas.openxmlformats.org/officeDocument/2006/relationships" xmlns:s="http://schemas.openxmlformats.org/spreadsheetml/2006/main">
  <s:sheetPr>
    <s:tabColor rgb="0017324D"/>
    <s:outlinePr summaryBelow="1" summaryRight="0"/>
    <s:pageSetUpPr fitToPage="1"/>
  </s:sheetPr>
  <s:dimension ref="A1:L17"/>
  <s:sheetViews>
    <s:sheetView showGridLines="0" zoomScale="85" workbookViewId="0">
      <s:pane xSplit="2" ySplit="5" topLeftCell="C6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13" customWidth="1" min="1" max="1"/>
    <s:col width="29" customWidth="1" min="2" max="2"/>
    <s:col width="29" customWidth="1" min="3" max="3"/>
    <s:col width="67" customWidth="1" min="4" max="4"/>
    <s:col width="29" customWidth="1" min="5" max="5"/>
    <s:col width="29" customWidth="1" min="6" max="6"/>
    <s:col width="16" customWidth="1" min="7" max="7"/>
    <s:col width="29" customWidth="1" min="8" max="8"/>
    <s:col width="22" customWidth="1" min="9" max="9"/>
    <s:col width="48" customWidth="1" min="10" max="10"/>
    <s:col width="29" customWidth="1" min="11" max="11"/>
    <s:col width="13" customWidth="1" min="12" max="12"/>
  </s:cols>
  <s:sheetData>
    <s:row r="1" ht="36" customHeight="1">
      <s:c r="A1" s="1" t="inlineStr">
        <s:is>
          <s:t>NARENDRA MODI  |  IDEAS &amp; POLITICAL METHOD</s:t>
        </s:is>
      </s:c>
    </s:row>
    <s:row r="2" ht="24" customHeight="1">
      <s:c r="A2" s="2" t="inlineStr">
        <s:is>
          <s:t>As of 24 Sep 2026  •  Source IDs link to the source register  •  Scroll right for evidence notes</s:t>
        </s:is>
      </s:c>
    </s:row>
    <s:row r="3">
      <s:c r="A3" s="3" t="inlineStr">
        <s:is>
          <s:t>CONTENTS</s:t>
        </s:is>
      </s:c>
    </s:row>
    <s:row r="5" ht="34" customHeight="1">
      <s:c r="A5" s="4" t="inlineStr">
        <s:is>
          <s:t>Record ID</s:t>
        </s:is>
      </s:c>
      <s:c r="B5" s="4" t="inlineStr">
        <s:is>
          <s:t>Category</s:t>
        </s:is>
      </s:c>
      <s:c r="C5" s="4" t="inlineStr">
        <s:is>
          <s:t>Topic</s:t>
        </s:is>
      </s:c>
      <s:c r="D5" s="4" t="inlineStr">
        <s:is>
          <s:t>Documented method / interpretation</s:t>
        </s:is>
      </s:c>
      <s:c r="E5" s="4" t="inlineStr">
        <s:is>
          <s:t>Evidence type</s:t>
        </s:is>
      </s:c>
      <s:c r="F5" s="4" t="inlineStr">
        <s:is>
          <s:t>Change / period</s:t>
        </s:is>
      </s:c>
      <s:c r="G5" s="4" t="inlineStr">
        <s:is>
          <s:t>Career phase</s:t>
        </s:is>
      </s:c>
      <s:c r="H5" s="4" t="inlineStr">
        <s:is>
          <s:t>Claim type</s:t>
        </s:is>
      </s:c>
      <s:c r="I5" s="4" t="inlineStr">
        <s:is>
          <s:t>Source IDs</s:t>
        </s:is>
      </s:c>
      <s:c r="J5" s="4" t="inlineStr">
        <s:is>
          <s:t>Research note</s:t>
        </s:is>
      </s:c>
      <s:c r="K5" s="4" t="inlineStr">
        <s:is>
          <s:t>Corroboration</s:t>
        </s:is>
      </s:c>
      <s:c r="L5" s="4" t="inlineStr">
        <s:is>
          <s:t>Context ID</s:t>
        </s:is>
      </s:c>
    </s:row>
    <s:row r="6" ht="48" customHeight="1">
      <s:c r="A6" s="5" t="inlineStr">
        <s:is>
          <s:t>I01</s:t>
        </s:is>
      </s:c>
      <s:c r="B6" s="5" t="inlineStr">
        <s:is>
          <s:t>Hindu nationalism</s:t>
        </s:is>
      </s:c>
      <s:c r="C6" s="5" t="inlineStr">
        <s:is>
          <s:t>National identity</s:t>
        </s:is>
      </s:c>
      <s:c r="D6" s="5" t="inlineStr">
        <s:is>
          <s:t>Cultural-nationalist politics is a recurring scholarly interpretation of Modi’s leadership.</s:t>
        </s:is>
      </s:c>
      <s:c r="E6" s="5" t="inlineStr">
        <s:is>
          <s:t>Scholarship / institutional action</s:t>
        </s:is>
      </s:c>
      <s:c r="F6" s="5" t="inlineStr">
        <s:is>
          <s:t>Gujarat roots; national institutional expression</s:t>
        </s:is>
      </s:c>
      <s:c r="G6" s="5" t="inlineStr">
        <s:is>
          <s:t>P2; P3; P4</s:t>
        </s:is>
      </s:c>
      <s:c r="H6" s="5" t="inlineStr">
        <s:is>
          <s:t>Analysis</s:t>
        </s:is>
      </s:c>
      <s:c r="I6" s="6" t="inlineStr">
        <s:is>
          <s:t>S072; S070</s:t>
        </s:is>
      </s:c>
      <s:c r="J6" s="5" t="inlineStr">
        <s:is>
          <s:t>Jaffrelot’s ethnic-democracy thesis is attributed; the full book was not consulted.</s:t>
        </s:is>
      </s:c>
      <s:c r="K6" s="5" t="inlineStr">
        <s:is>
          <s:t>Primary record</s:t>
        </s:is>
      </s:c>
      <s:c r="L6" s="5" t="inlineStr">
        <s:is>
          <s:t>P2-E02; P3-E02; P4-E02</s:t>
        </s:is>
      </s:c>
    </s:row>
    <s:row r="7" ht="48" customHeight="1">
      <s:c r="A7" s="7" t="inlineStr">
        <s:is>
          <s:t>I02</s:t>
        </s:is>
      </s:c>
      <s:c r="B7" s="7" t="inlineStr">
        <s:is>
          <s:t>Development</s:t>
        </s:is>
      </s:c>
      <s:c r="C7" s="7" t="inlineStr">
        <s:is>
          <s:t>Gujarat model</s:t>
        </s:is>
      </s:c>
      <s:c r="D7" s="7" t="inlineStr">
        <s:is>
          <s:t>Growth and business facilitation became a national leadership credential.</s:t>
        </s:is>
      </s:c>
      <s:c r="E7" s="7" t="inlineStr">
        <s:is>
          <s:t>Comparative research</s:t>
        </s:is>
      </s:c>
      <s:c r="F7" s="7" t="inlineStr">
        <s:is>
          <s:t>State record repackaged for national competition</s:t>
        </s:is>
      </s:c>
      <s:c r="G7" s="7" t="inlineStr">
        <s:is>
          <s:t>P2</s:t>
        </s:is>
      </s:c>
      <s:c r="H7" s="7" t="inlineStr">
        <s:is>
          <s:t>Analysis</s:t>
        </s:is>
      </s:c>
      <s:c r="I7" s="8" t="inlineStr">
        <s:is>
          <s:t>S016; S017</s:t>
        </s:is>
      </s:c>
      <s:c r="J7" s="7" t="inlineStr">
        <s:is>
          <s:t>Separate campaign claim from comparisons and causal proof.</s:t>
        </s:is>
      </s:c>
      <s:c r="K7" s="7" t="inlineStr">
        <s:is>
          <s:t>Single credible source</s:t>
        </s:is>
      </s:c>
      <s:c r="L7" s="7" t="inlineStr">
        <s:is>
          <s:t>P2-E02</s:t>
        </s:is>
      </s:c>
    </s:row>
    <s:row r="8" ht="64" customHeight="1">
      <s:c r="A8" s="5" t="inlineStr">
        <s:is>
          <s:t>I03</s:t>
        </s:is>
      </s:c>
      <s:c r="B8" s="5" t="inlineStr">
        <s:is>
          <s:t>Welfare</s:t>
        </s:is>
      </s:c>
      <s:c r="C8" s="5" t="inlineStr">
        <s:is>
          <s:t>Delivery politics</s:t>
        </s:is>
      </s:c>
      <s:c r="D8" s="5" t="inlineStr">
        <s:is>
          <s:t>Benefits delivered through accounts, services and household programs support a direct leader–beneficiary relationship as an analytical hypothesis.</s:t>
        </s:is>
      </s:c>
      <s:c r="E8" s="5" t="inlineStr">
        <s:is>
          <s:t>Scheme design / analysis</s:t>
        </s:is>
      </s:c>
      <s:c r="F8" s="5" t="inlineStr">
        <s:is>
          <s:t>National scaling from 2014</s:t>
        </s:is>
      </s:c>
      <s:c r="G8" s="5" t="inlineStr">
        <s:is>
          <s:t>P3; P4</s:t>
        </s:is>
      </s:c>
      <s:c r="H8" s="5" t="inlineStr">
        <s:is>
          <s:t>Analysis</s:t>
        </s:is>
      </s:c>
      <s:c r="I8" s="6" t="inlineStr">
        <s:is>
          <s:t>S022; S024</s:t>
        </s:is>
      </s:c>
      <s:c r="J8" s="5" t="inlineStr">
        <s:is>
          <s:t>Electoral effect is not established by scheme existence alone.</s:t>
        </s:is>
      </s:c>
      <s:c r="K8" s="5" t="inlineStr">
        <s:is>
          <s:t>Primary record</s:t>
        </s:is>
      </s:c>
      <s:c r="L8" s="5" t="inlineStr">
        <s:is>
          <s:t>P3-E02; P4-E02</s:t>
        </s:is>
      </s:c>
    </s:row>
    <s:row r="9" ht="64" customHeight="1">
      <s:c r="A9" s="7" t="inlineStr">
        <s:is>
          <s:t>I04</s:t>
        </s:is>
      </s:c>
      <s:c r="B9" s="7" t="inlineStr">
        <s:is>
          <s:t>Communication</s:t>
        </s:is>
      </s:c>
      <s:c r="C9" s="7" t="inlineStr">
        <s:is>
          <s:t>Mann Ki Baat</s:t>
        </s:is>
      </s:c>
      <s:c r="D9" s="7" t="inlineStr">
        <s:is>
          <s:t>Recurring radio address combines personal voice and public-interest messaging.</s:t>
        </s:is>
      </s:c>
      <s:c r="E9" s="7" t="inlineStr">
        <s:is>
          <s:t>Primary broadcasts</s:t>
        </s:is>
      </s:c>
      <s:c r="F9" s="7" t="inlineStr">
        <s:is>
          <s:t>Began 2014; continued across terms</s:t>
        </s:is>
      </s:c>
      <s:c r="G9" s="7" t="inlineStr">
        <s:is>
          <s:t>P3; P4</s:t>
        </s:is>
      </s:c>
      <s:c r="H9" s="7" t="inlineStr">
        <s:is>
          <s:t>Analysis</s:t>
        </s:is>
      </s:c>
      <s:c r="I9" s="8" t="inlineStr">
        <s:is>
          <s:t>S074</s:t>
        </s:is>
      </s:c>
      <s:c r="J9" s="7" t="inlineStr">
        <s:is>
          <s:t>One-way communication has different accountability properties from press questioning.</s:t>
        </s:is>
      </s:c>
      <s:c r="K9" s="7" t="inlineStr">
        <s:is>
          <s:t>Primary record</s:t>
        </s:is>
      </s:c>
      <s:c r="L9" s="7" t="inlineStr">
        <s:is>
          <s:t>P3-E02; P4-E02</s:t>
        </s:is>
      </s:c>
    </s:row>
    <s:row r="10" ht="48" customHeight="1">
      <s:c r="A10" s="5" t="inlineStr">
        <s:is>
          <s:t>I05</s:t>
        </s:is>
      </s:c>
      <s:c r="B10" s="5" t="inlineStr">
        <s:is>
          <s:t>Leadership</s:t>
        </s:is>
      </s:c>
      <s:c r="C10" s="5" t="inlineStr">
        <s:is>
          <s:t>Personalization</s:t>
        </s:is>
      </s:c>
      <s:c r="D10" s="5" t="inlineStr">
        <s:is>
          <s:t>The individual leader’s image is prominent alongside BJP organizational capacity.</s:t>
        </s:is>
      </s:c>
      <s:c r="E10" s="5" t="inlineStr">
        <s:is>
          <s:t>Scholarly analysis</s:t>
        </s:is>
      </s:c>
      <s:c r="F10" s="5" t="inlineStr">
        <s:is>
          <s:t>State persona became national brand</s:t>
        </s:is>
      </s:c>
      <s:c r="G10" s="5" t="inlineStr">
        <s:is>
          <s:t>P2; P3</s:t>
        </s:is>
      </s:c>
      <s:c r="H10" s="5" t="inlineStr">
        <s:is>
          <s:t>Analysis</s:t>
        </s:is>
      </s:c>
      <s:c r="I10" s="6" t="inlineStr">
        <s:is>
          <s:t>S016; S072</s:t>
        </s:is>
      </s:c>
      <s:c r="J10" s="5" t="inlineStr">
        <s:is>
          <s:t>Do not erase the independent roles of cadres, allies and institutions.</s:t>
        </s:is>
      </s:c>
      <s:c r="K10" s="5" t="inlineStr">
        <s:is>
          <s:t>Multiple independent sources</s:t>
        </s:is>
      </s:c>
      <s:c r="L10" s="5" t="inlineStr">
        <s:is>
          <s:t>P2-E02; P3-E02</s:t>
        </s:is>
      </s:c>
    </s:row>
    <s:row r="11" ht="48" customHeight="1">
      <s:c r="A11" s="7" t="inlineStr">
        <s:is>
          <s:t>I06</s:t>
        </s:is>
      </s:c>
      <s:c r="B11" s="7" t="inlineStr">
        <s:is>
          <s:t>Gender</s:t>
        </s:is>
      </s:c>
      <s:c r="C11" s="7" t="inlineStr">
        <s:is>
          <s:t>Masculine leadership imagery</s:t>
        </s:is>
      </s:c>
      <s:c r="D11" s="7" t="inlineStr">
        <s:is>
          <s:t>Srivastava interprets strength imagery as a mediated construction of manhood.</s:t>
        </s:is>
      </s:c>
      <s:c r="E11" s="7" t="inlineStr">
        <s:is>
          <s:t>Academic abstract</s:t>
        </s:is>
      </s:c>
      <s:c r="F11" s="7" t="inlineStr">
        <s:is>
          <s:t>Study focuses on 2014</s:t>
        </s:is>
      </s:c>
      <s:c r="G11" s="7" t="inlineStr">
        <s:is>
          <s:t>P3</s:t>
        </s:is>
      </s:c>
      <s:c r="H11" s="7" t="inlineStr">
        <s:is>
          <s:t>Analysis</s:t>
        </s:is>
      </s:c>
      <s:c r="I11" s="8" t="inlineStr">
        <s:is>
          <s:t>S044</s:t>
        </s:is>
      </s:c>
      <s:c r="J11" s="7" t="inlineStr">
        <s:is>
          <s:t>Interpretation is not a universal explanation of voter behaviour.</s:t>
        </s:is>
      </s:c>
      <s:c r="K11" s="7" t="inlineStr">
        <s:is>
          <s:t>Single credible source</s:t>
        </s:is>
      </s:c>
      <s:c r="L11" s="7" t="inlineStr">
        <s:is>
          <s:t>P3-E02</s:t>
        </s:is>
      </s:c>
    </s:row>
    <s:row r="12" ht="64" customHeight="1">
      <s:c r="A12" s="5" t="inlineStr">
        <s:is>
          <s:t>I07</s:t>
        </s:is>
      </s:c>
      <s:c r="B12" s="5" t="inlineStr">
        <s:is>
          <s:t>Federalism</s:t>
        </s:is>
      </s:c>
      <s:c r="C12" s="5" t="inlineStr">
        <s:is>
          <s:t>Cooperation and central authority</s:t>
        </s:is>
      </s:c>
      <s:c r="D12" s="5" t="inlineStr">
        <s:is>
          <s:t>NITI’s cooperation mandate coexists with contested central interventions.</s:t>
        </s:is>
      </s:c>
      <s:c r="E12" s="5" t="inlineStr">
        <s:is>
          <s:t>Institutional and legal record</s:t>
        </s:is>
      </s:c>
      <s:c r="F12" s="5" t="inlineStr">
        <s:is>
          <s:t>Different institutional mechanisms across policy areas</s:t>
        </s:is>
      </s:c>
      <s:c r="G12" s="5" t="inlineStr">
        <s:is>
          <s:t>P3; P4</s:t>
        </s:is>
      </s:c>
      <s:c r="H12" s="5" t="inlineStr">
        <s:is>
          <s:t>Analysis</s:t>
        </s:is>
      </s:c>
      <s:c r="I12" s="6" t="inlineStr">
        <s:is>
          <s:t>S031; S034</s:t>
        </s:is>
      </s:c>
      <s:c r="J12" s="5" t="inlineStr">
        <s:is>
          <s:t>Federalism is evaluated issue by issue.</s:t>
        </s:is>
      </s:c>
      <s:c r="K12" s="5" t="inlineStr">
        <s:is>
          <s:t>Primary record</s:t>
        </s:is>
      </s:c>
      <s:c r="L12" s="5" t="inlineStr">
        <s:is>
          <s:t>P3-E02; P4-E02</s:t>
        </s:is>
      </s:c>
    </s:row>
    <s:row r="13" ht="48" customHeight="1">
      <s:c r="A13" s="7" t="inlineStr">
        <s:is>
          <s:t>I08</s:t>
        </s:is>
      </s:c>
      <s:c r="B13" s="7" t="inlineStr">
        <s:is>
          <s:t>Coalitions</s:t>
        </s:is>
      </s:c>
      <s:c r="C13" s="7" t="inlineStr">
        <s:is>
          <s:t>Adaptation after 2024</s:t>
        </s:is>
      </s:c>
      <s:c r="D13" s="7" t="inlineStr">
        <s:is>
          <s:t>Allies gained arithmetic importance when BJP fell below a standalone majority.</s:t>
        </s:is>
      </s:c>
      <s:c r="E13" s="7" t="inlineStr">
        <s:is>
          <s:t>Election and formation record</s:t>
        </s:is>
      </s:c>
      <s:c r="F13" s="7" t="inlineStr">
        <s:is>
          <s:t>Majority-party rule to coalition dependence</s:t>
        </s:is>
      </s:c>
      <s:c r="G13" s="7" t="inlineStr">
        <s:is>
          <s:t>P4</s:t>
        </s:is>
      </s:c>
      <s:c r="H13" s="7" t="inlineStr">
        <s:is>
          <s:t>Analysis</s:t>
        </s:is>
      </s:c>
      <s:c r="I13" s="8" t="inlineStr">
        <s:is>
          <s:t>S012; S041</s:t>
        </s:is>
      </s:c>
      <s:c r="J13" s="7" t="inlineStr">
        <s:is>
          <s:t>No unsupported claim about private bargaining or motives.</s:t>
        </s:is>
      </s:c>
      <s:c r="K13" s="7" t="inlineStr">
        <s:is>
          <s:t>Multiple independent sources</s:t>
        </s:is>
      </s:c>
      <s:c r="L13" s="7" t="inlineStr">
        <s:is>
          <s:t>P4-E02</s:t>
        </s:is>
      </s:c>
    </s:row>
    <s:row r="14" ht="48" customHeight="1">
      <s:c r="A14" s="5" t="inlineStr">
        <s:is>
          <s:t>I09</s:t>
        </s:is>
      </s:c>
      <s:c r="B14" s="5" t="inlineStr">
        <s:is>
          <s:t>Social coalition</s:t>
        </s:is>
      </s:c>
      <s:c r="C14" s="5" t="inlineStr">
        <s:is>
          <s:t>Religion and social diversity</s:t>
        </s:is>
      </s:c>
      <s:c r="D14" s="5" t="inlineStr">
        <s:is>
          <s:t>Pew finds varied combinations of religious nationalism, tolerance and separation.</s:t>
        </s:is>
      </s:c>
      <s:c r="E14" s="5" t="inlineStr">
        <s:is>
          <s:t>Survey</s:t>
        </s:is>
      </s:c>
      <s:c r="F14" s="5" t="inlineStr">
        <s:is>
          <s:t>2019–20 evidence only</s:t>
        </s:is>
      </s:c>
      <s:c r="G14" s="5" t="inlineStr">
        <s:is>
          <s:t>P3</s:t>
        </s:is>
      </s:c>
      <s:c r="H14" s="5" t="inlineStr">
        <s:is>
          <s:t>Analysis</s:t>
        </s:is>
      </s:c>
      <s:c r="I14" s="6" t="inlineStr">
        <s:is>
          <s:t>S073</s:t>
        </s:is>
      </s:c>
      <s:c r="J14" s="5" t="inlineStr">
        <s:is>
          <s:t>Avoid treating Hindus, Muslims, women or OBC voters as uniform blocs.</s:t>
        </s:is>
      </s:c>
      <s:c r="K14" s="5" t="inlineStr">
        <s:is>
          <s:t>Single credible source</s:t>
        </s:is>
      </s:c>
      <s:c r="L14" s="5" t="inlineStr">
        <s:is>
          <s:t>P3-E02</s:t>
        </s:is>
      </s:c>
    </s:row>
    <s:row r="15" ht="48" customHeight="1">
      <s:c r="A15" s="7" t="inlineStr">
        <s:is>
          <s:t>I10</s:t>
        </s:is>
      </s:c>
      <s:c r="B15" s="7" t="inlineStr">
        <s:is>
          <s:t>Foreign policy</s:t>
        </s:is>
      </s:c>
      <s:c r="C15" s="7" t="inlineStr">
        <s:is>
          <s:t>Multilateral recognition and market access</s:t>
        </s:is>
      </s:c>
      <s:c r="D15" s="7" t="inlineStr">
        <s:is>
          <s:t>G20 inclusion and EU talks illustrate distinct diplomatic instruments.</s:t>
        </s:is>
      </s:c>
      <s:c r="E15" s="7" t="inlineStr">
        <s:is>
          <s:t>Primary institutional record</s:t>
        </s:is>
      </s:c>
      <s:c r="F15" s="7" t="inlineStr">
        <s:is>
          <s:t>2023 summit to 2026 negotiation outcome</s:t>
        </s:is>
      </s:c>
      <s:c r="G15" s="7" t="inlineStr">
        <s:is>
          <s:t>P3; P4</s:t>
        </s:is>
      </s:c>
      <s:c r="H15" s="7" t="inlineStr">
        <s:is>
          <s:t>Analysis</s:t>
        </s:is>
      </s:c>
      <s:c r="I15" s="8" t="inlineStr">
        <s:is>
          <s:t>S059; S063</s:t>
        </s:is>
      </s:c>
      <s:c r="J15" s="7" t="inlineStr">
        <s:is>
          <s:t>Announcements are not sufficient evidence of lasting geopolitical advantage.</s:t>
        </s:is>
      </s:c>
      <s:c r="K15" s="7" t="inlineStr">
        <s:is>
          <s:t>Primary record</s:t>
        </s:is>
      </s:c>
      <s:c r="L15" s="7" t="inlineStr">
        <s:is>
          <s:t>P3-E02; P4-E02</s:t>
        </s:is>
      </s:c>
    </s:row>
    <s:row r="16" ht="48" customHeight="1">
      <s:c r="A16" s="5" t="inlineStr">
        <s:is>
          <s:t>I11</s:t>
        </s:is>
      </s:c>
      <s:c r="B16" s="5" t="inlineStr">
        <s:is>
          <s:t>Religion / ceremony</s:t>
        </s:is>
      </s:c>
      <s:c r="C16" s="5" t="inlineStr">
        <s:is>
          <s:t>Ayodhya</s:t>
        </s:is>
      </s:c>
      <s:c r="D16" s="5" t="inlineStr">
        <s:is>
          <s:t>Prime-ministerial participation linked public leadership to a major Hindu religious ceremony.</s:t>
        </s:is>
      </s:c>
      <s:c r="E16" s="5" t="inlineStr">
        <s:is>
          <s:t>Primary statement and reporting</s:t>
        </s:is>
      </s:c>
      <s:c r="F16" s="5" t="inlineStr">
        <s:is>
          <s:t>January 2024</s:t>
        </s:is>
      </s:c>
      <s:c r="G16" s="5" t="inlineStr">
        <s:is>
          <s:t>P3</s:t>
        </s:is>
      </s:c>
      <s:c r="H16" s="5" t="inlineStr">
        <s:is>
          <s:t>Analysis</s:t>
        </s:is>
      </s:c>
      <s:c r="I16" s="6" t="inlineStr">
        <s:is>
          <s:t>S070; S071</s:t>
        </s:is>
      </s:c>
      <s:c r="J16" s="5" t="inlineStr">
        <s:is>
          <s:t>Cultural recognition and secular-state criticism should both be attributed.</s:t>
        </s:is>
      </s:c>
      <s:c r="K16" s="5" t="inlineStr">
        <s:is>
          <s:t>Primary record</s:t>
        </s:is>
      </s:c>
      <s:c r="L16" s="5" t="inlineStr">
        <s:is>
          <s:t>P3-E02</s:t>
        </s:is>
      </s:c>
    </s:row>
    <s:row r="17" ht="48" customHeight="1">
      <s:c r="A17" s="7" t="inlineStr">
        <s:is>
          <s:t>I12</s:t>
        </s:is>
      </s:c>
      <s:c r="B17" s="7" t="inlineStr">
        <s:is>
          <s:t>Identity</s:t>
        </s:is>
      </s:c>
      <s:c r="C17" s="7" t="inlineStr">
        <s:is>
          <s:t>Origins and anti-elite narrative</s:t>
        </s:is>
      </s:c>
      <s:c r="D17" s="7" t="inlineStr">
        <s:is>
          <s:t>Official accounts present modest origins and organizational work as sources of legitimacy.</s:t>
        </s:is>
      </s:c>
      <s:c r="E17" s="7" t="inlineStr">
        <s:is>
          <s:t>Interested biography</s:t>
        </s:is>
      </s:c>
      <s:c r="F17" s="7" t="inlineStr">
        <s:is>
          <s:t>Retrospective narrative</s:t>
        </s:is>
      </s:c>
      <s:c r="G17" s="7" t="inlineStr">
        <s:is>
          <s:t>P1; P2; P3</s:t>
        </s:is>
      </s:c>
      <s:c r="H17" s="7" t="inlineStr">
        <s:is>
          <s:t>Analysis</s:t>
        </s:is>
      </s:c>
      <s:c r="I17" s="8" t="inlineStr">
        <s:is>
          <s:t>S002; S001</s:t>
        </s:is>
      </s:c>
      <s:c r="J17" s="7" t="inlineStr">
        <s:is>
          <s:t>Personal details are included only for their political narrative role.</s:t>
        </s:is>
      </s:c>
      <s:c r="K17" s="7" t="inlineStr">
        <s:is>
          <s:t>Interested source only</s:t>
        </s:is>
      </s:c>
      <s:c r="L17" s="7" t="inlineStr">
        <s:is>
          <s:t>P1-E02; P2-E02; P3-E02</s:t>
        </s:is>
      </s:c>
    </s:row>
  </s:sheetData>
  <s:autoFilter ref="A5:L17"/>
  <s:mergeCells count="2">
    <s:mergeCell ref="A2:F2"/>
    <s:mergeCell ref="A1:F1"/>
  </s:mergeCells>
  <s:hyperlinks>
    <s:hyperlink ref="A3" r:id="rId1"/>
    <s:hyperlink ref="I6" r:id="rId2"/>
    <s:hyperlink ref="I7" r:id="rId3"/>
    <s:hyperlink ref="I8" r:id="rId4"/>
    <s:hyperlink ref="I9" r:id="rId5"/>
    <s:hyperlink ref="I10" r:id="rId6"/>
    <s:hyperlink ref="I11" r:id="rId7"/>
    <s:hyperlink ref="I12" r:id="rId8"/>
    <s:hyperlink ref="I13" r:id="rId9"/>
    <s:hyperlink ref="I14" r:id="rId10"/>
    <s:hyperlink ref="I15" r:id="rId11"/>
    <s:hyperlink ref="I16" r:id="rId12"/>
    <s:hyperlink ref="I17" r:id="rId13"/>
  </s:hyperlinks>
  <s:printOptions horizontalCentered="0"/>
  <s:pageMargins left="0.75" right="0.75" top="1" bottom="1" header="0.5" footer="0.5"/>
  <s:pageSetup orientation="landscape" paperSize="8" fitToHeight="0" fitToWidth="2"/>
  <s:headerFooter>
    <s:oddHeader/>
    <s:oddFooter>&amp;C&amp;8 Narendra Modi research | 24 Sep 2026 | Page &amp;P of &amp;N</s:oddFooter>
    <s:evenHeader/>
    <s:evenFooter/>
    <s:firstHeader/>
    <s:firstFooter/>
  </s:headerFooter>
  <s:tableParts count="1">
    <s:tablePart r:id="rId14"/>
  </s:tableParts>
</s:worksheet>
</file>

<file path=xl/worksheets/sheet8.xml><?xml version="1.0" encoding="utf-8"?>
<s:worksheet xmlns:r="http://schemas.openxmlformats.org/officeDocument/2006/relationships" xmlns:s="http://schemas.openxmlformats.org/spreadsheetml/2006/main">
  <s:sheetPr>
    <s:tabColor rgb="0017324D"/>
    <s:outlinePr summaryBelow="1" summaryRight="0"/>
    <s:pageSetUpPr fitToPage="1"/>
  </s:sheetPr>
  <s:dimension ref="A1:P17"/>
  <s:sheetViews>
    <s:sheetView showGridLines="0" zoomScale="85" workbookViewId="0">
      <s:pane xSplit="2" ySplit="5" topLeftCell="C6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13" customWidth="1" min="1" max="1"/>
    <s:col width="29" customWidth="1" min="2" max="2"/>
    <s:col width="29" customWidth="1" min="3" max="3"/>
    <s:col width="48" customWidth="1" min="4" max="4"/>
    <s:col width="29" customWidth="1" min="5" max="5"/>
    <s:col width="48" customWidth="1" min="6" max="6"/>
    <s:col width="29" customWidth="1" min="7" max="7"/>
    <s:col width="29" customWidth="1" min="8" max="8"/>
    <s:col width="48" customWidth="1" min="9" max="9"/>
    <s:col width="29" customWidth="1" min="10" max="10"/>
    <s:col width="16" customWidth="1" min="11" max="11"/>
    <s:col width="29" customWidth="1" min="12" max="12"/>
    <s:col width="22" customWidth="1" min="13" max="13"/>
    <s:col width="48" customWidth="1" min="14" max="14"/>
    <s:col width="29" customWidth="1" min="15" max="15"/>
    <s:col width="13" customWidth="1" min="16" max="16"/>
  </s:cols>
  <s:sheetData>
    <s:row r="1" ht="36" customHeight="1">
      <s:c r="A1" s="1" t="inlineStr">
        <s:is>
          <s:t>NARENDRA MODI  |  CONTROVERSIES</s:t>
        </s:is>
      </s:c>
    </s:row>
    <s:row r="2" ht="24" customHeight="1">
      <s:c r="A2" s="2" t="inlineStr">
        <s:is>
          <s:t>As of 24 Sep 2026  •  Source IDs link to the source register  •  Scroll right for evidence notes</s:t>
        </s:is>
      </s:c>
    </s:row>
    <s:row r="3">
      <s:c r="A3" s="3" t="inlineStr">
        <s:is>
          <s:t>CONTENTS</s:t>
        </s:is>
      </s:c>
    </s:row>
    <s:row r="5" ht="34" customHeight="1">
      <s:c r="A5" s="4" t="inlineStr">
        <s:is>
          <s:t>Matter ID</s:t>
        </s:is>
      </s:c>
      <s:c r="B5" s="4" t="inlineStr">
        <s:is>
          <s:t>Matter</s:t>
        </s:is>
      </s:c>
      <s:c r="C5" s="4" t="inlineStr">
        <s:is>
          <s:t>Period / verified date</s:t>
        </s:is>
      </s:c>
      <s:c r="D5" s="4" t="inlineStr">
        <s:is>
          <s:t>Allegation / criticism</s:t>
        </s:is>
      </s:c>
      <s:c r="E5" s="4" t="inlineStr">
        <s:is>
          <s:t>Who raised it</s:t>
        </s:is>
      </s:c>
      <s:c r="F5" s="4" t="inlineStr">
        <s:is>
          <s:t>Subject / government response</s:t>
        </s:is>
      </s:c>
      <s:c r="G5" s="4" t="inlineStr">
        <s:is>
          <s:t>Authority / forum</s:t>
        </s:is>
      </s:c>
      <s:c r="H5" s="4" t="inlineStr">
        <s:is>
          <s:t>Procedural status</s:t>
        </s:is>
      </s:c>
      <s:c r="I5" s="4" t="inlineStr">
        <s:is>
          <s:t>Finding / disposition</s:t>
        </s:is>
      </s:c>
      <s:c r="J5" s="4" t="inlineStr">
        <s:is>
          <s:t>Consequence</s:t>
        </s:is>
      </s:c>
      <s:c r="K5" s="4" t="inlineStr">
        <s:is>
          <s:t>Career phase</s:t>
        </s:is>
      </s:c>
      <s:c r="L5" s="4" t="inlineStr">
        <s:is>
          <s:t>Claim type</s:t>
        </s:is>
      </s:c>
      <s:c r="M5" s="4" t="inlineStr">
        <s:is>
          <s:t>Source IDs</s:t>
        </s:is>
      </s:c>
      <s:c r="N5" s="4" t="inlineStr">
        <s:is>
          <s:t>Dispute / research note</s:t>
        </s:is>
      </s:c>
      <s:c r="O5" s="4" t="inlineStr">
        <s:is>
          <s:t>Corroboration</s:t>
        </s:is>
      </s:c>
      <s:c r="P5" s="4" t="inlineStr">
        <s:is>
          <s:t>Context ID</s:t>
        </s:is>
      </s:c>
    </s:row>
    <s:row r="6" ht="48" customHeight="1">
      <s:c r="A6" s="5" t="inlineStr">
        <s:is>
          <s:t>C01</s:t>
        </s:is>
      </s:c>
      <s:c r="B6" s="5" t="inlineStr">
        <s:is>
          <s:t>2002 Gujarat violence: state protection</s:t>
        </s:is>
      </s:c>
      <s:c r="C6" s="5" t="inlineStr">
        <s:is>
          <s:t>2002; later accountability</s:t>
        </s:is>
      </s:c>
      <s:c r="D6" s="5" t="inlineStr">
        <s:is>
          <s:t>Authorities failed to protect rights during communal violence.</s:t>
        </s:is>
      </s:c>
      <s:c r="E6" s="5" t="inlineStr">
        <s:is>
          <s:t>NHRC and critics</s:t>
        </s:is>
      </s:c>
      <s:c r="F6" s="5" t="inlineStr">
        <s:is>
          <s:t>Government and later SIT litigation defended state actions.</s:t>
        </s:is>
      </s:c>
      <s:c r="G6" s="5" t="inlineStr">
        <s:is>
          <s:t>NHRC; courts and investigations</s:t>
        </s:is>
      </s:c>
      <s:c r="H6" s="5" t="inlineStr">
        <s:is>
          <s:t>Institutional criticism; multiple proceedings</s:t>
        </s:is>
      </s:c>
      <s:c r="I6" s="5" t="inlineStr">
        <s:is>
          <s:t>NHRC criticized state protection failures.</s:t>
        </s:is>
      </s:c>
      <s:c r="J6" s="5" t="inlineStr">
        <s:is>
          <s:t>Enduring scrutiny of the chief-ministerial record.</s:t>
        </s:is>
      </s:c>
      <s:c r="K6" s="5" t="inlineStr">
        <s:is>
          <s:t>P2</s:t>
        </s:is>
      </s:c>
      <s:c r="L6" s="5" t="inlineStr">
        <s:is>
          <s:t>Attributed position</s:t>
        </s:is>
      </s:c>
      <s:c r="M6" s="6" t="inlineStr">
        <s:is>
          <s:t>S021; S019; S020</s:t>
        </s:is>
      </s:c>
      <s:c r="N6" s="5" t="inlineStr">
        <s:is>
          <s:t>Do not infer an individual criminal conviction from commission criticism.</s:t>
        </s:is>
      </s:c>
      <s:c r="O6" s="5" t="inlineStr">
        <s:is>
          <s:t>Primary record</s:t>
        </s:is>
      </s:c>
      <s:c r="P6" s="5" t="inlineStr">
        <s:is>
          <s:t>P2-E02</s:t>
        </s:is>
      </s:c>
    </s:row>
    <s:row r="7" ht="64" customHeight="1">
      <s:c r="A7" s="7" t="inlineStr">
        <s:is>
          <s:t>C02</s:t>
        </s:is>
      </s:c>
      <s:c r="B7" s="7" t="inlineStr">
        <s:is>
          <s:t>Larger-conspiracy complaint</s:t>
        </s:is>
      </s:c>
      <s:c r="C7" s="7" t="inlineStr">
        <s:is>
          <s:t>2002–2022 ruling</s:t>
        </s:is>
      </s:c>
      <s:c r="D7" s="7" t="inlineStr">
        <s:is>
          <s:t>Alleged a conspiracy involving senior political authorities.</s:t>
        </s:is>
      </s:c>
      <s:c r="E7" s="7" t="inlineStr">
        <s:is>
          <s:t>Zakia Jafri</s:t>
        </s:is>
      </s:c>
      <s:c r="F7" s="7" t="inlineStr">
        <s:is>
          <s:t>SIT and Gujarat government defended the investigation and closure report.</s:t>
        </s:is>
      </s:c>
      <s:c r="G7" s="7" t="inlineStr">
        <s:is>
          <s:t>Supreme Court</s:t>
        </s:is>
      </s:c>
      <s:c r="H7" s="7" t="inlineStr">
        <s:is>
          <s:t>Appeal dismissed, 24 June 2022</s:t>
        </s:is>
      </s:c>
      <s:c r="I7" s="7" t="inlineStr">
        <s:is>
          <s:t>Court upheld closure-report outcome.</s:t>
        </s:is>
      </s:c>
      <s:c r="J7" s="7" t="inlineStr">
        <s:is>
          <s:t>Complaint did not proceed as a prosecution of Modi on that basis.</s:t>
        </s:is>
      </s:c>
      <s:c r="K7" s="7" t="inlineStr">
        <s:is>
          <s:t>P2; P3</s:t>
        </s:is>
      </s:c>
      <s:c r="L7" s="7" t="inlineStr">
        <s:is>
          <s:t>Attributed position</s:t>
        </s:is>
      </s:c>
      <s:c r="M7" s="8" t="inlineStr">
        <s:is>
          <s:t>S019; S020</s:t>
        </s:is>
      </s:c>
      <s:c r="N7" s="7" t="inlineStr">
        <s:is>
          <s:t>Not a trial acquittal; not a universal resolution of historical or ethical criticism.</s:t>
        </s:is>
      </s:c>
      <s:c r="O7" s="7" t="inlineStr">
        <s:is>
          <s:t>Primary record</s:t>
        </s:is>
      </s:c>
      <s:c r="P7" s="7" t="inlineStr">
        <s:is>
          <s:t>P2-E02; P3-E02</s:t>
        </s:is>
      </s:c>
    </s:row>
    <s:row r="8" ht="64" customHeight="1">
      <s:c r="A8" s="5" t="inlineStr">
        <s:is>
          <s:t>C03</s:t>
        </s:is>
      </s:c>
      <s:c r="B8" s="5" t="inlineStr">
        <s:is>
          <s:t>Demonetization: economic costs</s:t>
        </s:is>
      </s:c>
      <s:c r="C8" s="5" t="inlineStr">
        <s:is>
          <s:t>2016 onward</s:t>
        </s:is>
      </s:c>
      <s:c r="D8" s="5" t="inlineStr">
        <s:is>
          <s:t>Cash shock damaged activity and employment.</s:t>
        </s:is>
      </s:c>
      <s:c r="E8" s="5" t="inlineStr">
        <s:is>
          <s:t>Economic researchers and critics</s:t>
        </s:is>
      </s:c>
      <s:c r="F8" s="5" t="inlineStr">
        <s:is>
          <s:t>Policy was defended in terms of anti-corruption and formalization objectives.</s:t>
        </s:is>
      </s:c>
      <s:c r="G8" s="5" t="inlineStr">
        <s:is>
          <s:t>Economic evaluation</s:t>
        </s:is>
      </s:c>
      <s:c r="H8" s="5" t="inlineStr">
        <s:is>
          <s:t>Contested policy assessment</s:t>
        </s:is>
      </s:c>
      <s:c r="I8" s="5" t="inlineStr">
        <s:is>
          <s:t>Research identifies short-run harm and payment substitution.</s:t>
        </s:is>
      </s:c>
      <s:c r="J8" s="5" t="inlineStr">
        <s:is>
          <s:t>Consequential debate about design and proportionality.</s:t>
        </s:is>
      </s:c>
      <s:c r="K8" s="5" t="inlineStr">
        <s:is>
          <s:t>P3</s:t>
        </s:is>
      </s:c>
      <s:c r="L8" s="5" t="inlineStr">
        <s:is>
          <s:t>Attributed position</s:t>
        </s:is>
      </s:c>
      <s:c r="M8" s="6" t="inlineStr">
        <s:is>
          <s:t>S027</s:t>
        </s:is>
      </s:c>
      <s:c r="N8" s="5" t="inlineStr">
        <s:is>
          <s:t>Research is not a criminal allegation; net long-run benefits not established here.</s:t>
        </s:is>
      </s:c>
      <s:c r="O8" s="5" t="inlineStr">
        <s:is>
          <s:t>Single credible source</s:t>
        </s:is>
      </s:c>
      <s:c r="P8" s="5" t="inlineStr">
        <s:is>
          <s:t>P3-E02</s:t>
        </s:is>
      </s:c>
    </s:row>
    <s:row r="9" ht="64" customHeight="1">
      <s:c r="A9" s="7" t="inlineStr">
        <s:is>
          <s:t>C04</s:t>
        </s:is>
      </s:c>
      <s:c r="B9" s="7" t="inlineStr">
        <s:is>
          <s:t>Pandemic response and mortality</s:t>
        </s:is>
      </s:c>
      <s:c r="C9" s="7" t="inlineStr">
        <s:is>
          <s:t>2020–2022 estimates</s:t>
        </s:is>
      </s:c>
      <s:c r="D9" s="7" t="inlineStr">
        <s:is>
          <s:t>Restrictions and health-system strain imposed severe costs; official deaths may understate mortality.</s:t>
        </s:is>
      </s:c>
      <s:c r="E9" s="7" t="inlineStr">
        <s:is>
          <s:t>WHO estimates; public-health critics</s:t>
        </s:is>
      </s:c>
      <s:c r="F9" s="7" t="inlineStr">
        <s:is>
          <s:t>Government objected to WHO methodology and modeling.</s:t>
        </s:is>
      </s:c>
      <s:c r="G9" s="7" t="inlineStr">
        <s:is>
          <s:t>WHO; Ministry of Health</s:t>
        </s:is>
      </s:c>
      <s:c r="H9" s="7" t="inlineStr">
        <s:is>
          <s:t>Statistical dispute</s:t>
        </s:is>
      </s:c>
      <s:c r="I9" s="7" t="inlineStr">
        <s:is>
          <s:t>WHO estimated 4.7m excess deaths (3.31–6.48m credible interval) for 2020–21.</s:t>
        </s:is>
      </s:c>
      <s:c r="J9" s="7" t="inlineStr">
        <s:is>
          <s:t>Mortality and preparedness remain major evaluative issues.</s:t>
        </s:is>
      </s:c>
      <s:c r="K9" s="7" t="inlineStr">
        <s:is>
          <s:t>P3</s:t>
        </s:is>
      </s:c>
      <s:c r="L9" s="7" t="inlineStr">
        <s:is>
          <s:t>Attributed position</s:t>
        </s:is>
      </s:c>
      <s:c r="M9" s="8" t="inlineStr">
        <s:is>
          <s:t>S037; S038; S039</s:t>
        </s:is>
      </s:c>
      <s:c r="N9" s="7" t="inlineStr">
        <s:is>
          <s:t>All-cause excess deaths include indirect effects; not all caused by a single policy or office-holder.</s:t>
        </s:is>
      </s:c>
      <s:c r="O9" s="7" t="inlineStr">
        <s:is>
          <s:t>Primary record</s:t>
        </s:is>
      </s:c>
      <s:c r="P9" s="7" t="inlineStr">
        <s:is>
          <s:t>P3-E02</s:t>
        </s:is>
      </s:c>
    </s:row>
    <s:row r="10" ht="48" customHeight="1">
      <s:c r="A10" s="5" t="inlineStr">
        <s:is>
          <s:t>C05</s:t>
        </s:is>
      </s:c>
      <s:c r="B10" s="5" t="inlineStr">
        <s:is>
          <s:t>Electoral bonds</s:t>
        </s:is>
      </s:c>
      <s:c r="C10" s="5" t="inlineStr">
        <s:is>
          <s:t>2018–2024</s:t>
        </s:is>
      </s:c>
      <s:c r="D10" s="5" t="inlineStr">
        <s:is>
          <s:t>Anonymous corporate funding impaired voter information and electoral fairness.</s:t>
        </s:is>
      </s:c>
      <s:c r="E10" s="5" t="inlineStr">
        <s:is>
          <s:t>ADR and other petitioners</s:t>
        </s:is>
      </s:c>
      <s:c r="F10" s="5" t="inlineStr">
        <s:is>
          <s:t>Union defended the financing mechanism and urged judicial restraint.</s:t>
        </s:is>
      </s:c>
      <s:c r="G10" s="5" t="inlineStr">
        <s:is>
          <s:t>Supreme Court</s:t>
        </s:is>
      </s:c>
      <s:c r="H10" s="5" t="inlineStr">
        <s:is>
          <s:t>Scheme held unconstitutional, 15 February 2024</s:t>
        </s:is>
      </s:c>
      <s:c r="I10" s="5" t="inlineStr">
        <s:is>
          <s:t>Court invalidated scheme and ordered donor/recipient disclosure.</s:t>
        </s:is>
      </s:c>
      <s:c r="J10" s="5" t="inlineStr">
        <s:is>
          <s:t>Financing mechanism ended under judgment.</s:t>
        </s:is>
      </s:c>
      <s:c r="K10" s="5" t="inlineStr">
        <s:is>
          <s:t>P3</s:t>
        </s:is>
      </s:c>
      <s:c r="L10" s="5" t="inlineStr">
        <s:is>
          <s:t>Attributed position</s:t>
        </s:is>
      </s:c>
      <s:c r="M10" s="6" t="inlineStr">
        <s:is>
          <s:t>S046; S047</s:t>
        </s:is>
      </s:c>
      <s:c r="N10" s="5" t="inlineStr">
        <s:is>
          <s:t>No individual bribery or corruption conviction of Modi follows from this ruling.</s:t>
        </s:is>
      </s:c>
      <s:c r="O10" s="5" t="inlineStr">
        <s:is>
          <s:t>Multiple independent sources</s:t>
        </s:is>
      </s:c>
      <s:c r="P10" s="5" t="inlineStr">
        <s:is>
          <s:t>P3-E02</s:t>
        </s:is>
      </s:c>
    </s:row>
    <s:row r="11" ht="48" customHeight="1">
      <s:c r="A11" s="7" t="inlineStr">
        <s:is>
          <s:t>C06</s:t>
        </s:is>
      </s:c>
      <s:c r="B11" s="7" t="inlineStr">
        <s:is>
          <s:t>Citizenship and religious equality</s:t>
        </s:is>
      </s:c>
      <s:c r="C11" s="7" t="inlineStr">
        <s:is>
          <s:t>2019–2024 implementation</s:t>
        </s:is>
      </s:c>
      <s:c r="D11" s="7" t="inlineStr">
        <s:is>
          <s:t>Religious exclusions in citizenship pathway raise discrimination concerns.</s:t>
        </s:is>
      </s:c>
      <s:c r="E11" s="7" t="inlineStr">
        <s:is>
          <s:t>Rights organizations and opponents</s:t>
        </s:is>
      </s:c>
      <s:c r="F11" s="7" t="inlineStr">
        <s:is>
          <s:t>Modi stated the Act does not affect citizenship of existing Indians of any religion.</s:t>
        </s:is>
      </s:c>
      <s:c r="G11" s="7" t="inlineStr">
        <s:is>
          <s:t>Parliament; courts; public debate</s:t>
        </s:is>
      </s:c>
      <s:c r="H11" s="7" t="inlineStr">
        <s:is>
          <s:t>Law and rules adopted; criticism contested</s:t>
        </s:is>
      </s:c>
      <s:c r="I11" s="7" t="inlineStr">
        <s:is>
          <s:t>Rules operationalize the statutory pathway.</s:t>
        </s:is>
      </s:c>
      <s:c r="J11" s="7" t="inlineStr">
        <s:is>
          <s:t>Major controversy over belonging and equality.</s:t>
        </s:is>
      </s:c>
      <s:c r="K11" s="7" t="inlineStr">
        <s:is>
          <s:t>P3</s:t>
        </s:is>
      </s:c>
      <s:c r="L11" s="7" t="inlineStr">
        <s:is>
          <s:t>Attributed position</s:t>
        </s:is>
      </s:c>
      <s:c r="M11" s="8" t="inlineStr">
        <s:is>
          <s:t>S035; S036; S096</s:t>
        </s:is>
      </s:c>
      <s:c r="N11" s="7" t="inlineStr">
        <s:is>
          <s:t>This edition does not assert a final constitutional merits judgment.</s:t>
        </s:is>
      </s:c>
      <s:c r="O11" s="7" t="inlineStr">
        <s:is>
          <s:t>Primary record</s:t>
        </s:is>
      </s:c>
      <s:c r="P11" s="7" t="inlineStr">
        <s:is>
          <s:t>P3-E02</s:t>
        </s:is>
      </s:c>
    </s:row>
    <s:row r="12" ht="64" customHeight="1">
      <s:c r="A12" s="5" t="inlineStr">
        <s:is>
          <s:t>C07</s:t>
        </s:is>
      </s:c>
      <s:c r="B12" s="5" t="inlineStr">
        <s:is>
          <s:t>Minority treatment and campaign rhetoric</s:t>
        </s:is>
      </s:c>
      <s:c r="C12" s="5" t="inlineStr">
        <s:is>
          <s:t>2024–2025 assessed in 2026</s:t>
        </s:is>
      </s:c>
      <s:c r="D12" s="5" t="inlineStr">
        <s:is>
          <s:t>HRW criticizes anti-Muslim campaign speech and treatment of minorities; Freedom House describes rights deterioration.</s:t>
        </s:is>
      </s:c>
      <s:c r="E12" s="5" t="inlineStr">
        <s:is>
          <s:t>HRW; Freedom House</s:t>
        </s:is>
      </s:c>
      <s:c r="F12" s="5" t="inlineStr">
        <s:is>
          <s:t>Modi’s public position affirms constitutional religious freedom.</s:t>
        </s:is>
      </s:c>
      <s:c r="G12" s="5" t="inlineStr">
        <s:is>
          <s:t>Rights reporting / public debate</s:t>
        </s:is>
      </s:c>
      <s:c r="H12" s="5" t="inlineStr">
        <s:is>
          <s:t>Attributed assessments; no personal conviction asserted</s:t>
        </s:is>
      </s:c>
      <s:c r="I12" s="5" t="inlineStr">
        <s:is>
          <s:t>Criticism is supported by published assessments, with their methods and standpoint disclosed.</s:t>
        </s:is>
      </s:c>
      <s:c r="J12" s="5" t="inlineStr">
        <s:is>
          <s:t>Central to debate over pluralism and democratic quality.</s:t>
        </s:is>
      </s:c>
      <s:c r="K12" s="5" t="inlineStr">
        <s:is>
          <s:t>P3; P4</s:t>
        </s:is>
      </s:c>
      <s:c r="L12" s="5" t="inlineStr">
        <s:is>
          <s:t>Attributed position</s:t>
        </s:is>
      </s:c>
      <s:c r="M12" s="6" t="inlineStr">
        <s:is>
          <s:t>S049; S050; S048; S051</s:t>
        </s:is>
      </s:c>
      <s:c r="N12" s="5" t="inlineStr">
        <s:is>
          <s:t>General 2015 response is not a verified response to each later allegation; state and Union responsibility differ.</s:t>
        </s:is>
      </s:c>
      <s:c r="O12" s="5" t="inlineStr">
        <s:is>
          <s:t>Primary record</s:t>
        </s:is>
      </s:c>
      <s:c r="P12" s="5" t="inlineStr">
        <s:is>
          <s:t>P3-E02; P4-E02</s:t>
        </s:is>
      </s:c>
    </s:row>
    <s:row r="13" ht="64" customHeight="1">
      <s:c r="A13" s="7" t="inlineStr">
        <s:is>
          <s:t>C08</s:t>
        </s:is>
      </s:c>
      <s:c r="B13" s="7" t="inlineStr">
        <s:is>
          <s:t>Rafale procurement litigation</s:t>
        </s:is>
      </s:c>
      <s:c r="C13" s="7" t="inlineStr">
        <s:is>
          <s:t>2018–2019 disposition</s:t>
        </s:is>
      </s:c>
      <s:c r="D13" s="7" t="inlineStr">
        <s:is>
          <s:t>Petitioners sought investigation and challenged the procurement decision.</s:t>
        </s:is>
      </s:c>
      <s:c r="E13" s="7" t="inlineStr">
        <s:is>
          <s:t>Litigants and political critics</s:t>
        </s:is>
      </s:c>
      <s:c r="F13" s="7" t="inlineStr">
        <s:is>
          <s:t>Union defended procurement and opposed intervention.</s:t>
        </s:is>
      </s:c>
      <s:c r="G13" s="7" t="inlineStr">
        <s:is>
          <s:t>Supreme Court</s:t>
        </s:is>
      </s:c>
      <s:c r="H13" s="7" t="inlineStr">
        <s:is>
          <s:t>Review petitions dismissed, 14 November 2019</s:t>
        </s:is>
      </s:c>
      <s:c r="I13" s="7" t="inlineStr">
        <s:is>
          <s:t>Court declined review within its limited jurisdiction.</s:t>
        </s:is>
      </s:c>
      <s:c r="J13" s="7" t="inlineStr">
        <s:is>
          <s:t>No court-ordered probe followed from these petitions.</s:t>
        </s:is>
      </s:c>
      <s:c r="K13" s="7" t="inlineStr">
        <s:is>
          <s:t>P3</s:t>
        </s:is>
      </s:c>
      <s:c r="L13" s="7" t="inlineStr">
        <s:is>
          <s:t>Attributed position</s:t>
        </s:is>
      </s:c>
      <s:c r="M13" s="8" t="inlineStr">
        <s:is>
          <s:t>S054</s:t>
        </s:is>
      </s:c>
      <s:c r="N13" s="7" t="inlineStr">
        <s:is>
          <s:t>No claim of personal conviction; full procurement merits not independently reconstructed.</s:t>
        </s:is>
      </s:c>
      <s:c r="O13" s="7" t="inlineStr">
        <s:is>
          <s:t>Single credible source</s:t>
        </s:is>
      </s:c>
      <s:c r="P13" s="7" t="inlineStr">
        <s:is>
          <s:t>P3-E02</s:t>
        </s:is>
      </s:c>
    </s:row>
    <s:row r="14" ht="80" customHeight="1">
      <s:c r="A14" s="5" t="inlineStr">
        <s:is>
          <s:t>C09</s:t>
        </s:is>
      </s:c>
      <s:c r="B14" s="5" t="inlineStr">
        <s:is>
          <s:t>Pegasus surveillance allegations</s:t>
        </s:is>
      </s:c>
      <s:c r="C14" s="5" t="inlineStr">
        <s:is>
          <s:t>2021–2022 reviewed record</s:t>
        </s:is>
      </s:c>
      <s:c r="D14" s="5" t="inlineStr">
        <s:is>
          <s:t>Alleged use of spyware against journalists and public figures.</s:t>
        </s:is>
      </s:c>
      <s:c r="E14" s="5" t="inlineStr">
        <s:is>
          <s:t>Petitioners / investigative reporting</s:t>
        </s:is>
      </s:c>
      <s:c r="F14" s="5" t="inlineStr">
        <s:is>
          <s:t>Union invoked national-security concerns and did not publicly clarify use.</s:t>
        </s:is>
      </s:c>
      <s:c r="G14" s="5" t="inlineStr">
        <s:is>
          <s:t>Supreme Court technical inquiry</s:t>
        </s:is>
      </s:c>
      <s:c r="H14" s="5" t="inlineStr">
        <s:is>
          <s:t>Inquiry record; no final merits outcome claimed</s:t>
        </s:is>
      </s:c>
      <s:c r="I14" s="5" t="inlineStr">
        <s:is>
          <s:t>SCO reports sealed technical findings and non-cooperation.</s:t>
        </s:is>
      </s:c>
      <s:c r="J14" s="5" t="inlineStr">
        <s:is>
          <s:t>Accountability and privacy questions persisted in the reviewed record.</s:t>
        </s:is>
      </s:c>
      <s:c r="K14" s="5" t="inlineStr">
        <s:is>
          <s:t>P3</s:t>
        </s:is>
      </s:c>
      <s:c r="L14" s="5" t="inlineStr">
        <s:is>
          <s:t>Attributed position</s:t>
        </s:is>
      </s:c>
      <s:c r="M14" s="6" t="inlineStr">
        <s:is>
          <s:t>S052; S053</s:t>
        </s:is>
      </s:c>
      <s:c r="N14" s="5" t="inlineStr">
        <s:is>
          <s:t>These are two pages from one organization, not independent corroboration. Personal authorization by Modi not established; 2026 final status not verified.</s:t>
        </s:is>
      </s:c>
      <s:c r="O14" s="5" t="inlineStr">
        <s:is>
          <s:t>Single credible source</s:t>
        </s:is>
      </s:c>
      <s:c r="P14" s="5" t="inlineStr">
        <s:is>
          <s:t>P3-E02</s:t>
        </s:is>
      </s:c>
    </s:row>
    <s:row r="15" ht="64" customHeight="1">
      <s:c r="A15" s="7" t="inlineStr">
        <s:is>
          <s:t>C10</s:t>
        </s:is>
      </s:c>
      <s:c r="B15" s="7" t="inlineStr">
        <s:is>
          <s:t>Adani-related regulatory scrutiny</s:t>
        </s:is>
      </s:c>
      <s:c r="C15" s="7" t="inlineStr">
        <s:is>
          <s:t>2023–2024 court decision</s:t>
        </s:is>
      </s:c>
      <s:c r="D15" s="7" t="inlineStr">
        <s:is>
          <s:t>Short-seller allegations raised stock-market and regulatory questions.</s:t>
        </s:is>
      </s:c>
      <s:c r="E15" s="7" t="inlineStr">
        <s:is>
          <s:t>Hindenburg; court petitioners</s:t>
        </s:is>
      </s:c>
      <s:c r="F15" s="7" t="inlineStr">
        <s:is>
          <s:t>Company and regulatory responses are distinct from Modi’s response; specific PM response not verified.</s:t>
        </s:is>
      </s:c>
      <s:c r="G15" s="7" t="inlineStr">
        <s:is>
          <s:t>Supreme Court / SEBI</s:t>
        </s:is>
      </s:c>
      <s:c r="H15" s="7" t="inlineStr">
        <s:is>
          <s:t>3 January 2024 judgment on regulatory inquiry</s:t>
        </s:is>
      </s:c>
      <s:c r="I15" s="7" t="inlineStr">
        <s:is>
          <s:t>Court declined transfer from SEBI to another investigative body.</s:t>
        </s:is>
      </s:c>
      <s:c r="J15" s="7" t="inlineStr">
        <s:is>
          <s:t>Political debate extended beyond the legal questions decided.</s:t>
        </s:is>
      </s:c>
      <s:c r="K15" s="7" t="inlineStr">
        <s:is>
          <s:t>P3</s:t>
        </s:is>
      </s:c>
      <s:c r="L15" s="7" t="inlineStr">
        <s:is>
          <s:t>Attributed position</s:t>
        </s:is>
      </s:c>
      <s:c r="M15" s="8" t="inlineStr">
        <s:is>
          <s:t>S055</s:t>
        </s:is>
      </s:c>
      <s:c r="N15" s="7" t="inlineStr">
        <s:is>
          <s:t>No personal wrongdoing finding against Modi established by this judgment. Later proceedings not comprehensively tracked.</s:t>
        </s:is>
      </s:c>
      <s:c r="O15" s="7" t="inlineStr">
        <s:is>
          <s:t>Primary record</s:t>
        </s:is>
      </s:c>
      <s:c r="P15" s="7" t="inlineStr">
        <s:is>
          <s:t>P3-E02</s:t>
        </s:is>
      </s:c>
    </s:row>
    <s:row r="16" ht="48" customHeight="1">
      <s:c r="A16" s="5" t="inlineStr">
        <s:is>
          <s:t>C11</s:t>
        </s:is>
      </s:c>
      <s:c r="B16" s="5" t="inlineStr">
        <s:is>
          <s:t>Manipur governance and political response</s:t>
        </s:is>
      </s:c>
      <s:c r="C16" s="5" t="inlineStr">
        <s:is>
          <s:t>2023 violence; September 2025 visit</s:t>
        </s:is>
      </s:c>
      <s:c r="D16" s="5" t="inlineStr">
        <s:is>
          <s:t>Delay in prime-ministerial visit became a symbol of criticism of the response.</s:t>
        </s:is>
      </s:c>
      <s:c r="E16" s="5" t="inlineStr">
        <s:is>
          <s:t>Opposition / reporting</s:t>
        </s:is>
      </s:c>
      <s:c r="F16" s="5" t="inlineStr">
        <s:is>
          <s:t>Government emphasized development projects and restoration efforts.</s:t>
        </s:is>
      </s:c>
      <s:c r="G16" s="5" t="inlineStr">
        <s:is>
          <s:t>Political accountability</s:t>
        </s:is>
      </s:c>
      <s:c r="H16" s="5" t="inlineStr">
        <s:is>
          <s:t>Visit confirmed on 13 September 2025</s:t>
        </s:is>
      </s:c>
      <s:c r="I16" s="5" t="inlineStr">
        <s:is>
          <s:t>Official visit record and reporting establish context, not durable peace.</s:t>
        </s:is>
      </s:c>
      <s:c r="J16" s="5" t="inlineStr">
        <s:is>
          <s:t>Tests Centre–state crisis management.</s:t>
        </s:is>
      </s:c>
      <s:c r="K16" s="5" t="inlineStr">
        <s:is>
          <s:t>P3; P4</s:t>
        </s:is>
      </s:c>
      <s:c r="L16" s="5" t="inlineStr">
        <s:is>
          <s:t>Attributed position</s:t>
        </s:is>
      </s:c>
      <s:c r="M16" s="6" t="inlineStr">
        <s:is>
          <s:t>S067; S092</s:t>
        </s:is>
      </s:c>
      <s:c r="N16" s="5" t="inlineStr">
        <s:is>
          <s:t>No comprehensive 2026 security assessment or individual liability finding asserted.</s:t>
        </s:is>
      </s:c>
      <s:c r="O16" s="5" t="inlineStr">
        <s:is>
          <s:t>Primary record</s:t>
        </s:is>
      </s:c>
      <s:c r="P16" s="5" t="inlineStr">
        <s:is>
          <s:t>P3-E02; P4-E02</s:t>
        </s:is>
      </s:c>
    </s:row>
    <s:row r="17" ht="64" customHeight="1">
      <s:c r="A17" s="7" t="inlineStr">
        <s:is>
          <s:t>C12</s:t>
        </s:is>
      </s:c>
      <s:c r="B17" s="7" t="inlineStr">
        <s:is>
          <s:t>Security escalation and ceasefire credit</s:t>
        </s:is>
      </s:c>
      <s:c r="C17" s="7" t="inlineStr">
        <s:is>
          <s:t>May 2025</s:t>
        </s:is>
      </s:c>
      <s:c r="D17" s="7" t="inlineStr">
        <s:is>
          <s:t>Disputed accounts concern responsibility, military effectiveness and international facilitation.</s:t>
        </s:is>
      </s:c>
      <s:c r="E17" s="7" t="inlineStr">
        <s:is>
          <s:t>Indian, Pakistani and international actors</s:t>
        </s:is>
      </s:c>
      <s:c r="F17" s="7" t="inlineStr">
        <s:is>
          <s:t>India described counter-terror action and direct DGMO contact.</s:t>
        </s:is>
      </s:c>
      <s:c r="G17" s="7" t="inlineStr">
        <s:is>
          <s:t>Diplomatic and military channels</s:t>
        </s:is>
      </s:c>
      <s:c r="H17" s="7" t="inlineStr">
        <s:is>
          <s:t>Cessation agreement reported on 10 May</s:t>
        </s:is>
      </s:c>
      <s:c r="I17" s="7" t="inlineStr">
        <s:is>
          <s:t>Indian and external accounts differ on facilitation; losses not quantified here.</s:t>
        </s:is>
      </s:c>
      <s:c r="J17" s="7" t="inlineStr">
        <s:is>
          <s:t>Escalation between nuclear-armed neighbors raised serious risks.</s:t>
        </s:is>
      </s:c>
      <s:c r="K17" s="7" t="inlineStr">
        <s:is>
          <s:t>P4</s:t>
        </s:is>
      </s:c>
      <s:c r="L17" s="7" t="inlineStr">
        <s:is>
          <s:t>Attributed position</s:t>
        </s:is>
      </s:c>
      <s:c r="M17" s="8" t="inlineStr">
        <s:is>
          <s:t>S060; S061; S062</s:t>
        </s:is>
      </s:c>
      <s:c r="N17" s="7" t="inlineStr">
        <s:is>
          <s:t>Attribute operational and mediation claims; do not declare an independently verified military victory.</s:t>
        </s:is>
      </s:c>
      <s:c r="O17" s="7" t="inlineStr">
        <s:is>
          <s:t>Primary record</s:t>
        </s:is>
      </s:c>
      <s:c r="P17" s="7" t="inlineStr">
        <s:is>
          <s:t>P4-E02</s:t>
        </s:is>
      </s:c>
    </s:row>
  </s:sheetData>
  <s:autoFilter ref="A5:P17"/>
  <s:mergeCells count="2">
    <s:mergeCell ref="A2:F2"/>
    <s:mergeCell ref="A1:F1"/>
  </s:mergeCells>
  <s:hyperlinks>
    <s:hyperlink ref="A3" r:id="rId1"/>
    <s:hyperlink ref="M6" r:id="rId2"/>
    <s:hyperlink ref="M7" r:id="rId3"/>
    <s:hyperlink ref="M8" r:id="rId4"/>
    <s:hyperlink ref="M9" r:id="rId5"/>
    <s:hyperlink ref="M10" r:id="rId6"/>
    <s:hyperlink ref="M11" r:id="rId7"/>
    <s:hyperlink ref="M12" r:id="rId8"/>
    <s:hyperlink ref="M13" r:id="rId9"/>
    <s:hyperlink ref="M14" r:id="rId10"/>
    <s:hyperlink ref="M15" r:id="rId11"/>
    <s:hyperlink ref="M16" r:id="rId12"/>
    <s:hyperlink ref="M17" r:id="rId13"/>
  </s:hyperlinks>
  <s:printOptions horizontalCentered="0"/>
  <s:pageMargins left="0.75" right="0.75" top="1" bottom="1" header="0.5" footer="0.5"/>
  <s:pageSetup orientation="landscape" paperSize="8" fitToHeight="0" fitToWidth="3"/>
  <s:headerFooter>
    <s:oddHeader/>
    <s:oddFooter>&amp;C&amp;8 Narendra Modi research | 24 Sep 2026 | Page &amp;P of &amp;N</s:oddFooter>
    <s:evenHeader/>
    <s:evenFooter/>
    <s:firstHeader/>
    <s:firstFooter/>
  </s:headerFooter>
  <s:tableParts count="1">
    <s:tablePart r:id="rId14"/>
  </s:tableParts>
</s:worksheet>
</file>

<file path=xl/worksheets/sheet9.xml><?xml version="1.0" encoding="utf-8"?>
<s:worksheet xmlns:r="http://schemas.openxmlformats.org/officeDocument/2006/relationships" xmlns:s="http://schemas.openxmlformats.org/spreadsheetml/2006/main">
  <s:sheetPr>
    <s:tabColor rgb="0017324D"/>
    <s:outlinePr summaryBelow="1" summaryRight="0"/>
    <s:pageSetUpPr fitToPage="1"/>
  </s:sheetPr>
  <s:dimension ref="A1:M15"/>
  <s:sheetViews>
    <s:sheetView showGridLines="0" zoomScale="85" workbookViewId="0">
      <s:pane xSplit="2" ySplit="5" topLeftCell="C6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13" customWidth="1" min="1" max="1"/>
    <s:col width="29" customWidth="1" min="2" max="2"/>
    <s:col width="29" customWidth="1" min="3" max="3"/>
    <s:col width="29" customWidth="1" min="4" max="4"/>
    <s:col width="67" customWidth="1" min="5" max="5"/>
    <s:col width="29" customWidth="1" min="6" max="6"/>
    <s:col width="48" customWidth="1" min="7" max="7"/>
    <s:col width="16" customWidth="1" min="8" max="8"/>
    <s:col width="29" customWidth="1" min="9" max="9"/>
    <s:col width="22" customWidth="1" min="10" max="10"/>
    <s:col width="48" customWidth="1" min="11" max="11"/>
    <s:col width="29" customWidth="1" min="12" max="12"/>
    <s:col width="13" customWidth="1" min="13" max="13"/>
  </s:cols>
  <s:sheetData>
    <s:row r="1" ht="36" customHeight="1">
      <s:c r="A1" s="1" t="inlineStr">
        <s:is>
          <s:t>NARENDRA MODI  |  LEGACY &amp; ASSESSMENTS</s:t>
        </s:is>
      </s:c>
    </s:row>
    <s:row r="2" ht="24" customHeight="1">
      <s:c r="A2" s="2" t="inlineStr">
        <s:is>
          <s:t>As of 24 Sep 2026  •  Source IDs link to the source register  •  Scroll right for evidence notes</s:t>
        </s:is>
      </s:c>
    </s:row>
    <s:row r="3">
      <s:c r="A3" s="3" t="inlineStr">
        <s:is>
          <s:t>CONTENTS</s:t>
        </s:is>
      </s:c>
    </s:row>
    <s:row r="5" ht="34" customHeight="1">
      <s:c r="A5" s="4" t="inlineStr">
        <s:is>
          <s:t>Assessment ID</s:t>
        </s:is>
      </s:c>
      <s:c r="B5" s="4" t="inlineStr">
        <s:is>
          <s:t>Theme</s:t>
        </s:is>
      </s:c>
      <s:c r="C5" s="4" t="inlineStr">
        <s:is>
          <s:t>Assessor</s:t>
        </s:is>
      </s:c>
      <s:c r="D5" s="4" t="inlineStr">
        <s:is>
          <s:t>Assessor type</s:t>
        </s:is>
      </s:c>
      <s:c r="E5" s="4" t="inlineStr">
        <s:is>
          <s:t>Interpretation</s:t>
        </s:is>
      </s:c>
      <s:c r="F5" s="4" t="inlineStr">
        <s:is>
          <s:t>Supporting evidence / view</s:t>
        </s:is>
      </s:c>
      <s:c r="G5" s="4" t="inlineStr">
        <s:is>
          <s:t>Competing view / limitation</s:t>
        </s:is>
      </s:c>
      <s:c r="H5" s="4" t="inlineStr">
        <s:is>
          <s:t>Career phase</s:t>
        </s:is>
      </s:c>
      <s:c r="I5" s="4" t="inlineStr">
        <s:is>
          <s:t>Claim type</s:t>
        </s:is>
      </s:c>
      <s:c r="J5" s="4" t="inlineStr">
        <s:is>
          <s:t>Source IDs</s:t>
        </s:is>
      </s:c>
      <s:c r="K5" s="4" t="inlineStr">
        <s:is>
          <s:t>Research note</s:t>
        </s:is>
      </s:c>
      <s:c r="L5" s="4" t="inlineStr">
        <s:is>
          <s:t>Corroboration</s:t>
        </s:is>
      </s:c>
      <s:c r="M5" s="4" t="inlineStr">
        <s:is>
          <s:t>Context ID</s:t>
        </s:is>
      </s:c>
    </s:row>
    <s:row r="6" ht="48" customHeight="1">
      <s:c r="A6" s="5" t="inlineStr">
        <s:is>
          <s:t>L01</s:t>
        </s:is>
      </s:c>
      <s:c r="B6" s="5" t="inlineStr">
        <s:is>
          <s:t>State development</s:t>
        </s:is>
      </s:c>
      <s:c r="C6" s="5" t="inlineStr">
        <s:is>
          <s:t>Vaishnav; Jaffrelot</s:t>
        </s:is>
      </s:c>
      <s:c r="D6" s="5" t="inlineStr">
        <s:is>
          <s:t>Research analysts</s:t>
        </s:is>
      </s:c>
      <s:c r="E6" s="5" t="inlineStr">
        <s:is>
          <s:t>Gujarat’s economic record helped establish a national claim to leadership.</s:t>
        </s:is>
      </s:c>
      <s:c r="F6" s="5" t="inlineStr">
        <s:is>
          <s:t>Growth and investment performance</s:t>
        </s:is>
      </s:c>
      <s:c r="G6" s="5" t="inlineStr">
        <s:is>
          <s:t>Social outcomes and labour absorption complicate celebration.</s:t>
        </s:is>
      </s:c>
      <s:c r="H6" s="5" t="inlineStr">
        <s:is>
          <s:t>P2</s:t>
        </s:is>
      </s:c>
      <s:c r="I6" s="5" t="inlineStr">
        <s:is>
          <s:t>Analysis</s:t>
        </s:is>
      </s:c>
      <s:c r="J6" s="6" t="inlineStr">
        <s:is>
          <s:t>S016; S017</s:t>
        </s:is>
      </s:c>
      <s:c r="K6" s="5" t="inlineStr">
        <s:is>
          <s:t>Comparison supports a qualified assessment, not a personality-based causal estimate.</s:t>
        </s:is>
      </s:c>
      <s:c r="L6" s="5" t="inlineStr">
        <s:is>
          <s:t>Single credible source</s:t>
        </s:is>
      </s:c>
      <s:c r="M6" s="5" t="inlineStr">
        <s:is>
          <s:t>P2-E02</s:t>
        </s:is>
      </s:c>
    </s:row>
    <s:row r="7" ht="48" customHeight="1">
      <s:c r="A7" s="7" t="inlineStr">
        <s:is>
          <s:t>L02</s:t>
        </s:is>
      </s:c>
      <s:c r="B7" s="7" t="inlineStr">
        <s:is>
          <s:t>Service delivery</s:t>
        </s:is>
      </s:c>
      <s:c r="C7" s="7" t="inlineStr">
        <s:is>
          <s:t>IWMI; scheme records; CAG</s:t>
        </s:is>
      </s:c>
      <s:c r="D7" s="7" t="inlineStr">
        <s:is>
          <s:t>Institutions and audit</s:t>
        </s:is>
      </s:c>
      <s:c r="E7" s="7" t="inlineStr">
        <s:is>
          <s:t>Scalable administrative interventions are a consequential part of the record.</s:t>
        </s:is>
      </s:c>
      <s:c r="F7" s="7" t="inlineStr">
        <s:is>
          <s:t>Electricity and access programs</s:t>
        </s:is>
      </s:c>
      <s:c r="G7" s="7" t="inlineStr">
        <s:is>
          <s:t>Connection or infrastructure counts differ from sustained quality.</s:t>
        </s:is>
      </s:c>
      <s:c r="H7" s="7" t="inlineStr">
        <s:is>
          <s:t>P2; P3</s:t>
        </s:is>
      </s:c>
      <s:c r="I7" s="7" t="inlineStr">
        <s:is>
          <s:t>Analysis</s:t>
        </s:is>
      </s:c>
      <s:c r="J7" s="8" t="inlineStr">
        <s:is>
          <s:t>S018; S022; S025</s:t>
        </s:is>
      </s:c>
      <s:c r="K7" s="7" t="inlineStr">
        <s:is>
          <s:t>Assess mechanisms and user outcomes separately.</s:t>
        </s:is>
      </s:c>
      <s:c r="L7" s="7" t="inlineStr">
        <s:is>
          <s:t>Primary record</s:t>
        </s:is>
      </s:c>
      <s:c r="M7" s="7" t="inlineStr">
        <s:is>
          <s:t>P2-E02; P3-E02</s:t>
        </s:is>
      </s:c>
    </s:row>
    <s:row r="8" ht="48" customHeight="1">
      <s:c r="A8" s="5" t="inlineStr">
        <s:is>
          <s:t>L03</s:t>
        </s:is>
      </s:c>
      <s:c r="B8" s="5" t="inlineStr">
        <s:is>
          <s:t>Economic transformation</s:t>
        </s:is>
      </s:c>
      <s:c r="C8" s="5" t="inlineStr">
        <s:is>
          <s:t>World Bank; ILO</s:t>
        </s:is>
      </s:c>
      <s:c r="D8" s="5" t="inlineStr">
        <s:is>
          <s:t>Research institutions</s:t>
        </s:is>
      </s:c>
      <s:c r="E8" s="5" t="inlineStr">
        <s:is>
          <s:t>Poverty reduction coexists with questions about good jobs and shared gains.</s:t>
        </s:is>
      </s:c>
      <s:c r="F8" s="5" t="inlineStr">
        <s:is>
          <s:t>Household-consumption estimates</s:t>
        </s:is>
      </s:c>
      <s:c r="G8" s="5" t="inlineStr">
        <s:is>
          <s:t>Aggregate progress is not wholly attributable to one administration.</s:t>
        </s:is>
      </s:c>
      <s:c r="H8" s="5" t="inlineStr">
        <s:is>
          <s:t>P3; P4</s:t>
        </s:is>
      </s:c>
      <s:c r="I8" s="5" t="inlineStr">
        <s:is>
          <s:t>Analysis</s:t>
        </s:is>
      </s:c>
      <s:c r="J8" s="6" t="inlineStr">
        <s:is>
          <s:t>S056; S057</s:t>
        </s:is>
      </s:c>
      <s:c r="K8" s="5" t="inlineStr">
        <s:is>
          <s:t>Reference periods and measurement methods govern comparison.</s:t>
        </s:is>
      </s:c>
      <s:c r="L8" s="5" t="inlineStr">
        <s:is>
          <s:t>Multiple independent sources</s:t>
        </s:is>
      </s:c>
      <s:c r="M8" s="5" t="inlineStr">
        <s:is>
          <s:t>P3-E02; P4-E02</s:t>
        </s:is>
      </s:c>
    </s:row>
    <s:row r="9" ht="64" customHeight="1">
      <s:c r="A9" s="7" t="inlineStr">
        <s:is>
          <s:t>L04</s:t>
        </s:is>
      </s:c>
      <s:c r="B9" s="7" t="inlineStr">
        <s:is>
          <s:t>Institutional accountability</s:t>
        </s:is>
      </s:c>
      <s:c r="C9" s="7" t="inlineStr">
        <s:is>
          <s:t>Court records and legal reporting</s:t>
        </s:is>
      </s:c>
      <s:c r="D9" s="7" t="inlineStr">
        <s:is>
          <s:t>Judiciary / analysts</s:t>
        </s:is>
      </s:c>
      <s:c r="E9" s="7" t="inlineStr">
        <s:is>
          <s:t>Judicial outcomes cut in different directions across major disputes.</s:t>
        </s:is>
      </s:c>
      <s:c r="F9" s="7" t="inlineStr">
        <s:is>
          <s:t>Closure upheld in Gujarat complaint; bonds invalidated</s:t>
        </s:is>
      </s:c>
      <s:c r="G9" s="7" t="inlineStr">
        <s:is>
          <s:t>Neither broad exoneration nor universal institutional capture follows automatically.</s:t>
        </s:is>
      </s:c>
      <s:c r="H9" s="7" t="inlineStr">
        <s:is>
          <s:t>P2; P3</s:t>
        </s:is>
      </s:c>
      <s:c r="I9" s="7" t="inlineStr">
        <s:is>
          <s:t>Analysis</s:t>
        </s:is>
      </s:c>
      <s:c r="J9" s="8" t="inlineStr">
        <s:is>
          <s:t>S019; S046</s:t>
        </s:is>
      </s:c>
      <s:c r="K9" s="7" t="inlineStr">
        <s:is>
          <s:t>Identify the question decided in each case.</s:t>
        </s:is>
      </s:c>
      <s:c r="L9" s="7" t="inlineStr">
        <s:is>
          <s:t>Primary record</s:t>
        </s:is>
      </s:c>
      <s:c r="M9" s="7" t="inlineStr">
        <s:is>
          <s:t>P2-E02; P3-E02</s:t>
        </s:is>
      </s:c>
    </s:row>
    <s:row r="10" ht="48" customHeight="1">
      <s:c r="A10" s="5" t="inlineStr">
        <s:is>
          <s:t>L05</s:t>
        </s:is>
      </s:c>
      <s:c r="B10" s="5" t="inlineStr">
        <s:is>
          <s:t>National identity</s:t>
        </s:is>
      </s:c>
      <s:c r="C10" s="5" t="inlineStr">
        <s:is>
          <s:t>Christophe Jaffrelot</s:t>
        </s:is>
      </s:c>
      <s:c r="D10" s="5" t="inlineStr">
        <s:is>
          <s:t>Scholar</s:t>
        </s:is>
      </s:c>
      <s:c r="E10" s="5" t="inlineStr">
        <s:is>
          <s:t>Jaffrelot argues that Hindu majoritarianism has reshaped democratic belonging.</s:t>
        </s:is>
      </s:c>
      <s:c r="F10" s="5" t="inlineStr">
        <s:is>
          <s:t>Academic book’s stated thesis</s:t>
        </s:is>
      </s:c>
      <s:c r="G10" s="5" t="inlineStr">
        <s:is>
          <s:t>Government affirms constitutional equality and religious freedom.</s:t>
        </s:is>
      </s:c>
      <s:c r="H10" s="5" t="inlineStr">
        <s:is>
          <s:t>P3</s:t>
        </s:is>
      </s:c>
      <s:c r="I10" s="5" t="inlineStr">
        <s:is>
          <s:t>Analysis</s:t>
        </s:is>
      </s:c>
      <s:c r="J10" s="6" t="inlineStr">
        <s:is>
          <s:t>S072; S051</s:t>
        </s:is>
      </s:c>
      <s:c r="K10" s="5" t="inlineStr">
        <s:is>
          <s:t>Book synopsis only; thesis attributed rather than endorsed as uncontested fact.</s:t>
        </s:is>
      </s:c>
      <s:c r="L10" s="5" t="inlineStr">
        <s:is>
          <s:t>Primary record</s:t>
        </s:is>
      </s:c>
      <s:c r="M10" s="5" t="inlineStr">
        <s:is>
          <s:t>P3-E02</s:t>
        </s:is>
      </s:c>
    </s:row>
    <s:row r="11" ht="64" customHeight="1">
      <s:c r="A11" s="7" t="inlineStr">
        <s:is>
          <s:t>L06</s:t>
        </s:is>
      </s:c>
      <s:c r="B11" s="7" t="inlineStr">
        <s:is>
          <s:t>Democratic quality</s:t>
        </s:is>
      </s:c>
      <s:c r="C11" s="7" t="inlineStr">
        <s:is>
          <s:t>Freedom House; HRW</s:t>
        </s:is>
      </s:c>
      <s:c r="D11" s="7" t="inlineStr">
        <s:is>
          <s:t>Rights organizations</s:t>
        </s:is>
      </s:c>
      <s:c r="E11" s="7" t="inlineStr">
        <s:is>
          <s:t>Recent assessments criticize freedoms and minority treatment.</s:t>
        </s:is>
      </s:c>
      <s:c r="F11" s="7" t="inlineStr">
        <s:is>
          <s:t>Freedom House 2026: 62/100, Partly Free</s:t>
        </s:is>
      </s:c>
      <s:c r="G11" s="7" t="inlineStr">
        <s:is>
          <s:t>Competitive elections and government rebuttals must be considered alongside rights evidence.</s:t>
        </s:is>
      </s:c>
      <s:c r="H11" s="7" t="inlineStr">
        <s:is>
          <s:t>P4</s:t>
        </s:is>
      </s:c>
      <s:c r="I11" s="7" t="inlineStr">
        <s:is>
          <s:t>Analysis</s:t>
        </s:is>
      </s:c>
      <s:c r="J11" s="8" t="inlineStr">
        <s:is>
          <s:t>S048; S050; S012</s:t>
        </s:is>
      </s:c>
      <s:c r="K11" s="7" t="inlineStr">
        <s:is>
          <s:t>Indices are not court findings; elections alone do not settle rights questions.</s:t>
        </s:is>
      </s:c>
      <s:c r="L11" s="7" t="inlineStr">
        <s:is>
          <s:t>Multiple independent sources</s:t>
        </s:is>
      </s:c>
      <s:c r="M11" s="7" t="inlineStr">
        <s:is>
          <s:t>P4-E02</s:t>
        </s:is>
      </s:c>
    </s:row>
    <s:row r="12" ht="48" customHeight="1">
      <s:c r="A12" s="5" t="inlineStr">
        <s:is>
          <s:t>L07</s:t>
        </s:is>
      </s:c>
      <s:c r="B12" s="5" t="inlineStr">
        <s:is>
          <s:t>Gender</s:t>
        </s:is>
      </s:c>
      <s:c r="C12" s="5" t="inlineStr">
        <s:is>
          <s:t>Srivastava; legislative record</s:t>
        </s:is>
      </s:c>
      <s:c r="D12" s="5" t="inlineStr">
        <s:is>
          <s:t>Scholar / legislation</s:t>
        </s:is>
      </s:c>
      <s:c r="E12" s="5" t="inlineStr">
        <s:is>
          <s:t>Masculine leadership imagery and women-focused policy can coexist.</s:t>
        </s:is>
      </s:c>
      <s:c r="F12" s="5" t="inlineStr">
        <s:is>
          <s:t>Public representation and quota legislation</s:t>
        </s:is>
      </s:c>
      <s:c r="G12" s="5" t="inlineStr">
        <s:is>
          <s:t>Neither image nor legislation proves substantive equality.</s:t>
        </s:is>
      </s:c>
      <s:c r="H12" s="5" t="inlineStr">
        <s:is>
          <s:t>P3; P4</s:t>
        </s:is>
      </s:c>
      <s:c r="I12" s="5" t="inlineStr">
        <s:is>
          <s:t>Analysis</s:t>
        </s:is>
      </s:c>
      <s:c r="J12" s="6" t="inlineStr">
        <s:is>
          <s:t>S044; S040</s:t>
        </s:is>
      </s:c>
      <s:c r="K12" s="5" t="inlineStr">
        <s:is>
          <s:t>Use relevant peers and actual implementation evidence.</s:t>
        </s:is>
      </s:c>
      <s:c r="L12" s="5" t="inlineStr">
        <s:is>
          <s:t>Multiple independent sources</s:t>
        </s:is>
      </s:c>
      <s:c r="M12" s="5" t="inlineStr">
        <s:is>
          <s:t>P3-E02; P4-E02</s:t>
        </s:is>
      </s:c>
    </s:row>
    <s:row r="13" ht="48" customHeight="1">
      <s:c r="A13" s="7" t="inlineStr">
        <s:is>
          <s:t>L08</s:t>
        </s:is>
      </s:c>
      <s:c r="B13" s="7" t="inlineStr">
        <s:is>
          <s:t>Coalition resilience</s:t>
        </s:is>
      </s:c>
      <s:c r="C13" s="7" t="inlineStr">
        <s:is>
          <s:t>Election and parliamentary records</s:t>
        </s:is>
      </s:c>
      <s:c r="D13" s="7" t="inlineStr">
        <s:is>
          <s:t>Research synthesis</s:t>
        </s:is>
      </s:c>
      <s:c r="E13" s="7" t="inlineStr">
        <s:is>
          <s:t>Third-term politics combines continued electoral strength with institutional constraints.</s:t>
        </s:is>
      </s:c>
      <s:c r="F13" s="7" t="inlineStr">
        <s:is>
          <s:t>Bihar and Bengal gains</s:t>
        </s:is>
      </s:c>
      <s:c r="G13" s="7" t="inlineStr">
        <s:is>
          <s:t>Failure of the 2026 amendment shows limits of parliamentary numbers.</s:t>
        </s:is>
      </s:c>
      <s:c r="H13" s="7" t="inlineStr">
        <s:is>
          <s:t>P4</s:t>
        </s:is>
      </s:c>
      <s:c r="I13" s="7" t="inlineStr">
        <s:is>
          <s:t>Analysis</s:t>
        </s:is>
      </s:c>
      <s:c r="J13" s="8" t="inlineStr">
        <s:is>
          <s:t>S065; S066; S041</s:t>
        </s:is>
      </s:c>
      <s:c r="K13" s="7" t="inlineStr">
        <s:is>
          <s:t>State electoral wins are not personal parliamentary victories.</s:t>
        </s:is>
      </s:c>
      <s:c r="L13" s="7" t="inlineStr">
        <s:is>
          <s:t>Primary record</s:t>
        </s:is>
      </s:c>
      <s:c r="M13" s="7" t="inlineStr">
        <s:is>
          <s:t>P4-E02</s:t>
        </s:is>
      </s:c>
    </s:row>
    <s:row r="14" ht="48" customHeight="1">
      <s:c r="A14" s="5" t="inlineStr">
        <s:is>
          <s:t>L09</s:t>
        </s:is>
      </s:c>
      <s:c r="B14" s="5" t="inlineStr">
        <s:is>
          <s:t>Global role</s:t>
        </s:is>
      </s:c>
      <s:c r="C14" s="5" t="inlineStr">
        <s:is>
          <s:t>G20 presidency; EU institutions</s:t>
        </s:is>
      </s:c>
      <s:c r="D14" s="5" t="inlineStr">
        <s:is>
          <s:t>Primary records / synthesis</s:t>
        </s:is>
      </s:c>
      <s:c r="E14" s="5" t="inlineStr">
        <s:is>
          <s:t>Modi’s diplomacy has produced visible institutional and negotiating outputs.</s:t>
        </s:is>
      </s:c>
      <s:c r="F14" s="5" t="inlineStr">
        <s:is>
          <s:t>AU inclusion and EU trade agreement negotiations</s:t>
        </s:is>
      </s:c>
      <s:c r="G14" s="5" t="inlineStr">
        <s:is>
          <s:t>Durable effects depend on implementation and partners.</s:t>
        </s:is>
      </s:c>
      <s:c r="H14" s="5" t="inlineStr">
        <s:is>
          <s:t>P3; P4</s:t>
        </s:is>
      </s:c>
      <s:c r="I14" s="5" t="inlineStr">
        <s:is>
          <s:t>Analysis</s:t>
        </s:is>
      </s:c>
      <s:c r="J14" s="6" t="inlineStr">
        <s:is>
          <s:t>S059; S063; S064</s:t>
        </s:is>
      </s:c>
      <s:c r="K14" s="5" t="inlineStr">
        <s:is>
          <s:t>Visibility is not a sufficient measure of strategic success.</s:t>
        </s:is>
      </s:c>
      <s:c r="L14" s="5" t="inlineStr">
        <s:is>
          <s:t>Primary record</s:t>
        </s:is>
      </s:c>
      <s:c r="M14" s="5" t="inlineStr">
        <s:is>
          <s:t>P3-E02; P4-E02</s:t>
        </s:is>
      </s:c>
    </s:row>
    <s:row r="15" ht="64" customHeight="1">
      <s:c r="A15" s="7" t="inlineStr">
        <s:is>
          <s:t>L10</s:t>
        </s:is>
      </s:c>
      <s:c r="B15" s="7" t="inlineStr">
        <s:is>
          <s:t>Provisional legacy</s:t>
        </s:is>
      </s:c>
      <s:c r="C15" s="7" t="inlineStr">
        <s:is>
          <s:t>Workbook synthesis</s:t>
        </s:is>
      </s:c>
      <s:c r="D15" s="7" t="inlineStr">
        <s:is>
          <s:t>Research synthesis</s:t>
        </s:is>
      </s:c>
      <s:c r="E15" s="7" t="inlineStr">
        <s:is>
          <s:t>Modi’s career links organizational ascent, executive longevity and a contested redefinition of national politics.</s:t>
        </s:is>
      </s:c>
      <s:c r="F15" s="7" t="inlineStr">
        <s:is>
          <s:t>Multiple governing phases and repeated elections</s:t>
        </s:is>
      </s:c>
      <s:c r="G15" s="7" t="inlineStr">
        <s:is>
          <s:t>Final historical judgment is premature during an ongoing tenure.</s:t>
        </s:is>
      </s:c>
      <s:c r="H15" s="7" t="inlineStr">
        <s:is>
          <s:t>All</s:t>
        </s:is>
      </s:c>
      <s:c r="I15" s="7" t="inlineStr">
        <s:is>
          <s:t>Analysis</s:t>
        </s:is>
      </s:c>
      <s:c r="J15" s="8" t="inlineStr">
        <s:is>
          <s:t>S002; S001; S072; S003</s:t>
        </s:is>
      </s:c>
      <s:c r="K15" s="7" t="inlineStr">
        <s:is>
          <s:t>Update current status and unresolved questions with subsequent evidence.</s:t>
        </s:is>
      </s:c>
      <s:c r="L15" s="7" t="inlineStr">
        <s:is>
          <s:t>Primary record</s:t>
        </s:is>
      </s:c>
      <s:c r="M15" s="7" t="inlineStr">
        <s:is>
          <s:t>P1-E02; P2-E02; P3-E02; P4-E02</s:t>
        </s:is>
      </s:c>
    </s:row>
  </s:sheetData>
  <s:autoFilter ref="A5:M15"/>
  <s:mergeCells count="2">
    <s:mergeCell ref="A2:F2"/>
    <s:mergeCell ref="A1:F1"/>
  </s:mergeCells>
  <s:hyperlinks>
    <s:hyperlink ref="A3" r:id="rId1"/>
    <s:hyperlink ref="J6" r:id="rId2"/>
    <s:hyperlink ref="J7" r:id="rId3"/>
    <s:hyperlink ref="J8" r:id="rId4"/>
    <s:hyperlink ref="J9" r:id="rId5"/>
    <s:hyperlink ref="J10" r:id="rId6"/>
    <s:hyperlink ref="J11" r:id="rId7"/>
    <s:hyperlink ref="J12" r:id="rId8"/>
    <s:hyperlink ref="J13" r:id="rId9"/>
    <s:hyperlink ref="J14" r:id="rId10"/>
    <s:hyperlink ref="J15" r:id="rId11"/>
  </s:hyperlinks>
  <s:printOptions horizontalCentered="0"/>
  <s:pageMargins left="0.75" right="0.75" top="1" bottom="1" header="0.5" footer="0.5"/>
  <s:pageSetup orientation="landscape" paperSize="8" fitToHeight="0" fitToWidth="3"/>
  <s:headerFooter>
    <s:oddHeader/>
    <s:oddFooter>&amp;C&amp;8 Narendra Modi research | 24 Sep 2026 | Page &amp;P of &amp;N</s:oddFooter>
    <s:evenHeader/>
    <s:evenFooter/>
    <s:firstHeader/>
    <s:firstFooter/>
  </s:headerFooter>
  <s:tableParts count="1">
    <s:tablePart r:id="rId12"/>
  </s:tableParts>
</s:worksheet>
</file>

<file path=xl/worksheets/sheet10.xml><?xml version="1.0" encoding="utf-8"?>
<s:worksheet xmlns:r="http://schemas.openxmlformats.org/officeDocument/2006/relationships" xmlns:s="http://schemas.openxmlformats.org/spreadsheetml/2006/main">
  <s:sheetPr>
    <s:tabColor rgb="00146B72"/>
    <s:outlinePr summaryBelow="1" summaryRight="0"/>
    <s:pageSetUpPr fitToPage="1"/>
  </s:sheetPr>
  <s:dimension ref="A1:L102"/>
  <s:sheetViews>
    <s:sheetView showGridLines="0" zoomScale="85" workbookViewId="0">
      <s:pane xSplit="2" ySplit="5" topLeftCell="C6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13" customWidth="1" min="1" max="1"/>
    <s:col width="29" customWidth="1" min="2" max="2"/>
    <s:col width="29" customWidth="1" min="3" max="3"/>
    <s:col width="29" customWidth="1" min="4" max="4"/>
    <s:col width="29" customWidth="1" min="5" max="5"/>
    <s:col width="56" customWidth="1" min="6" max="6"/>
    <s:col width="21" customWidth="1" min="7" max="7"/>
    <s:col width="29" customWidth="1" min="8" max="8"/>
    <s:col width="29" customWidth="1" min="9" max="9"/>
    <s:col width="48" customWidth="1" min="10" max="10"/>
    <s:col width="48" customWidth="1" min="11" max="11"/>
    <s:col width="65" customWidth="1" min="12" max="12"/>
  </s:cols>
  <s:sheetData>
    <s:row r="1" ht="36" customHeight="1">
      <s:c r="A1" s="1" t="inlineStr">
        <s:is>
          <s:t>NARENDRA MODI  |  SOURCES</s:t>
        </s:is>
      </s:c>
    </s:row>
    <s:row r="2" ht="24" customHeight="1">
      <s:c r="A2" s="2" t="inlineStr">
        <s:is>
          <s:t>As of 24 Sep 2026  •  Source IDs link to the source register  •  Scroll right for evidence notes</s:t>
        </s:is>
      </s:c>
    </s:row>
    <s:row r="3">
      <s:c r="A3" s="3" t="inlineStr">
        <s:is>
          <s:t>CONTENTS</s:t>
        </s:is>
      </s:c>
    </s:row>
    <s:row r="5" ht="34" customHeight="1">
      <s:c r="A5" s="4" t="inlineStr">
        <s:is>
          <s:t>Source ID</s:t>
        </s:is>
      </s:c>
      <s:c r="B5" s="4" t="inlineStr">
        <s:is>
          <s:t>Title</s:t>
        </s:is>
      </s:c>
      <s:c r="C5" s="4" t="inlineStr">
        <s:is>
          <s:t>Author / institution / publisher</s:t>
        </s:is>
      </s:c>
      <s:c r="D5" s="4" t="inlineStr">
        <s:is>
          <s:t>Publication date / precision</s:t>
        </s:is>
      </s:c>
      <s:c r="E5" s="4" t="inlineStr">
        <s:is>
          <s:t>Source class / standpoint</s:t>
        </s:is>
      </s:c>
      <s:c r="F5" s="4" t="inlineStr">
        <s:is>
          <s:t>URL</s:t>
        </s:is>
      </s:c>
      <s:c r="G5" s="4" t="inlineStr">
        <s:is>
          <s:t>Access date</s:t>
        </s:is>
      </s:c>
      <s:c r="H5" s="4" t="inlineStr">
        <s:is>
          <s:t>Language</s:t>
        </s:is>
      </s:c>
      <s:c r="I5" s="4" t="inlineStr">
        <s:is>
          <s:t>Locator</s:t>
        </s:is>
      </s:c>
      <s:c r="J5" s="4" t="inlineStr">
        <s:is>
          <s:t>Reliability / limitation</s:t>
        </s:is>
      </s:c>
      <s:c r="K5" s="4" t="inlineStr">
        <s:is>
          <s:t>Claims supported</s:t>
        </s:is>
      </s:c>
      <s:c r="L5" s="4" t="inlineStr">
        <s:is>
          <s:t>Full citation</s:t>
        </s:is>
      </s:c>
    </s:row>
    <s:row r="6" ht="80" customHeight="1">
      <s:c r="A6" s="5" t="inlineStr">
        <s:is>
          <s:t>S001</s:t>
        </s:is>
      </s:c>
      <s:c r="B6" s="5" t="inlineStr">
        <s:is>
          <s:t>Know the PM</s:t>
        </s:is>
      </s:c>
      <s:c r="C6" s="5" t="inlineStr">
        <s:is>
          <s:t>Prime Minister’s Office</s:t>
        </s:is>
      </s:c>
      <s:c r="D6" s="5" t="inlineStr">
        <s:is>
          <s:t>Living page; accessed 2026-09-24</s:t>
        </s:is>
      </s:c>
      <s:c r="E6" s="5" t="inlineStr">
        <s:is>
          <s:t>Official biography / interested primary source</s:t>
        </s:is>
      </s:c>
      <s:c r="F6" s="6" t="inlineStr">
        <s:is>
          <s:t>https://www.pmindia.gov.in/en/pms-profile/</s:t>
        </s:is>
      </s:c>
      <s:c r="G6" s="14" t="n">
        <s:v>46289</s:v>
      </s:c>
      <s:c r="H6" s="5" t="inlineStr">
        <s:is>
          <s:t>English</s:t>
        </s:is>
      </s:c>
      <s:c r="I6" s="5" t="inlineStr">
        <s:is>
          <s:t>Main text</s:t>
        </s:is>
      </s:c>
      <s:c r="J6" s="5" t="inlineStr">
        <s:is>
          <s:t>Reliable for stated identity and office; evaluative praise and achievement claims require independent checks.</s:t>
        </s:is>
      </s:c>
      <s:c r="K6" s="20" t="inlineStr">
        <s:is>
          <s:t>Overview: OV01, OV02, OV04; Context &amp; Constraints: P1-E08, P3-E01; Career Timeline: T001, T034; Ideas &amp; Political Method: I12; Legacy &amp; Assessments: L10</s:t>
        </s:is>
      </s:c>
      <s:c r="L6" s="5" t="inlineStr">
        <s:is>
          <s:t>Prime Minister’s Office. Know the PM. Living page; accessed 2026-09-24. Accessed 24 September 2026.</s:t>
        </s:is>
      </s:c>
    </s:row>
    <s:row r="7" ht="144" customHeight="1">
      <s:c r="A7" s="7" t="inlineStr">
        <s:is>
          <s:t>S002</s:t>
        </s:is>
      </s:c>
      <s:c r="B7" s="7" t="inlineStr">
        <s:is>
          <s:t>Personal Life Story</s:t>
        </s:is>
      </s:c>
      <s:c r="C7" s="7" t="inlineStr">
        <s:is>
          <s:t>Prime Minister’s Office</s:t>
        </s:is>
      </s:c>
      <s:c r="D7" s="7" t="inlineStr">
        <s:is>
          <s:t>Undated</s:t>
        </s:is>
      </s:c>
      <s:c r="E7" s="7" t="inlineStr">
        <s:is>
          <s:t>Official biography / interested primary source</s:t>
        </s:is>
      </s:c>
      <s:c r="F7" s="8" t="inlineStr">
        <s:is>
          <s:t>https://www.pmindia.gov.in/en/personal_life_story/personal-life-story/</s:t>
        </s:is>
      </s:c>
      <s:c r="G7" s="15" t="n">
        <s:v>46289</s:v>
      </s:c>
      <s:c r="H7" s="7" t="inlineStr">
        <s:is>
          <s:t>English</s:t>
        </s:is>
      </s:c>
      <s:c r="I7" s="7" t="inlineStr">
        <s:is>
          <s:t>Main text</s:t>
        </s:is>
      </s:c>
      <s:c r="J7" s="7" t="inlineStr">
        <s:is>
          <s:t>Retrospective self-presentation; early party dates are approximate. Do not treat childhood anecdotes or praise as independently verified.</s:t>
        </s:is>
      </s:c>
      <s:c r="K7" s="21" t="inlineStr">
        <s:is>
          <s:t>Overview: OV01, OV03, OV05, OV16; Context &amp; Constraints: P1-E01, P1-E02, P1-E06, P1-E07, P1-E10, P1-G02, P1-G03, P1-G04, P1-G05, P1-G06, P1-G07, P1-G09, P3-G03; Career Timeline: T001, T002, T003, T004, T005, T014; Offices &amp; Party: O01, O02, O03, O04, O08; Ideas &amp; Political Method: I12; Legacy &amp; Assessments: L10</s:t>
        </s:is>
      </s:c>
      <s:c r="L7" s="7" t="inlineStr">
        <s:is>
          <s:t>Prime Minister’s Office. Personal Life Story. Undated. Accessed 24 September 2026.</s:t>
        </s:is>
      </s:c>
    </s:row>
    <s:row r="8" ht="64" customHeight="1">
      <s:c r="A8" s="5" t="inlineStr">
        <s:is>
          <s:t>S003</s:t>
        </s:is>
      </s:c>
      <s:c r="B8" s="5" t="inlineStr">
        <s:is>
          <s:t>Prime Minister of India: current office and dated news</s:t>
        </s:is>
      </s:c>
      <s:c r="C8" s="5" t="inlineStr">
        <s:is>
          <s:t>Prime Minister’s Office</s:t>
        </s:is>
      </s:c>
      <s:c r="D8" s="5" t="inlineStr">
        <s:is>
          <s:t>2026-09-24</s:t>
        </s:is>
      </s:c>
      <s:c r="E8" s="5" t="inlineStr">
        <s:is>
          <s:t>Official record</s:t>
        </s:is>
      </s:c>
      <s:c r="F8" s="6" t="inlineStr">
        <s:is>
          <s:t>https://www.pmindia.gov.in/en/</s:t>
        </s:is>
      </s:c>
      <s:c r="G8" s="14" t="n">
        <s:v>46289</s:v>
      </s:c>
      <s:c r="H8" s="5" t="inlineStr">
        <s:is>
          <s:t>English</s:t>
        </s:is>
      </s:c>
      <s:c r="I8" s="5" t="inlineStr">
        <s:is>
          <s:t>Main text</s:t>
        </s:is>
      </s:c>
      <s:c r="J8" s="5" t="inlineStr">
        <s:is>
          <s:t>Living homepage confirms incumbency; not an archive of every policy or a neutral performance assessment.</s:t>
        </s:is>
      </s:c>
      <s:c r="K8" s="20" t="inlineStr">
        <s:is>
          <s:t>Overview: OV02; Context &amp; Constraints: P4-G04; Offices &amp; Party: O10, O13; Legacy &amp; Assessments: L10</s:t>
        </s:is>
      </s:c>
      <s:c r="L8" s="5" t="inlineStr">
        <s:is>
          <s:t>Prime Minister’s Office. Prime Minister of India: current office and dated news. 2026-09-24. Accessed 24 September 2026.</s:t>
        </s:is>
      </s:c>
    </s:row>
    <s:row r="9" ht="64" customHeight="1">
      <s:c r="A9" s="7" t="inlineStr">
        <s:is>
          <s:t>S004</s:t>
        </s:is>
      </s:c>
      <s:c r="B9" s="7" t="inlineStr">
        <s:is>
          <s:t>Bye-elections February 2002: Rajkot II</s:t>
        </s:is>
      </s:c>
      <s:c r="C9" s="7" t="inlineStr">
        <s:is>
          <s:t>Election Commission of India</s:t>
        </s:is>
      </s:c>
      <s:c r="D9" s="7" t="inlineStr">
        <s:is>
          <s:t>2002-02</s:t>
        </s:is>
      </s:c>
      <s:c r="E9" s="7" t="inlineStr">
        <s:is>
          <s:t>Official election record</s:t>
        </s:is>
      </s:c>
      <s:c r="F9" s="8" t="inlineStr">
        <s:is>
          <s:t>https://www.eci.gov.in/ByeElection/ByeFeb2002/bye_2002_guj_RajkotII.htm</s:t>
        </s:is>
      </s:c>
      <s:c r="G9" s="15" t="n">
        <s:v>46289</s:v>
      </s:c>
      <s:c r="H9" s="7" t="inlineStr">
        <s:is>
          <s:t>English</s:t>
        </s:is>
      </s:c>
      <s:c r="I9" s="7" t="inlineStr">
        <s:is>
          <s:t>Candidate result table, Rajkot II</s:t>
        </s:is>
      </s:c>
      <s:c r="J9" s="7" t="inlineStr">
        <s:is>
          <s:t>Historical indexed ECI table; use constituency name as recorded.</s:t>
        </s:is>
      </s:c>
      <s:c r="K9" s="21" t="inlineStr">
        <s:is>
          <s:t>Context &amp; Constraints: P1-E03, P2-E03; Career Timeline: T008; Elections: E01; Offices &amp; Party: O06</s:t>
        </s:is>
      </s:c>
      <s:c r="L9" s="7" t="inlineStr">
        <s:is>
          <s:t>Election Commission of India. Bye-elections February 2002: Rajkot II. 2002-02. Accessed 24 September 2026.</s:t>
        </s:is>
      </s:c>
    </s:row>
    <s:row r="10" ht="80" customHeight="1">
      <s:c r="A10" s="5" t="inlineStr">
        <s:is>
          <s:t>S005</s:t>
        </s:is>
      </s:c>
      <s:c r="B10" s="5" t="inlineStr">
        <s:is>
          <s:t>Maninagar historical assembly results</s:t>
        </s:is>
      </s:c>
      <s:c r="C10" s="5" t="inlineStr">
        <s:is>
          <s:t>Oneindia election database</s:t>
        </s:is>
      </s:c>
      <s:c r="D10" s="5" t="inlineStr">
        <s:is>
          <s:t>Undated</s:t>
        </s:is>
      </s:c>
      <s:c r="E10" s="5" t="inlineStr">
        <s:is>
          <s:t>Secondary election compilation</s:t>
        </s:is>
      </s:c>
      <s:c r="F10" s="6" t="inlineStr">
        <s:is>
          <s:t>https://www.oneindia.com/maninagar-assembly-elections-gj-53/</s:t>
        </s:is>
      </s:c>
      <s:c r="G10" s="14" t="n">
        <s:v>46289</s:v>
      </s:c>
      <s:c r="H10" s="5" t="inlineStr">
        <s:is>
          <s:t>English</s:t>
        </s:is>
      </s:c>
      <s:c r="I10" s="5" t="inlineStr">
        <s:is>
          <s:t>Main text</s:t>
        </s:is>
      </s:c>
      <s:c r="J10" s="5" t="inlineStr">
        <s:is>
          <s:t>2002/2007/2012 vote counts available; historical official PDFs were not recovered. Vote shares omitted where this table does not supply them.</s:t>
        </s:is>
      </s:c>
      <s:c r="K10" s="20" t="inlineStr">
        <s:is>
          <s:t>Overview: OV06, OV16; Context &amp; Constraints: P2-E01, P2-E09; Career Timeline: T011, T012; Elections: E02, E03, E04; Offices &amp; Party: O07</s:t>
        </s:is>
      </s:c>
      <s:c r="L10" s="5" t="inlineStr">
        <s:is>
          <s:t>Oneindia election database. Maninagar historical assembly results. Undated. Accessed 24 September 2026.</s:t>
        </s:is>
      </s:c>
    </s:row>
    <s:row r="11" ht="64" customHeight="1">
      <s:c r="A11" s="7" t="inlineStr">
        <s:is>
          <s:t>S006</s:t>
        </s:is>
      </s:c>
      <s:c r="B11" s="7" t="inlineStr">
        <s:is>
          <s:t>Modi wins Maninagar seat by 75,333 votes</s:t>
        </s:is>
      </s:c>
      <s:c r="C11" s="7" t="inlineStr">
        <s:is>
          <s:t>Times of India / TNN</s:t>
        </s:is>
      </s:c>
      <s:c r="D11" s="7" t="inlineStr">
        <s:is>
          <s:t>2002-12-15</s:t>
        </s:is>
      </s:c>
      <s:c r="E11" s="7" t="inlineStr">
        <s:is>
          <s:t>Contemporaneous journalism</s:t>
        </s:is>
      </s:c>
      <s:c r="F11" s="8" t="inlineStr">
        <s:is>
          <s:t>https://timesofindia.indiatimes.com/city/ahmedabad/modi-wins-maninagar-seat-by-75333-votes/articleshow/31344603.cms</s:t>
        </s:is>
      </s:c>
      <s:c r="G11" s="15" t="n">
        <s:v>46289</s:v>
      </s:c>
      <s:c r="H11" s="7" t="inlineStr">
        <s:is>
          <s:t>English</s:t>
        </s:is>
      </s:c>
      <s:c r="I11" s="7" t="inlineStr">
        <s:is>
          <s:t>Main text</s:t>
        </s:is>
      </s:c>
      <s:c r="J11" s="7" t="inlineStr">
        <s:is>
          <s:t>Corroborates the 2002 personal contest, not later contests.</s:t>
        </s:is>
      </s:c>
      <s:c r="K11" s="21" t="inlineStr">
        <s:is>
          <s:t>Career Timeline: T009; Elections: E02</s:t>
        </s:is>
      </s:c>
      <s:c r="L11" s="7" t="inlineStr">
        <s:is>
          <s:t>Times of India / TNN. Modi wins Maninagar seat by 75,333 votes. 2002-12-15. Accessed 24 September 2026.</s:t>
        </s:is>
      </s:c>
    </s:row>
    <s:row r="12" ht="64" customHeight="1">
      <s:c r="A12" s="5" t="inlineStr">
        <s:is>
          <s:t>S007</s:t>
        </s:is>
      </s:c>
      <s:c r="B12" s="5" t="inlineStr">
        <s:is>
          <s:t>Varanasi election results 2014</s:t>
        </s:is>
      </s:c>
      <s:c r="C12" s="5" t="inlineStr">
        <s:is>
          <s:t>Election Tak / India Today Group</s:t>
        </s:is>
      </s:c>
      <s:c r="D12" s="5" t="inlineStr">
        <s:is>
          <s:t>2014 results; undated page</s:t>
        </s:is>
      </s:c>
      <s:c r="E12" s="5" t="inlineStr">
        <s:is>
          <s:t>Secondary election compilation</s:t>
        </s:is>
      </s:c>
      <s:c r="F12" s="6" t="inlineStr">
        <s:is>
          <s:t>https://www.electiontak.in/lok-sabha-2014/uttar-pradesh/varanasi-constituency-results-24577</s:t>
        </s:is>
      </s:c>
      <s:c r="G12" s="14" t="n">
        <s:v>46289</s:v>
      </s:c>
      <s:c r="H12" s="5" t="inlineStr">
        <s:is>
          <s:t>English</s:t>
        </s:is>
      </s:c>
      <s:c r="I12" s="5" t="inlineStr">
        <s:is>
          <s:t>Main text</s:t>
        </s:is>
      </s:c>
      <s:c r="J12" s="5" t="inlineStr">
        <s:is>
          <s:t>Election result reproduction; original ECI download should be retained in a future archival pass.</s:t>
        </s:is>
      </s:c>
      <s:c r="K12" s="20" t="inlineStr">
        <s:is>
          <s:t>Elections: E05; Offices &amp; Party: O11</s:t>
        </s:is>
      </s:c>
      <s:c r="L12" s="5" t="inlineStr">
        <s:is>
          <s:t>Election Tak / India Today Group. Varanasi election results 2014. 2014 results; undated page. Accessed 24 September 2026.</s:t>
        </s:is>
      </s:c>
    </s:row>
    <s:row r="13" ht="80" customHeight="1">
      <s:c r="A13" s="7" t="inlineStr">
        <s:is>
          <s:t>S008</s:t>
        </s:is>
      </s:c>
      <s:c r="B13" s="7" t="inlineStr">
        <s:is>
          <s:t>General Elections 2014: constituency-wise detailed results</s:t>
        </s:is>
      </s:c>
      <s:c r="C13" s="7" t="inlineStr">
        <s:is>
          <s:t>Election Commission of India; copy hosted by Devgatha</s:t>
        </s:is>
      </s:c>
      <s:c r="D13" s="7" t="inlineStr">
        <s:is>
          <s:t>2014</s:t>
        </s:is>
      </s:c>
      <s:c r="E13" s="7" t="inlineStr">
        <s:is>
          <s:t>Official election report, third-party mirror</s:t>
        </s:is>
      </s:c>
      <s:c r="F13" s="8" t="inlineStr">
        <s:is>
          <s:t>https://devgatha.in/wp-content/uploads/2025/06/constituency-wise-detailed-result.pdf</s:t>
        </s:is>
      </s:c>
      <s:c r="G13" s="15" t="n">
        <s:v>46289</s:v>
      </s:c>
      <s:c r="H13" s="7" t="inlineStr">
        <s:is>
          <s:t>English</s:t>
        </s:is>
      </s:c>
      <s:c r="I13" s="7" t="inlineStr">
        <s:is>
          <s:t>PDF pages 101 and 413: Gujarat constituency 20, Vadodara; Uttar Pradesh constituency 77, Varanasi</s:t>
        </s:is>
      </s:c>
      <s:c r="J13" s="7" t="inlineStr">
        <s:is>
          <s:t>ECI-branded report on a non-ECI host; hosting provenance is weaker than the original.</s:t>
        </s:is>
      </s:c>
      <s:c r="K13" s="21" t="inlineStr">
        <s:is>
          <s:t>Overview: OV16; Career Timeline: T014; Elections: E05, E06; Offices &amp; Party: O11</s:t>
        </s:is>
      </s:c>
      <s:c r="L13" s="7" t="inlineStr">
        <s:is>
          <s:t>Election Commission of India; copy hosted by Devgatha. General Elections 2014: constituency-wise detailed results. 2014. Accessed 24 September 2026.</s:t>
        </s:is>
      </s:c>
    </s:row>
    <s:row r="14" ht="64" customHeight="1">
      <s:c r="A14" s="5" t="inlineStr">
        <s:is>
          <s:t>S009</s:t>
        </s:is>
      </s:c>
      <s:c r="B14" s="5" t="inlineStr">
        <s:is>
          <s:t>Analysis of vote share and margin of victory: Lok Sabha 2019</s:t>
        </s:is>
      </s:c>
      <s:c r="C14" s="5" t="inlineStr">
        <s:is>
          <s:t>Association for Democratic Reforms / National Election Watch</s:t>
        </s:is>
      </s:c>
      <s:c r="D14" s="5" t="inlineStr">
        <s:is>
          <s:t>2019</s:t>
        </s:is>
      </s:c>
      <s:c r="E14" s="5" t="inlineStr">
        <s:is>
          <s:t>Election dataset analysis</s:t>
        </s:is>
      </s:c>
      <s:c r="F14" s="6" t="inlineStr">
        <s:is>
          <s:t>https://www.adrindia.org/sites/default/files/Analysis_of_Vote_Share_Margin_Of_Victory_Lok_Sabha__2019.pdf</s:t>
        </s:is>
      </s:c>
      <s:c r="G14" s="14" t="n">
        <s:v>46289</s:v>
      </s:c>
      <s:c r="H14" s="5" t="inlineStr">
        <s:is>
          <s:t>English</s:t>
        </s:is>
      </s:c>
      <s:c r="I14" s="5" t="inlineStr">
        <s:is>
          <s:t>Varanasi row: 674,664; Shalini Yadav 195,159; margin 479,505</s:t>
        </s:is>
      </s:c>
      <s:c r="J14" s="5" t="inlineStr">
        <s:is>
          <s:t>ADR reproduction of electoral data; 63.60% rounded in report, not identical to other tables’ 63.62%.</s:t>
        </s:is>
      </s:c>
      <s:c r="K14" s="20" t="inlineStr">
        <s:is>
          <s:t>Context &amp; Constraints: P3-E03; Elections: E07; Offices &amp; Party: O12</s:t>
        </s:is>
      </s:c>
      <s:c r="L14" s="5" t="inlineStr">
        <s:is>
          <s:t>Association for Democratic Reforms / National Election Watch. Analysis of vote share and margin of victory: Lok Sabha 2019. 2019. Accessed 24 September 2026.</s:t>
        </s:is>
      </s:c>
    </s:row>
    <s:row r="15" ht="48" customHeight="1">
      <s:c r="A15" s="7" t="inlineStr">
        <s:is>
          <s:t>S010</s:t>
        </s:is>
      </s:c>
      <s:c r="B15" s="7" t="inlineStr">
        <s:is>
          <s:t>Varanasi Lok Sabha election results 2024</s:t>
        </s:is>
      </s:c>
      <s:c r="C15" s="7" t="inlineStr">
        <s:is>
          <s:t>Amar Ujala</s:t>
        </s:is>
      </s:c>
      <s:c r="D15" s="7" t="inlineStr">
        <s:is>
          <s:t>2024 results; living page</s:t>
        </s:is>
      </s:c>
      <s:c r="E15" s="7" t="inlineStr">
        <s:is>
          <s:t>Hindi-language election reporting</s:t>
        </s:is>
      </s:c>
      <s:c r="F15" s="8" t="inlineStr">
        <s:is>
          <s:t>https://www.amarujala.com/election/lok-sabha-elections/uttar-pradesh/constituencies/varanasi-77</s:t>
        </s:is>
      </s:c>
      <s:c r="G15" s="15" t="n">
        <s:v>46289</s:v>
      </s:c>
      <s:c r="H15" s="7" t="inlineStr">
        <s:is>
          <s:t>Hindi</s:t>
        </s:is>
      </s:c>
      <s:c r="I15" s="7" t="inlineStr">
        <s:is>
          <s:t>Main text</s:t>
        </s:is>
      </s:c>
      <s:c r="J15" s="7" t="inlineStr">
        <s:is>
          <s:t>Vote counts corroborated separately; historical ECI constituency URL returned 404.</s:t>
        </s:is>
      </s:c>
      <s:c r="K15" s="21" t="inlineStr">
        <s:is>
          <s:t>Overview: OV02, OV03; Elections: E08; Offices &amp; Party: O13</s:t>
        </s:is>
      </s:c>
      <s:c r="L15" s="7" t="inlineStr">
        <s:is>
          <s:t>Amar Ujala. Varanasi Lok Sabha election results 2024. 2024 results; living page. Accessed 24 September 2026.</s:t>
        </s:is>
      </s:c>
    </s:row>
    <s:row r="16" ht="64" customHeight="1">
      <s:c r="A16" s="5" t="inlineStr">
        <s:is>
          <s:t>S011</s:t>
        </s:is>
      </s:c>
      <s:c r="B16" s="5" t="inlineStr">
        <s:is>
          <s:t>PM Narendra Modi wins Varanasi parliamentary seat with over 6,12,000 votes</s:t>
        </s:is>
      </s:c>
      <s:c r="C16" s="5" t="inlineStr">
        <s:is>
          <s:t>India Today NE</s:t>
        </s:is>
      </s:c>
      <s:c r="D16" s="5" t="inlineStr">
        <s:is>
          <s:t>2024-06-04</s:t>
        </s:is>
      </s:c>
      <s:c r="E16" s="5" t="inlineStr">
        <s:is>
          <s:t>Election reporting</s:t>
        </s:is>
      </s:c>
      <s:c r="F16" s="6" t="inlineStr">
        <s:is>
          <s:t>https://www.indiatodayne.in/elections/story/pm-narendra-modi-wins-varanasi-parliamentary-seat-with-over-612000-votes-1021240-2024-06-04</s:t>
        </s:is>
      </s:c>
      <s:c r="G16" s="14" t="n">
        <s:v>46289</s:v>
      </s:c>
      <s:c r="H16" s="5" t="inlineStr">
        <s:is>
          <s:t>English</s:t>
        </s:is>
      </s:c>
      <s:c r="I16" s="5" t="inlineStr">
        <s:is>
          <s:t>Main text</s:t>
        </s:is>
      </s:c>
      <s:c r="J16" s="5" t="inlineStr">
        <s:is>
          <s:t>Contemporaneous count report; corroborated by Amar Ujala.</s:t>
        </s:is>
      </s:c>
      <s:c r="K16" s="20" t="inlineStr">
        <s:is>
          <s:t>Elections: E08</s:t>
        </s:is>
      </s:c>
      <s:c r="L16" s="5" t="inlineStr">
        <s:is>
          <s:t>India Today NE. PM Narendra Modi wins Varanasi parliamentary seat with over 6,12,000 votes. 2024-06-04. Accessed 24 September 2026.</s:t>
        </s:is>
      </s:c>
    </s:row>
    <s:row r="17" ht="96" customHeight="1">
      <s:c r="A17" s="7" t="inlineStr">
        <s:is>
          <s:t>S012</s:t>
        </s:is>
      </s:c>
      <s:c r="B17" s="7" t="inlineStr">
        <s:is>
          <s:t>Relying on coalition partners, Modi is sworn in for a rare third term</s:t>
        </s:is>
      </s:c>
      <s:c r="C17" s="7" t="inlineStr">
        <s:is>
          <s:t>Associated Press</s:t>
        </s:is>
      </s:c>
      <s:c r="D17" s="7" t="inlineStr">
        <s:is>
          <s:t>2024-06-09</s:t>
        </s:is>
      </s:c>
      <s:c r="E17" s="7" t="inlineStr">
        <s:is>
          <s:t>Independent journalism</s:t>
        </s:is>
      </s:c>
      <s:c r="F17" s="8" t="inlineStr">
        <s:is>
          <s:t>https://apnews.com/article/0506b077b41cc39eb5a76b7e49b7076e</s:t>
        </s:is>
      </s:c>
      <s:c r="G17" s="15" t="n">
        <s:v>46289</s:v>
      </s:c>
      <s:c r="H17" s="7" t="inlineStr">
        <s:is>
          <s:t>English</s:t>
        </s:is>
      </s:c>
      <s:c r="I17" s="7" t="inlineStr">
        <s:is>
          <s:t>Main text</s:t>
        </s:is>
      </s:c>
      <s:c r="J17" s="7" t="inlineStr">
        <s:is>
          <s:t>Government-formation snapshot, not the current party strength after vacancies or defections.</s:t>
        </s:is>
      </s:c>
      <s:c r="K17" s="21" t="inlineStr">
        <s:is>
          <s:t>Overview: OV08, OV13; Context &amp; Constraints: P4-E01, P4-E07, P4-G01, P4-G03; Career Timeline: T034; Elections: E11; Offices &amp; Party: O09, O10; Ideas &amp; Political Method: I08; Legacy &amp; Assessments: L06</s:t>
        </s:is>
      </s:c>
      <s:c r="L17" s="7" t="inlineStr">
        <s:is>
          <s:t>Associated Press. Relying on coalition partners, Modi is sworn in for a rare third term. 2024-06-09. Accessed 24 September 2026.</s:t>
        </s:is>
      </s:c>
    </s:row>
    <s:row r="18" ht="64" customHeight="1">
      <s:c r="A18" s="5" t="inlineStr">
        <s:is>
          <s:t>S013</s:t>
        </s:is>
      </s:c>
      <s:c r="B18" s="5" t="inlineStr">
        <s:is>
          <s:t>Governor attends swearing-in ceremony of the Prime Minister</s:t>
        </s:is>
      </s:c>
      <s:c r="C18" s="5" t="inlineStr">
        <s:is>
          <s:t>Governor of Arunachal Pradesh</s:t>
        </s:is>
      </s:c>
      <s:c r="D18" s="5" t="inlineStr">
        <s:is>
          <s:t>2019-05-30</s:t>
        </s:is>
      </s:c>
      <s:c r="E18" s="5" t="inlineStr">
        <s:is>
          <s:t>Official record</s:t>
        </s:is>
      </s:c>
      <s:c r="F18" s="6" t="inlineStr">
        <s:is>
          <s:t>https://arunachalgovernor.gov.in/pr/2019/190530%20Governor%20attends%20Swearing-in%20ceremony%20of%20the%20Prime%20MInister.pdf</s:t>
        </s:is>
      </s:c>
      <s:c r="G18" s="14" t="n">
        <s:v>46289</s:v>
      </s:c>
      <s:c r="H18" s="5" t="inlineStr">
        <s:is>
          <s:t>English</s:t>
        </s:is>
      </s:c>
      <s:c r="I18" s="5" t="inlineStr">
        <s:is>
          <s:t>Main text</s:t>
        </s:is>
      </s:c>
      <s:c r="J18" s="5" t="inlineStr">
        <s:is>
          <s:t>Confirms oath date, not parliamentary membership start.</s:t>
        </s:is>
      </s:c>
      <s:c r="K18" s="20" t="inlineStr">
        <s:is>
          <s:t>Career Timeline: T022; Offices &amp; Party: O08, O09</s:t>
        </s:is>
      </s:c>
      <s:c r="L18" s="5" t="inlineStr">
        <s:is>
          <s:t>Governor of Arunachal Pradesh. Governor attends swearing-in ceremony of the Prime Minister. 2019-05-30. Accessed 24 September 2026.</s:t>
        </s:is>
      </s:c>
    </s:row>
    <s:row r="19" ht="48" customHeight="1">
      <s:c r="A19" s="7" t="inlineStr">
        <s:is>
          <s:t>S014</s:t>
        </s:is>
      </s:c>
      <s:c r="B19" s="7" t="inlineStr">
        <s:is>
          <s:t>Narendra Modi resigns as Gujarat Chief Minister</s:t>
        </s:is>
      </s:c>
      <s:c r="C19" s="7" t="inlineStr">
        <s:is>
          <s:t>The Indian Express</s:t>
        </s:is>
      </s:c>
      <s:c r="D19" s="7" t="inlineStr">
        <s:is>
          <s:t>2014-05-21</s:t>
        </s:is>
      </s:c>
      <s:c r="E19" s="7" t="inlineStr">
        <s:is>
          <s:t>Contemporaneous journalism</s:t>
        </s:is>
      </s:c>
      <s:c r="F19" s="8" t="inlineStr">
        <s:is>
          <s:t>https://indianexpress.com/article/political-pulse/narendra-modi-resigns-as-gujarat-chief-minister/</s:t>
        </s:is>
      </s:c>
      <s:c r="G19" s="15" t="n">
        <s:v>46289</s:v>
      </s:c>
      <s:c r="H19" s="7" t="inlineStr">
        <s:is>
          <s:t>English</s:t>
        </s:is>
      </s:c>
      <s:c r="I19" s="7" t="inlineStr">
        <s:is>
          <s:t>Main text</s:t>
        </s:is>
      </s:c>
      <s:c r="J19" s="7" t="inlineStr">
        <s:is>
          <s:t>Resignation date differs from successor’s swearing-in date.</s:t>
        </s:is>
      </s:c>
      <s:c r="K19" s="21" t="inlineStr">
        <s:is>
          <s:t>Overview: OV03; Career Timeline: T013; Offices &amp; Party: O05, O07</s:t>
        </s:is>
      </s:c>
      <s:c r="L19" s="7" t="inlineStr">
        <s:is>
          <s:t>The Indian Express. Narendra Modi resigns as Gujarat Chief Minister. 2014-05-21. Accessed 24 September 2026.</s:t>
        </s:is>
      </s:c>
    </s:row>
    <s:row r="20" ht="80" customHeight="1">
      <s:c r="A20" s="5" t="inlineStr">
        <s:is>
          <s:t>S015</s:t>
        </s:is>
      </s:c>
      <s:c r="B20" s="5" t="inlineStr">
        <s:is>
          <s:t>Anandiben Mafatbhai Patel takes oath as Gujarat Chief Minister</s:t>
        </s:is>
      </s:c>
      <s:c r="C20" s="5" t="inlineStr">
        <s:is>
          <s:t>The Economic Times / ET Bureau</s:t>
        </s:is>
      </s:c>
      <s:c r="D20" s="5" t="inlineStr">
        <s:is>
          <s:t>2014-05-23</s:t>
        </s:is>
      </s:c>
      <s:c r="E20" s="5" t="inlineStr">
        <s:is>
          <s:t>Contemporaneous journalism</s:t>
        </s:is>
      </s:c>
      <s:c r="F20" s="6" t="inlineStr">
        <s:is>
          <s:t>https://economictimes.indiatimes.com/news/politics-and-nation/anandiben-mafatbhai-patel-takes-oath-as-gujarat-chief-minister/articleshow/35491163.cms</s:t>
        </s:is>
      </s:c>
      <s:c r="G20" s="14" t="n">
        <s:v>46289</s:v>
      </s:c>
      <s:c r="H20" s="5" t="inlineStr">
        <s:is>
          <s:t>English</s:t>
        </s:is>
      </s:c>
      <s:c r="I20" s="5" t="inlineStr">
        <s:is>
          <s:t>Main text</s:t>
        </s:is>
      </s:c>
      <s:c r="J20" s="5" t="inlineStr">
        <s:is>
          <s:t>Reports oath on preceding day, 22 May 2014.</s:t>
        </s:is>
      </s:c>
      <s:c r="K20" s="20" t="inlineStr">
        <s:is>
          <s:t>Context &amp; Constraints: P2-G02; Offices &amp; Party: O05</s:t>
        </s:is>
      </s:c>
      <s:c r="L20" s="5" t="inlineStr">
        <s:is>
          <s:t>The Economic Times / ET Bureau. Anandiben Mafatbhai Patel takes oath as Gujarat Chief Minister. 2014-05-23. Accessed 24 September 2026.</s:t>
        </s:is>
      </s:c>
    </s:row>
    <s:row r="21" ht="112" customHeight="1">
      <s:c r="A21" s="7" t="inlineStr">
        <s:is>
          <s:t>S016</s:t>
        </s:is>
      </s:c>
      <s:c r="B21" s="7" t="inlineStr">
        <s:is>
          <s:t>The Modi Debate Worth Having in India</s:t>
        </s:is>
      </s:c>
      <s:c r="C21" s="7" t="inlineStr">
        <s:is>
          <s:t>Milan Vaishnav / Carnegie Endowment</s:t>
        </s:is>
      </s:c>
      <s:c r="D21" s="7" t="inlineStr">
        <s:is>
          <s:t>2013-10-09</s:t>
        </s:is>
      </s:c>
      <s:c r="E21" s="7" t="inlineStr">
        <s:is>
          <s:t>Research analysis</s:t>
        </s:is>
      </s:c>
      <s:c r="F21" s="8" t="inlineStr">
        <s:is>
          <s:t>https://carnegieendowment.org/research/2013/10/the-modi-debate-worth-having-in-india</s:t>
        </s:is>
      </s:c>
      <s:c r="G21" s="15" t="n">
        <s:v>46289</s:v>
      </s:c>
      <s:c r="H21" s="7" t="inlineStr">
        <s:is>
          <s:t>English</s:t>
        </s:is>
      </s:c>
      <s:c r="I21" s="7" t="inlineStr">
        <s:is>
          <s:t>Main text</s:t>
        </s:is>
      </s:c>
      <s:c r="J21" s="7" t="inlineStr">
        <s:is>
          <s:t>Contemporaneous state comparison; associations do not establish a Modi treatment effect. Old legal statuses are not reused as current facts.</s:t>
        </s:is>
      </s:c>
      <s:c r="K21" s="21" t="inlineStr">
        <s:is>
          <s:t>Overview: OV06; Context &amp; Constraints: P2-E04, P2-E05, P2-E06, P2-E07, P2-G01, P2-G03, P2-G04, P2-G06, P2-G10; Career Timeline: T012; Policy &amp; Governance: P02; Ideas &amp; Political Method: I02, I05; Legacy &amp; Assessments: L01</s:t>
        </s:is>
      </s:c>
      <s:c r="L21" s="7" t="inlineStr">
        <s:is>
          <s:t>Milan Vaishnav / Carnegie Endowment. The Modi Debate Worth Having in India. 2013-10-09. Accessed 24 September 2026.</s:t>
        </s:is>
      </s:c>
    </s:row>
    <s:row r="22" ht="80" customHeight="1">
      <s:c r="A22" s="5" t="inlineStr">
        <s:is>
          <s:t>S017</s:t>
        </s:is>
      </s:c>
      <s:c r="B22" s="5" t="inlineStr">
        <s:is>
          <s:t>Gujarat Model?</s:t>
        </s:is>
      </s:c>
      <s:c r="C22" s="5" t="inlineStr">
        <s:is>
          <s:t>Christophe Jaffrelot / Carnegie Endowment</s:t>
        </s:is>
      </s:c>
      <s:c r="D22" s="5" t="inlineStr">
        <s:is>
          <s:t>2017-11</s:t>
        </s:is>
      </s:c>
      <s:c r="E22" s="5" t="inlineStr">
        <s:is>
          <s:t>Scholarly commentary</s:t>
        </s:is>
      </s:c>
      <s:c r="F22" s="6" t="inlineStr">
        <s:is>
          <s:t>https://carnegieendowment.org/posts/2017/11/gujarat-model</s:t>
        </s:is>
      </s:c>
      <s:c r="G22" s="14" t="n">
        <s:v>46289</s:v>
      </s:c>
      <s:c r="H22" s="5" t="inlineStr">
        <s:is>
          <s:t>English</s:t>
        </s:is>
      </s:c>
      <s:c r="I22" s="5" t="inlineStr">
        <s:is>
          <s:t>Main text</s:t>
        </s:is>
      </s:c>
      <s:c r="J22" s="5" t="inlineStr">
        <s:is>
          <s:t>Critical interpretation of capital-intensive industrialization; figures refer to specific historical years.</s:t>
        </s:is>
      </s:c>
      <s:c r="K22" s="20" t="inlineStr">
        <s:is>
          <s:t>Context &amp; Constraints: P2-E10, P2-G07, P2-G09; Policy &amp; Governance: P02; Ideas &amp; Political Method: I02; Legacy &amp; Assessments: L01</s:t>
        </s:is>
      </s:c>
      <s:c r="L22" s="5" t="inlineStr">
        <s:is>
          <s:t>Christophe Jaffrelot / Carnegie Endowment. Gujarat Model?. 2017-11. Accessed 24 September 2026.</s:t>
        </s:is>
      </s:c>
    </s:row>
    <s:row r="23" ht="64" customHeight="1">
      <s:c r="A23" s="7" t="inlineStr">
        <s:is>
          <s:t>S018</s:t>
        </s:is>
      </s:c>
      <s:c r="B23" s="7" t="inlineStr">
        <s:is>
          <s:t>Twenty-five years of the IWMI-Tata Partnership</s:t>
        </s:is>
      </s:c>
      <s:c r="C23" s="7" t="inlineStr">
        <s:is>
          <s:t>Oorna Raut and Shilp Verma / IWMI</s:t>
        </s:is>
      </s:c>
      <s:c r="D23" s="7" t="inlineStr">
        <s:is>
          <s:t>2026-06-23</s:t>
        </s:is>
      </s:c>
      <s:c r="E23" s="7" t="inlineStr">
        <s:is>
          <s:t>Research institution retrospective</s:t>
        </s:is>
      </s:c>
      <s:c r="F23" s="8" t="inlineStr">
        <s:is>
          <s:t>https://www.iwmi.org/news/twenty-five-years-of-the-iwmi-tata-partnership/</s:t>
        </s:is>
      </s:c>
      <s:c r="G23" s="15" t="n">
        <s:v>46289</s:v>
      </s:c>
      <s:c r="H23" s="7" t="inlineStr">
        <s:is>
          <s:t>English</s:t>
        </s:is>
      </s:c>
      <s:c r="I23" s="7" t="inlineStr">
        <s:is>
          <s:t>Rewiring the energy-irrigation nexus in Gujarat</s:t>
        </s:is>
      </s:c>
      <s:c r="J23" s="7" t="inlineStr">
        <s:is>
          <s:t>IWMI helped design the intervention and has an interest in demonstrating research impact.</s:t>
        </s:is>
      </s:c>
      <s:c r="K23" s="21" t="inlineStr">
        <s:is>
          <s:t>Overview: OV09; Career Timeline: T010; Policy &amp; Governance: P01; Legacy &amp; Assessments: L02</s:t>
        </s:is>
      </s:c>
      <s:c r="L23" s="7" t="inlineStr">
        <s:is>
          <s:t>Oorna Raut and Shilp Verma / IWMI. Twenty-five years of the IWMI-Tata Partnership. 2026-06-23. Accessed 24 September 2026.</s:t>
        </s:is>
      </s:c>
    </s:row>
    <s:row r="24" ht="80" customHeight="1">
      <s:c r="A24" s="5" t="inlineStr">
        <s:is>
          <s:t>S019</s:t>
        </s:is>
      </s:c>
      <s:c r="B24" s="5" t="inlineStr">
        <s:is>
          <s:t>Zakia Ahsan Jafri v State of Gujarat</s:t>
        </s:is>
      </s:c>
      <s:c r="C24" s="5" t="inlineStr">
        <s:is>
          <s:t>Supreme Court of India</s:t>
        </s:is>
      </s:c>
      <s:c r="D24" s="5" t="inlineStr">
        <s:is>
          <s:t>2022-06-24</s:t>
        </s:is>
      </s:c>
      <s:c r="E24" s="5" t="inlineStr">
        <s:is>
          <s:t>Court judgment</s:t>
        </s:is>
      </s:c>
      <s:c r="F24" s="6" t="inlineStr">
        <s:is>
          <s:t>https://webapi.sci.gov.in/supremecourt/2018/34207/34207_2018_3_1502_36189_Judgement_24-Jun-2022.pdf</s:t>
        </s:is>
      </s:c>
      <s:c r="G24" s="14" t="n">
        <s:v>46289</s:v>
      </s:c>
      <s:c r="H24" s="5" t="inlineStr">
        <s:is>
          <s:t>English</s:t>
        </s:is>
      </s:c>
      <s:c r="I24" s="5" t="inlineStr">
        <s:is>
          <s:t>Main text</s:t>
        </s:is>
      </s:c>
      <s:c r="J24" s="5" t="inlineStr">
        <s:is>
          <s:t>Disposition concerns the larger-conspiracy complaint; not a trial acquittal of Modi or a judgment on every historical criticism.</s:t>
        </s:is>
      </s:c>
      <s:c r="K24" s="20" t="inlineStr">
        <s:is>
          <s:t>Overview: OV11, OV15; Career Timeline: T007, T029; Controversies: C01, C02; Legacy &amp; Assessments: L04</s:t>
        </s:is>
      </s:c>
      <s:c r="L24" s="5" t="inlineStr">
        <s:is>
          <s:t>Supreme Court of India. Zakia Ahsan Jafri v State of Gujarat. 2022-06-24. Accessed 24 September 2026.</s:t>
        </s:is>
      </s:c>
    </s:row>
    <s:row r="25" ht="64" customHeight="1">
      <s:c r="A25" s="7" t="inlineStr">
        <s:is>
          <s:t>S020</s:t>
        </s:is>
      </s:c>
      <s:c r="B25" s="7" t="inlineStr">
        <s:is>
          <s:t>Zakia Jafri: Judgment Summary</s:t>
        </s:is>
      </s:c>
      <s:c r="C25" s="7" t="inlineStr">
        <s:is>
          <s:t>Supreme Court Observer</s:t>
        </s:is>
      </s:c>
      <s:c r="D25" s="7" t="inlineStr">
        <s:is>
          <s:t>2022-06-24</s:t>
        </s:is>
      </s:c>
      <s:c r="E25" s="7" t="inlineStr">
        <s:is>
          <s:t>Independent legal analysis</s:t>
        </s:is>
      </s:c>
      <s:c r="F25" s="8" t="inlineStr">
        <s:is>
          <s:t>https://www.scobserver.in/reports/zakia-jafri-judgment-summary/amp/</s:t>
        </s:is>
      </s:c>
      <s:c r="G25" s="15" t="n">
        <s:v>46289</s:v>
      </s:c>
      <s:c r="H25" s="7" t="inlineStr">
        <s:is>
          <s:t>English</s:t>
        </s:is>
      </s:c>
      <s:c r="I25" s="7" t="inlineStr">
        <s:is>
          <s:t>Main text</s:t>
        </s:is>
      </s:c>
      <s:c r="J25" s="7" t="inlineStr">
        <s:is>
          <s:t>Separates state failure from the conspiracy allegation; commentary is not itself the court order.</s:t>
        </s:is>
      </s:c>
      <s:c r="K25" s="21" t="inlineStr">
        <s:is>
          <s:t>Career Timeline: T029; Controversies: C01, C02</s:t>
        </s:is>
      </s:c>
      <s:c r="L25" s="7" t="inlineStr">
        <s:is>
          <s:t>Supreme Court Observer. Zakia Jafri: Judgment Summary. 2022-06-24. Accessed 24 September 2026.</s:t>
        </s:is>
      </s:c>
    </s:row>
    <s:row r="26" ht="64" customHeight="1">
      <s:c r="A26" s="5" t="inlineStr">
        <s:is>
          <s:t>S021</s:t>
        </s:is>
      </s:c>
      <s:c r="B26" s="5" t="inlineStr">
        <s:is>
          <s:t>Journal of the NHRC 2002: Gujarat proceedings</s:t>
        </s:is>
      </s:c>
      <s:c r="C26" s="5" t="inlineStr">
        <s:is>
          <s:t>National Human Rights Commission</s:t>
        </s:is>
      </s:c>
      <s:c r="D26" s="5" t="inlineStr">
        <s:is>
          <s:t>2002</s:t>
        </s:is>
      </s:c>
      <s:c r="E26" s="5" t="inlineStr">
        <s:is>
          <s:t>Human-rights commission record</s:t>
        </s:is>
      </s:c>
      <s:c r="F26" s="6" t="inlineStr">
        <s:is>
          <s:t>https://nhrc.nic.in/assets/uploads/publication/NHRCJournal2002.pdf</s:t>
        </s:is>
      </s:c>
      <s:c r="G26" s="14" t="n">
        <s:v>46289</s:v>
      </s:c>
      <s:c r="H26" s="5" t="inlineStr">
        <s:is>
          <s:t>English</s:t>
        </s:is>
      </s:c>
      <s:c r="I26" s="5" t="inlineStr">
        <s:is>
          <s:t>Gujarat proceedings around printed pp. 230–240</s:t>
        </s:is>
      </s:c>
      <s:c r="J26" s="5" t="inlineStr">
        <s:is>
          <s:t>Institutional criticism of state protection failures; not an individual criminal conviction.</s:t>
        </s:is>
      </s:c>
      <s:c r="K26" s="20" t="inlineStr">
        <s:is>
          <s:t>Overview: OV06; Context &amp; Constraints: P2-E02, P2-E08; Career Timeline: T007; Controversies: C01</s:t>
        </s:is>
      </s:c>
      <s:c r="L26" s="5" t="inlineStr">
        <s:is>
          <s:t>National Human Rights Commission. Journal of the NHRC 2002: Gujarat proceedings. 2002. Accessed 24 September 2026.</s:t>
        </s:is>
      </s:c>
    </s:row>
    <s:row r="27" ht="80" customHeight="1">
      <s:c r="A27" s="7" t="inlineStr">
        <s:is>
          <s:t>S022</s:t>
        </s:is>
      </s:c>
      <s:c r="B27" s="7" t="inlineStr">
        <s:is>
          <s:t>Pradhan Mantri Jan-Dhan Yojna</s:t>
        </s:is>
      </s:c>
      <s:c r="C27" s="7" t="inlineStr">
        <s:is>
          <s:t>Indian Economic Service / Arthapedia</s:t>
        </s:is>
      </s:c>
      <s:c r="D27" s="7" t="inlineStr">
        <s:is>
          <s:t>Undated</s:t>
        </s:is>
      </s:c>
      <s:c r="E27" s="7" t="inlineStr">
        <s:is>
          <s:t>Official scheme explanation</s:t>
        </s:is>
      </s:c>
      <s:c r="F27" s="8" t="inlineStr">
        <s:is>
          <s:t>https://ies.gov.in/arthapedia/concept/pradhan-mantri-jan-dhan-yojna-pmjdy</s:t>
        </s:is>
      </s:c>
      <s:c r="G27" s="15" t="n">
        <s:v>46289</s:v>
      </s:c>
      <s:c r="H27" s="7" t="inlineStr">
        <s:is>
          <s:t>English</s:t>
        </s:is>
      </s:c>
      <s:c r="I27" s="7" t="inlineStr">
        <s:is>
          <s:t>Main text</s:t>
        </s:is>
      </s:c>
      <s:c r="J27" s="7" t="inlineStr">
        <s:is>
          <s:t>Describes launch and design; account opening alone is not active usage.</s:t>
        </s:is>
      </s:c>
      <s:c r="K27" s="21" t="inlineStr">
        <s:is>
          <s:t>Overview: OV07, OV09, OV13; Career Timeline: T015; Policy &amp; Governance: P03; Ideas &amp; Political Method: I03; Legacy &amp; Assessments: L02</s:t>
        </s:is>
      </s:c>
      <s:c r="L27" s="7" t="inlineStr">
        <s:is>
          <s:t>Indian Economic Service / Arthapedia. Pradhan Mantri Jan-Dhan Yojna. Undated. Accessed 24 September 2026.</s:t>
        </s:is>
      </s:c>
    </s:row>
    <s:row r="28" ht="64" customHeight="1">
      <s:c r="A28" s="5" t="inlineStr">
        <s:is>
          <s:t>S023</s:t>
        </s:is>
      </s:c>
      <s:c r="B28" s="5" t="inlineStr">
        <s:is>
          <s:t>NPCI’s UPI crosses 10 million transaction mark in June</s:t>
        </s:is>
      </s:c>
      <s:c r="C28" s="5" t="inlineStr">
        <s:is>
          <s:t>National Payments Corporation of India</s:t>
        </s:is>
      </s:c>
      <s:c r="D28" s="5" t="inlineStr">
        <s:is>
          <s:t>2017</s:t>
        </s:is>
      </s:c>
      <s:c r="E28" s="5" t="inlineStr">
        <s:is>
          <s:t>Primary institutional release</s:t>
        </s:is>
      </s:c>
      <s:c r="F28" s="6" t="inlineStr">
        <s:is>
          <s:t>https://www.npci.org.in/PDF/npci/press-releases/2017/NPCI-UPI-transactions-June.pdf</s:t>
        </s:is>
      </s:c>
      <s:c r="G28" s="14" t="n">
        <s:v>46289</s:v>
      </s:c>
      <s:c r="H28" s="5" t="inlineStr">
        <s:is>
          <s:t>English</s:t>
        </s:is>
      </s:c>
      <s:c r="I28" s="5" t="inlineStr">
        <s:is>
          <s:t>Main text</s:t>
        </s:is>
      </s:c>
      <s:c r="J28" s="5" t="inlineStr">
        <s:is>
          <s:t>Early transaction snapshot; does not substantiate present transaction volumes.</s:t>
        </s:is>
      </s:c>
      <s:c r="K28" s="20" t="inlineStr">
        <s:is>
          <s:t>Overview: OV09; Policy &amp; Governance: P04</s:t>
        </s:is>
      </s:c>
      <s:c r="L28" s="5" t="inlineStr">
        <s:is>
          <s:t>National Payments Corporation of India. NPCI’s UPI crosses 10 million transaction mark in June. 2017. Accessed 24 September 2026.</s:t>
        </s:is>
      </s:c>
    </s:row>
    <s:row r="29" ht="48" customHeight="1">
      <s:c r="A29" s="7" t="inlineStr">
        <s:is>
          <s:t>S024</s:t>
        </s:is>
      </s:c>
      <s:c r="B29" s="7" t="inlineStr">
        <s:is>
          <s:t>About PMUY</s:t>
        </s:is>
      </s:c>
      <s:c r="C29" s="7" t="inlineStr">
        <s:is>
          <s:t>Ministry of Petroleum and Natural Gas</s:t>
        </s:is>
      </s:c>
      <s:c r="D29" s="7" t="inlineStr">
        <s:is>
          <s:t>Undated</s:t>
        </s:is>
      </s:c>
      <s:c r="E29" s="7" t="inlineStr">
        <s:is>
          <s:t>Official scheme record</s:t>
        </s:is>
      </s:c>
      <s:c r="F29" s="8" t="inlineStr">
        <s:is>
          <s:t>https://www.pmuy.gov.in/about.html</s:t>
        </s:is>
      </s:c>
      <s:c r="G29" s="15" t="n">
        <s:v>46289</s:v>
      </s:c>
      <s:c r="H29" s="7" t="inlineStr">
        <s:is>
          <s:t>English</s:t>
        </s:is>
      </s:c>
      <s:c r="I29" s="7" t="inlineStr">
        <s:is>
          <s:t>Main text</s:t>
        </s:is>
      </s:c>
      <s:c r="J29" s="7" t="inlineStr">
        <s:is>
          <s:t>Connection issuance is distinct from affordable recurring fuel use.</s:t>
        </s:is>
      </s:c>
      <s:c r="K29" s="21" t="inlineStr">
        <s:is>
          <s:t>Policy &amp; Governance: P06; Ideas &amp; Political Method: I03</s:t>
        </s:is>
      </s:c>
      <s:c r="L29" s="7" t="inlineStr">
        <s:is>
          <s:t>Ministry of Petroleum and Natural Gas. About PMUY. Undated. Accessed 24 September 2026.</s:t>
        </s:is>
      </s:c>
    </s:row>
    <s:row r="30" ht="80" customHeight="1">
      <s:c r="A30" s="5" t="inlineStr">
        <s:is>
          <s:t>S025</s:t>
        </s:is>
      </s:c>
      <s:c r="B30" s="5" t="inlineStr">
        <s:is>
          <s:t>Performance Audit of Pradhan Mantri Ujjwala Yojana: Report 14</s:t>
        </s:is>
      </s:c>
      <s:c r="C30" s="5" t="inlineStr">
        <s:is>
          <s:t>Comptroller and Auditor General of India</s:t>
        </s:is>
      </s:c>
      <s:c r="D30" s="5" t="inlineStr">
        <s:is>
          <s:t>2019</s:t>
        </s:is>
      </s:c>
      <s:c r="E30" s="5" t="inlineStr">
        <s:is>
          <s:t>Official audit</s:t>
        </s:is>
      </s:c>
      <s:c r="F30" s="6" t="inlineStr">
        <s:is>
          <s:t>https://cag.gov.in/uploads/download_audit_report/2019/Report_No_14_of_2019_Performance_Audit_of_Pradhan_Mantri_Ujjwala_Yojana_Ministry_of_Petroleum_and_Natural_Gas_0.pdf</s:t>
        </s:is>
      </s:c>
      <s:c r="G30" s="14" t="n">
        <s:v>46289</s:v>
      </s:c>
      <s:c r="H30" s="5" t="inlineStr">
        <s:is>
          <s:t>English</s:t>
        </s:is>
      </s:c>
      <s:c r="I30" s="5" t="inlineStr">
        <s:is>
          <s:t>Average 3.21 refills among specified beneficiaries</s:t>
        </s:is>
      </s:c>
      <s:c r="J30" s="5" t="inlineStr">
        <s:is>
          <s:t>Refill evidence is historical, measured as of 31 December 2018; not a 2026 estimate.</s:t>
        </s:is>
      </s:c>
      <s:c r="K30" s="20" t="inlineStr">
        <s:is>
          <s:t>Overview: OV12, OV15; Context &amp; Constraints: P3-G09; Policy &amp; Governance: P06; Legacy &amp; Assessments: L02</s:t>
        </s:is>
      </s:c>
      <s:c r="L30" s="5" t="inlineStr">
        <s:is>
          <s:t>Comptroller and Auditor General of India. Performance Audit of Pradhan Mantri Ujjwala Yojana: Report 14. 2019. Accessed 24 September 2026.</s:t>
        </s:is>
      </s:c>
    </s:row>
    <s:row r="31" ht="80" customHeight="1">
      <s:c r="A31" s="7" t="inlineStr">
        <s:is>
          <s:t>S026</s:t>
        </s:is>
      </s:c>
      <s:c r="B31" s="7" t="inlineStr">
        <s:is>
          <s:t>Toilet construction under the Swachh Bharat Mission and infant mortality in India</s:t>
        </s:is>
      </s:c>
      <s:c r="C31" s="7" t="inlineStr">
        <s:is>
          <s:t>Scientific Reports research article</s:t>
        </s:is>
      </s:c>
      <s:c r="D31" s="7" t="inlineStr">
        <s:is>
          <s:t>2024</s:t>
        </s:is>
      </s:c>
      <s:c r="E31" s="7" t="inlineStr">
        <s:is>
          <s:t>Peer-reviewed research</s:t>
        </s:is>
      </s:c>
      <s:c r="F31" s="8" t="inlineStr">
        <s:is>
          <s:t>https://www.nature.com/articles/s41598-024-71268-8</s:t>
        </s:is>
      </s:c>
      <s:c r="G31" s="15" t="n">
        <s:v>46289</s:v>
      </s:c>
      <s:c r="H31" s="7" t="inlineStr">
        <s:is>
          <s:t>English</s:t>
        </s:is>
      </s:c>
      <s:c r="I31" s="7" t="inlineStr">
        <s:is>
          <s:t>Main text</s:t>
        </s:is>
      </s:c>
      <s:c r="J31" s="7" t="inlineStr">
        <s:is>
          <s:t>Indexed abstract consulted; quasi-experimental association, not proof that all mortality change was caused by toilets or Modi.</s:t>
        </s:is>
      </s:c>
      <s:c r="K31" s="21" t="inlineStr">
        <s:is>
          <s:t>Overview: OV09; Policy &amp; Governance: P05</s:t>
        </s:is>
      </s:c>
      <s:c r="L31" s="7" t="inlineStr">
        <s:is>
          <s:t>Scientific Reports research article. Toilet construction under the Swachh Bharat Mission and infant mortality in India. 2024. Accessed 24 September 2026.</s:t>
        </s:is>
      </s:c>
    </s:row>
    <s:row r="32" ht="80" customHeight="1">
      <s:c r="A32" s="5" t="inlineStr">
        <s:is>
          <s:t>S027</s:t>
        </s:is>
      </s:c>
      <s:c r="B32" s="5" t="inlineStr">
        <s:is>
          <s:t>Cash and the Economy: Evidence from India’s Demonetization</s:t>
        </s:is>
      </s:c>
      <s:c r="C32" s="5" t="inlineStr">
        <s:is>
          <s:t>Gabriel Chodorow-Reich, Gita Gopinath, Prachi Mishra, Abhinav Narayanan / NBER</s:t>
        </s:is>
      </s:c>
      <s:c r="D32" s="5" t="inlineStr">
        <s:is>
          <s:t>2018-12; revised 2019-05</s:t>
        </s:is>
      </s:c>
      <s:c r="E32" s="5" t="inlineStr">
        <s:is>
          <s:t>Economic research</s:t>
        </s:is>
      </s:c>
      <s:c r="F32" s="6" t="inlineStr">
        <s:is>
          <s:t>https://www.nber.org/papers/w25370</s:t>
        </s:is>
      </s:c>
      <s:c r="G32" s="14" t="n">
        <s:v>46289</s:v>
      </s:c>
      <s:c r="H32" s="5" t="inlineStr">
        <s:is>
          <s:t>English</s:t>
        </s:is>
      </s:c>
      <s:c r="I32" s="5" t="inlineStr">
        <s:is>
          <s:t>Main text</s:t>
        </s:is>
      </s:c>
      <s:c r="J32" s="5" t="inlineStr">
        <s:is>
          <s:t>District comparisons identify short-run effects; do not treat estimated counterfactual losses as observed national annual GDP losses.</s:t>
        </s:is>
      </s:c>
      <s:c r="K32" s="20" t="inlineStr">
        <s:is>
          <s:t>Overview: OV10, OV15; Career Timeline: T018; Policy &amp; Governance: P07; Controversies: C03</s:t>
        </s:is>
      </s:c>
      <s:c r="L32" s="5" t="inlineStr">
        <s:is>
          <s:t>Gabriel Chodorow-Reich, Gita Gopinath, Prachi Mishra, Abhinav Narayanan / NBER. Cash and the Economy: Evidence from India’s Demonetization. 2018-12; revised 2019-05. Accessed 24 September 2026.</s:t>
        </s:is>
      </s:c>
    </s:row>
    <s:row r="33" ht="64" customHeight="1">
      <s:c r="A33" s="7" t="inlineStr">
        <s:is>
          <s:t>S028</s:t>
        </s:is>
      </s:c>
      <s:c r="B33" s="7" t="inlineStr">
        <s:is>
          <s:t>Minutes of the 17th GST Council meeting</s:t>
        </s:is>
      </s:c>
      <s:c r="C33" s="7" t="inlineStr">
        <s:is>
          <s:t>GST Council</s:t>
        </s:is>
      </s:c>
      <s:c r="D33" s="7" t="inlineStr">
        <s:is>
          <s:t>2017</s:t>
        </s:is>
      </s:c>
      <s:c r="E33" s="7" t="inlineStr">
        <s:is>
          <s:t>Official intergovernmental record</s:t>
        </s:is>
      </s:c>
      <s:c r="F33" s="8" t="inlineStr">
        <s:is>
          <s:t>https://www.gstcouncil.gov.in/sites/default/files/Minutes/Signed-Minutes-17th-GST-Council-Meeting.pdf</s:t>
        </s:is>
      </s:c>
      <s:c r="G33" s="15" t="n">
        <s:v>46289</s:v>
      </s:c>
      <s:c r="H33" s="7" t="inlineStr">
        <s:is>
          <s:t>English</s:t>
        </s:is>
      </s:c>
      <s:c r="I33" s="7" t="inlineStr">
        <s:is>
          <s:t>Main text</s:t>
        </s:is>
      </s:c>
      <s:c r="J33" s="7" t="inlineStr">
        <s:is>
          <s:t>Shows collective tax implementation; credit is shared with states and predecessors.</s:t>
        </s:is>
      </s:c>
      <s:c r="K33" s="21" t="inlineStr">
        <s:is>
          <s:t>Context &amp; Constraints: P3-E04; Career Timeline: T019; Policy &amp; Governance: P08</s:t>
        </s:is>
      </s:c>
      <s:c r="L33" s="7" t="inlineStr">
        <s:is>
          <s:t>GST Council. Minutes of the 17th GST Council meeting. 2017. Accessed 24 September 2026.</s:t>
        </s:is>
      </s:c>
    </s:row>
    <s:row r="34" ht="64" customHeight="1">
      <s:c r="A34" s="5" t="inlineStr">
        <s:is>
          <s:t>S029</s:t>
        </s:is>
      </s:c>
      <s:c r="B34" s="5" t="inlineStr">
        <s:is>
          <s:t>Recommendations of the 56th GST Council meeting</s:t>
        </s:is>
      </s:c>
      <s:c r="C34" s="5" t="inlineStr">
        <s:is>
          <s:t>GST Council / Ministry of Finance</s:t>
        </s:is>
      </s:c>
      <s:c r="D34" s="5" t="inlineStr">
        <s:is>
          <s:t>2025-09-03</s:t>
        </s:is>
      </s:c>
      <s:c r="E34" s="5" t="inlineStr">
        <s:is>
          <s:t>Official policy record</s:t>
        </s:is>
      </s:c>
      <s:c r="F34" s="6" t="inlineStr">
        <s:is>
          <s:t>https://gstcouncil.gov.in/sites/default/files/2025-09/press_release_press_information_bureau_0.pdf</s:t>
        </s:is>
      </s:c>
      <s:c r="G34" s="14" t="n">
        <s:v>46289</s:v>
      </s:c>
      <s:c r="H34" s="5" t="inlineStr">
        <s:is>
          <s:t>English</s:t>
        </s:is>
      </s:c>
      <s:c r="I34" s="5" t="inlineStr">
        <s:is>
          <s:t>Main text</s:t>
        </s:is>
      </s:c>
      <s:c r="J34" s="5" t="inlineStr">
        <s:is>
          <s:t>Council recommendations and government rationale; not independent evidence of household savings.</s:t>
        </s:is>
      </s:c>
      <s:c r="K34" s="20" t="inlineStr">
        <s:is>
          <s:t>Career Timeline: T038; Policy &amp; Governance: P23</s:t>
        </s:is>
      </s:c>
      <s:c r="L34" s="5" t="inlineStr">
        <s:is>
          <s:t>GST Council / Ministry of Finance. Recommendations of the 56th GST Council meeting. 2025-09-03. Accessed 24 September 2026.</s:t>
        </s:is>
      </s:c>
    </s:row>
    <s:row r="35" ht="48" customHeight="1">
      <s:c r="A35" s="7" t="inlineStr">
        <s:is>
          <s:t>S030</s:t>
        </s:is>
      </s:c>
      <s:c r="B35" s="7" t="inlineStr">
        <s:is>
          <s:t>FAQs on decisions of the 56th GST Council</s:t>
        </s:is>
      </s:c>
      <s:c r="C35" s="7" t="inlineStr">
        <s:is>
          <s:t>Ministry of Finance / PIB</s:t>
        </s:is>
      </s:c>
      <s:c r="D35" s="7" t="inlineStr">
        <s:is>
          <s:t>2025-09</s:t>
        </s:is>
      </s:c>
      <s:c r="E35" s="7" t="inlineStr">
        <s:is>
          <s:t>Official implementation guidance</s:t>
        </s:is>
      </s:c>
      <s:c r="F35" s="8" t="inlineStr">
        <s:is>
          <s:t>https://www.pib.gov.in/PressReleasePage.aspx?PRID=2163560&amp;lang=2&amp;reg=3</s:t>
        </s:is>
      </s:c>
      <s:c r="G35" s="15" t="n">
        <s:v>46289</s:v>
      </s:c>
      <s:c r="H35" s="7" t="inlineStr">
        <s:is>
          <s:t>English</s:t>
        </s:is>
      </s:c>
      <s:c r="I35" s="7" t="inlineStr">
        <s:is>
          <s:t>Main text</s:t>
        </s:is>
      </s:c>
      <s:c r="J35" s="7" t="inlineStr">
        <s:is>
          <s:t>Most changes effective 22 September 2025; product-specific exceptions matter.</s:t>
        </s:is>
      </s:c>
      <s:c r="K35" s="21" t="inlineStr">
        <s:is>
          <s:t>Career Timeline: T038; Policy &amp; Governance: P23</s:t>
        </s:is>
      </s:c>
      <s:c r="L35" s="7" t="inlineStr">
        <s:is>
          <s:t>Ministry of Finance / PIB. FAQs on decisions of the 56th GST Council. 2025-09. Accessed 24 September 2026.</s:t>
        </s:is>
      </s:c>
    </s:row>
    <s:row r="36" ht="48" customHeight="1">
      <s:c r="A36" s="5" t="inlineStr">
        <s:is>
          <s:t>S031</s:t>
        </s:is>
      </s:c>
      <s:c r="B36" s="5" t="inlineStr">
        <s:is>
          <s:t>Objectives and features of NITI Aayog</s:t>
        </s:is>
      </s:c>
      <s:c r="C36" s="5" t="inlineStr">
        <s:is>
          <s:t>NITI Aayog</s:t>
        </s:is>
      </s:c>
      <s:c r="D36" s="5" t="inlineStr">
        <s:is>
          <s:t>Undated</s:t>
        </s:is>
      </s:c>
      <s:c r="E36" s="5" t="inlineStr">
        <s:is>
          <s:t>Official institutional record</s:t>
        </s:is>
      </s:c>
      <s:c r="F36" s="6" t="inlineStr">
        <s:is>
          <s:t>https://www.niti.gov.in/about-us/objectives-and-features</s:t>
        </s:is>
      </s:c>
      <s:c r="G36" s="14" t="n">
        <s:v>46289</s:v>
      </s:c>
      <s:c r="H36" s="5" t="inlineStr">
        <s:is>
          <s:t>English</s:t>
        </s:is>
      </s:c>
      <s:c r="I36" s="5" t="inlineStr">
        <s:is>
          <s:t>Main text</s:t>
        </s:is>
      </s:c>
      <s:c r="J36" s="5" t="inlineStr">
        <s:is>
          <s:t>Stated cooperation objectives do not establish balanced federal power in practice.</s:t>
        </s:is>
      </s:c>
      <s:c r="K36" s="20" t="inlineStr">
        <s:is>
          <s:t>Overview: OV07; Policy &amp; Governance: P09; Ideas &amp; Political Method: I07</s:t>
        </s:is>
      </s:c>
      <s:c r="L36" s="5" t="inlineStr">
        <s:is>
          <s:t>NITI Aayog. Objectives and features of NITI Aayog. Undated. Accessed 24 September 2026.</s:t>
        </s:is>
      </s:c>
    </s:row>
    <s:row r="37" ht="64" customHeight="1">
      <s:c r="A37" s="7" t="inlineStr">
        <s:is>
          <s:t>S032</s:t>
        </s:is>
      </s:c>
      <s:c r="B37" s="7" t="inlineStr">
        <s:is>
          <s:t>Cabinet approves PM-KISAN scheme</s:t>
        </s:is>
      </s:c>
      <s:c r="C37" s="7" t="inlineStr">
        <s:is>
          <s:t>Prime Minister’s Office</s:t>
        </s:is>
      </s:c>
      <s:c r="D37" s="7" t="inlineStr">
        <s:is>
          <s:t>2019</s:t>
        </s:is>
      </s:c>
      <s:c r="E37" s="7" t="inlineStr">
        <s:is>
          <s:t>Official policy record</s:t>
        </s:is>
      </s:c>
      <s:c r="F37" s="8" t="inlineStr">
        <s:is>
          <s:t>https://www.pmindia.gov.in/en/news_updates/cabinet-approves-pradhan-mantri-kisan-samman-nidhi-pm-kisan-scheme/</s:t>
        </s:is>
      </s:c>
      <s:c r="G37" s="15" t="n">
        <s:v>46289</s:v>
      </s:c>
      <s:c r="H37" s="7" t="inlineStr">
        <s:is>
          <s:t>English</s:t>
        </s:is>
      </s:c>
      <s:c r="I37" s="7" t="inlineStr">
        <s:is>
          <s:t>Main text</s:t>
        </s:is>
      </s:c>
      <s:c r="J37" s="7" t="inlineStr">
        <s:is>
          <s:t>Initial design; eligibility subsequently expanded. Land records and exclusions affect access.</s:t>
        </s:is>
      </s:c>
      <s:c r="K37" s="21" t="inlineStr">
        <s:is>
          <s:t>Policy &amp; Governance: P10</s:t>
        </s:is>
      </s:c>
      <s:c r="L37" s="7" t="inlineStr">
        <s:is>
          <s:t>Prime Minister’s Office. Cabinet approves PM-KISAN scheme. 2019. Accessed 24 September 2026.</s:t>
        </s:is>
      </s:c>
    </s:row>
    <s:row r="38" ht="48" customHeight="1">
      <s:c r="A38" s="5" t="inlineStr">
        <s:is>
          <s:t>S033</s:t>
        </s:is>
      </s:c>
      <s:c r="B38" s="5" t="inlineStr">
        <s:is>
          <s:t>The Farm Laws Repeal Bill, 2021</s:t>
        </s:is>
      </s:c>
      <s:c r="C38" s="5" t="inlineStr">
        <s:is>
          <s:t>PRS Legislative Research</s:t>
        </s:is>
      </s:c>
      <s:c r="D38" s="5" t="inlineStr">
        <s:is>
          <s:t>2021-11-29</s:t>
        </s:is>
      </s:c>
      <s:c r="E38" s="5" t="inlineStr">
        <s:is>
          <s:t>Legislative analysis</s:t>
        </s:is>
      </s:c>
      <s:c r="F38" s="6" t="inlineStr">
        <s:is>
          <s:t>https://prsindia.org/billtrack/the-farm-laws-repeal-bill-2021</s:t>
        </s:is>
      </s:c>
      <s:c r="G38" s="14" t="n">
        <s:v>46289</s:v>
      </s:c>
      <s:c r="H38" s="5" t="inlineStr">
        <s:is>
          <s:t>English</s:t>
        </s:is>
      </s:c>
      <s:c r="I38" s="5" t="inlineStr">
        <s:is>
          <s:t>Main text</s:t>
        </s:is>
      </s:c>
      <s:c r="J38" s="5" t="inlineStr">
        <s:is>
          <s:t>Verifies repeal legislation, not the full range of agrarian outcomes.</s:t>
        </s:is>
      </s:c>
      <s:c r="K38" s="20" t="inlineStr">
        <s:is>
          <s:t>Career Timeline: T028; Policy &amp; Governance: P11</s:t>
        </s:is>
      </s:c>
      <s:c r="L38" s="5" t="inlineStr">
        <s:is>
          <s:t>PRS Legislative Research. The Farm Laws Repeal Bill, 2021. 2021-11-29. Accessed 24 September 2026.</s:t>
        </s:is>
      </s:c>
    </s:row>
    <s:row r="39" ht="80" customHeight="1">
      <s:c r="A39" s="7" t="inlineStr">
        <s:is>
          <s:t>S034</s:t>
        </s:is>
      </s:c>
      <s:c r="B39" s="7" t="inlineStr">
        <s:is>
          <s:t>Abrogation of Article 370: Judgement Summary</s:t>
        </s:is>
      </s:c>
      <s:c r="C39" s="7" t="inlineStr">
        <s:is>
          <s:t>Supreme Court Observer</s:t>
        </s:is>
      </s:c>
      <s:c r="D39" s="7" t="inlineStr">
        <s:is>
          <s:t>2023-12-11</s:t>
        </s:is>
      </s:c>
      <s:c r="E39" s="7" t="inlineStr">
        <s:is>
          <s:t>Legal analysis</s:t>
        </s:is>
      </s:c>
      <s:c r="F39" s="8" t="inlineStr">
        <s:is>
          <s:t>https://www.scobserver.in/reports/abrogation-of-article-370-judgement-summary/</s:t>
        </s:is>
      </s:c>
      <s:c r="G39" s="15" t="n">
        <s:v>46289</s:v>
      </s:c>
      <s:c r="H39" s="7" t="inlineStr">
        <s:is>
          <s:t>English</s:t>
        </s:is>
      </s:c>
      <s:c r="I39" s="7" t="inlineStr">
        <s:is>
          <s:t>Main text</s:t>
        </s:is>
      </s:c>
      <s:c r="J39" s="7" t="inlineStr">
        <s:is>
          <s:t>Court upheld abrogation; did not resolve every question concerning state-to-UT conversion. Historical judgment, not a current statehood tracker.</s:t>
        </s:is>
      </s:c>
      <s:c r="K39" s="21" t="inlineStr">
        <s:is>
          <s:t>Context &amp; Constraints: P3-E09; Career Timeline: T023; Policy &amp; Governance: P12; Ideas &amp; Political Method: I07</s:t>
        </s:is>
      </s:c>
      <s:c r="L39" s="7" t="inlineStr">
        <s:is>
          <s:t>Supreme Court Observer. Abrogation of Article 370: Judgement Summary. 2023-12-11. Accessed 24 September 2026.</s:t>
        </s:is>
      </s:c>
    </s:row>
    <s:row r="40" ht="64" customHeight="1">
      <s:c r="A40" s="5" t="inlineStr">
        <s:is>
          <s:t>S035</s:t>
        </s:is>
      </s:c>
      <s:c r="B40" s="5" t="inlineStr">
        <s:is>
          <s:t>Citizenship (Amendment) Rules, 2024</s:t>
        </s:is>
      </s:c>
      <s:c r="C40" s="5" t="inlineStr">
        <s:is>
          <s:t>Ministry of Home Affairs / Gazette of India</s:t>
        </s:is>
      </s:c>
      <s:c r="D40" s="5" t="inlineStr">
        <s:is>
          <s:t>2024-03-11</s:t>
        </s:is>
      </s:c>
      <s:c r="E40" s="5" t="inlineStr">
        <s:is>
          <s:t>Official rules</s:t>
        </s:is>
      </s:c>
      <s:c r="F40" s="6" t="inlineStr">
        <s:is>
          <s:t>https://www.mha.gov.in/sites/default/files/2024-09/TheCitizenshipAmendmentRule_10092024.pdf</s:t>
        </s:is>
      </s:c>
      <s:c r="G40" s="14" t="n">
        <s:v>46289</s:v>
      </s:c>
      <s:c r="H40" s="5" t="inlineStr">
        <s:is>
          <s:t>English</s:t>
        </s:is>
      </s:c>
      <s:c r="I40" s="5" t="inlineStr">
        <s:is>
          <s:t>Main text</s:t>
        </s:is>
      </s:c>
      <s:c r="J40" s="5" t="inlineStr">
        <s:is>
          <s:t>Read with the 2019 Act; implementing rules do not adjudicate equality challenges.</s:t>
        </s:is>
      </s:c>
      <s:c r="K40" s="20" t="inlineStr">
        <s:is>
          <s:t>Career Timeline: T024; Policy &amp; Governance: P13; Controversies: C06</s:t>
        </s:is>
      </s:c>
      <s:c r="L40" s="5" t="inlineStr">
        <s:is>
          <s:t>Ministry of Home Affairs / Gazette of India. Citizenship (Amendment) Rules, 2024. 2024-03-11. Accessed 24 September 2026.</s:t>
        </s:is>
      </s:c>
    </s:row>
    <s:row r="41" ht="64" customHeight="1">
      <s:c r="A41" s="7" t="inlineStr">
        <s:is>
          <s:t>S036</s:t>
        </s:is>
      </s:c>
      <s:c r="B41" s="7" t="inlineStr">
        <s:is>
          <s:t>PM’s important message on Citizenship Amendment Act 2019</s:t>
        </s:is>
      </s:c>
      <s:c r="C41" s="7" t="inlineStr">
        <s:is>
          <s:t>Prime Minister’s Office</s:t>
        </s:is>
      </s:c>
      <s:c r="D41" s="7" t="inlineStr">
        <s:is>
          <s:t>2019-12</s:t>
        </s:is>
      </s:c>
      <s:c r="E41" s="7" t="inlineStr">
        <s:is>
          <s:t>Primary statement</s:t>
        </s:is>
      </s:c>
      <s:c r="F41" s="8" t="inlineStr">
        <s:is>
          <s:t>https://www.pmindia.gov.in/en/news_updates/pms-important-message-on-citizenship-amendment-act-2019/</s:t>
        </s:is>
      </s:c>
      <s:c r="G41" s="15" t="n">
        <s:v>46289</s:v>
      </s:c>
      <s:c r="H41" s="7" t="inlineStr">
        <s:is>
          <s:t>English</s:t>
        </s:is>
      </s:c>
      <s:c r="I41" s="7" t="inlineStr">
        <s:is>
          <s:t>Main text</s:t>
        </s:is>
      </s:c>
      <s:c r="J41" s="7" t="inlineStr">
        <s:is>
          <s:t>Government response: concerns existing citizens; does not answer every exclusion-based criticism.</s:t>
        </s:is>
      </s:c>
      <s:c r="K41" s="21" t="inlineStr">
        <s:is>
          <s:t>Career Timeline: T024; Policy &amp; Governance: P13; Controversies: C06</s:t>
        </s:is>
      </s:c>
      <s:c r="L41" s="7" t="inlineStr">
        <s:is>
          <s:t>Prime Minister’s Office. PM’s important message on Citizenship Amendment Act 2019. 2019-12. Accessed 24 September 2026.</s:t>
        </s:is>
      </s:c>
    </s:row>
    <s:row r="42" ht="64" customHeight="1">
      <s:c r="A42" s="5" t="inlineStr">
        <s:is>
          <s:t>S037</s:t>
        </s:is>
      </s:c>
      <s:c r="B42" s="5" t="inlineStr">
        <s:is>
          <s:t>PM calls for complete lockdown of entire nation for 21 days</s:t>
        </s:is>
      </s:c>
      <s:c r="C42" s="5" t="inlineStr">
        <s:is>
          <s:t>Prime Minister’s Office</s:t>
        </s:is>
      </s:c>
      <s:c r="D42" s="5" t="inlineStr">
        <s:is>
          <s:t>2020-03-24</s:t>
        </s:is>
      </s:c>
      <s:c r="E42" s="5" t="inlineStr">
        <s:is>
          <s:t>Primary decision announcement</s:t>
        </s:is>
      </s:c>
      <s:c r="F42" s="6" t="inlineStr">
        <s:is>
          <s:t>https://www.pmindia.gov.in/en/news_updates/pm-calls-for-complete-lockdown-of-entire-nation-for-21-days/</s:t>
        </s:is>
      </s:c>
      <s:c r="G42" s="14" t="n">
        <s:v>46289</s:v>
      </s:c>
      <s:c r="H42" s="5" t="inlineStr">
        <s:is>
          <s:t>English</s:t>
        </s:is>
      </s:c>
      <s:c r="I42" s="5" t="inlineStr">
        <s:is>
          <s:t>Main text</s:t>
        </s:is>
      </s:c>
      <s:c r="J42" s="5" t="inlineStr">
        <s:is>
          <s:t>Records decision and rationale, not independent health or livelihood outcomes.</s:t>
        </s:is>
      </s:c>
      <s:c r="K42" s="20" t="inlineStr">
        <s:is>
          <s:t>Career Timeline: T025; Policy &amp; Governance: P14; Controversies: C04</s:t>
        </s:is>
      </s:c>
      <s:c r="L42" s="5" t="inlineStr">
        <s:is>
          <s:t>Prime Minister’s Office. PM calls for complete lockdown of entire nation for 21 days. 2020-03-24. Accessed 24 September 2026.</s:t>
        </s:is>
      </s:c>
    </s:row>
    <s:row r="43" ht="80" customHeight="1">
      <s:c r="A43" s="7" t="inlineStr">
        <s:is>
          <s:t>S038</s:t>
        </s:is>
      </s:c>
      <s:c r="B43" s="7" t="inlineStr">
        <s:is>
          <s:t>Estimating excess mortality: methods supplement</s:t>
        </s:is>
      </s:c>
      <s:c r="C43" s="7" t="inlineStr">
        <s:is>
          <s:t>World Health Organization</s:t>
        </s:is>
      </s:c>
      <s:c r="D43" s="7" t="inlineStr">
        <s:is>
          <s:t>2022</s:t>
        </s:is>
      </s:c>
      <s:c r="E43" s="7" t="inlineStr">
        <s:is>
          <s:t>Statistical research</s:t>
        </s:is>
      </s:c>
      <s:c r="F43" s="8" t="inlineStr">
        <s:is>
          <s:t>https://cdn.who.int/media/docs/default-source/world-health-data-platform/covid-19-excessmortality/covid-methods-paper-sup-revision.pdf?sfvrsn=65f20a4f_1</s:t>
        </s:is>
      </s:c>
      <s:c r="G43" s="15" t="n">
        <s:v>46289</s:v>
      </s:c>
      <s:c r="H43" s="7" t="inlineStr">
        <s:is>
          <s:t>English</s:t>
        </s:is>
      </s:c>
      <s:c r="I43" s="7" t="inlineStr">
        <s:is>
          <s:t>India country analysis</s:t>
        </s:is>
      </s:c>
      <s:c r="J43" s="7" t="inlineStr">
        <s:is>
          <s:t>India estimate 4.7 million, credible interval 3.31–6.48 million; all-cause pandemic-associated excess mortality, not a count of lab-confirmed COVID deaths.</s:t>
        </s:is>
      </s:c>
      <s:c r="K43" s="21" t="inlineStr">
        <s:is>
          <s:t>Context &amp; Constraints: P3-E10; Policy &amp; Governance: P14; Controversies: C04</s:t>
        </s:is>
      </s:c>
      <s:c r="L43" s="7" t="inlineStr">
        <s:is>
          <s:t>World Health Organization. Estimating excess mortality: methods supplement. 2022. Accessed 24 September 2026.</s:t>
        </s:is>
      </s:c>
    </s:row>
    <s:row r="44" ht="64" customHeight="1">
      <s:c r="A44" s="5" t="inlineStr">
        <s:is>
          <s:t>S039</s:t>
        </s:is>
      </s:c>
      <s:c r="B44" s="5" t="inlineStr">
        <s:is>
          <s:t>India objects to WHO excess-mortality estimates</s:t>
        </s:is>
      </s:c>
      <s:c r="C44" s="5" t="inlineStr">
        <s:is>
          <s:t>Ministry of Health and Family Welfare / PIB</s:t>
        </s:is>
      </s:c>
      <s:c r="D44" s="5" t="inlineStr">
        <s:is>
          <s:t>2022-05-05</s:t>
        </s:is>
      </s:c>
      <s:c r="E44" s="5" t="inlineStr">
        <s:is>
          <s:t>Government response</s:t>
        </s:is>
      </s:c>
      <s:c r="F44" s="6" t="inlineStr">
        <s:is>
          <s:t>https://www.pib.gov.in/PressReleasePage.aspx?PRID=1823012&amp;lang=2&amp;reg=48</s:t>
        </s:is>
      </s:c>
      <s:c r="G44" s="14" t="n">
        <s:v>46289</s:v>
      </s:c>
      <s:c r="H44" s="5" t="inlineStr">
        <s:is>
          <s:t>English</s:t>
        </s:is>
      </s:c>
      <s:c r="I44" s="5" t="inlineStr">
        <s:is>
          <s:t>Main text</s:t>
        </s:is>
      </s:c>
      <s:c r="J44" s="5" t="inlineStr">
        <s:is>
          <s:t>Interested methodological rebuttal; disagreement does not settle the true death toll.</s:t>
        </s:is>
      </s:c>
      <s:c r="K44" s="20" t="inlineStr">
        <s:is>
          <s:t>Policy &amp; Governance: P14; Controversies: C04</s:t>
        </s:is>
      </s:c>
      <s:c r="L44" s="5" t="inlineStr">
        <s:is>
          <s:t>Ministry of Health and Family Welfare / PIB. India objects to WHO excess-mortality estimates. 2022-05-05. Accessed 24 September 2026.</s:t>
        </s:is>
      </s:c>
    </s:row>
    <s:row r="45" ht="80" customHeight="1">
      <s:c r="A45" s="7" t="inlineStr">
        <s:is>
          <s:t>S040</s:t>
        </s:is>
      </s:c>
      <s:c r="B45" s="7" t="inlineStr">
        <s:is>
          <s:t>Women’s Reservation Bill 2023</s:t>
        </s:is>
      </s:c>
      <s:c r="C45" s="7" t="inlineStr">
        <s:is>
          <s:t>PRS Legislative Research</s:t>
        </s:is>
      </s:c>
      <s:c r="D45" s="7" t="inlineStr">
        <s:is>
          <s:t>2023-09</s:t>
        </s:is>
      </s:c>
      <s:c r="E45" s="7" t="inlineStr">
        <s:is>
          <s:t>Legislative analysis</s:t>
        </s:is>
      </s:c>
      <s:c r="F45" s="8" t="inlineStr">
        <s:is>
          <s:t>https://prsindia.org/billtrack/the-constitution-one-hundred-twenty-eighth-amendment-bill-2023</s:t>
        </s:is>
      </s:c>
      <s:c r="G45" s="15" t="n">
        <s:v>46289</s:v>
      </s:c>
      <s:c r="H45" s="7" t="inlineStr">
        <s:is>
          <s:t>English</s:t>
        </s:is>
      </s:c>
      <s:c r="I45" s="7" t="inlineStr">
        <s:is>
          <s:t>Main text</s:t>
        </s:is>
      </s:c>
      <s:c r="J45" s="7" t="inlineStr">
        <s:is>
          <s:t>Bill became 106th Amendment; commencement mechanism must be distinguished from enacted quota.</s:t>
        </s:is>
      </s:c>
      <s:c r="K45" s="21" t="inlineStr">
        <s:is>
          <s:t>Overview: OV12; Context &amp; Constraints: P3-G01, P3-G02, P4-G09; Career Timeline: T031; Policy &amp; Governance: P18; Legacy &amp; Assessments: L07</s:t>
        </s:is>
      </s:c>
      <s:c r="L45" s="7" t="inlineStr">
        <s:is>
          <s:t>PRS Legislative Research. Women’s Reservation Bill 2023. 2023-09. Accessed 24 September 2026.</s:t>
        </s:is>
      </s:c>
    </s:row>
    <s:row r="46" ht="96" customHeight="1">
      <s:c r="A46" s="5" t="inlineStr">
        <s:is>
          <s:t>S041</s:t>
        </s:is>
      </s:c>
      <s:c r="B46" s="5" t="inlineStr">
        <s:is>
          <s:t>Constitution (131st Amendment) Bill, 2026 [Delimitation Bills]</s:t>
        </s:is>
      </s:c>
      <s:c r="C46" s="5" t="inlineStr">
        <s:is>
          <s:t>PRS Legislative Research</s:t>
        </s:is>
      </s:c>
      <s:c r="D46" s="5" t="inlineStr">
        <s:is>
          <s:t>2026-04-17 status</s:t>
        </s:is>
      </s:c>
      <s:c r="E46" s="5" t="inlineStr">
        <s:is>
          <s:t>Legislative tracker and analysis</s:t>
        </s:is>
      </s:c>
      <s:c r="F46" s="6" t="inlineStr">
        <s:is>
          <s:t>https://prsindia.org/billtrack/the-constitution-131st-amendment-bill-2026</s:t>
        </s:is>
      </s:c>
      <s:c r="G46" s="14" t="n">
        <s:v>46289</s:v>
      </s:c>
      <s:c r="H46" s="5" t="inlineStr">
        <s:is>
          <s:t>English</s:t>
        </s:is>
      </s:c>
      <s:c r="I46" s="5" t="inlineStr">
        <s:is>
          <s:t>Status panel; commencement and federal implications</s:t>
        </s:is>
      </s:c>
      <s:c r="J46" s="5" t="inlineStr">
        <s:is>
          <s:t>Introduced 16 April; negatived 17 April. Bill proposals are not enacted law.</s:t>
        </s:is>
      </s:c>
      <s:c r="K46" s="20" t="inlineStr">
        <s:is>
          <s:t>Overview: OV08, OV12, OV14; Context &amp; Constraints: P4-E02, P4-E09, P4-G02, P4-G07, P4-G08, P4-G10; Career Timeline: T043; Policy &amp; Governance: P18, P27; Ideas &amp; Political Method: I08; Legacy &amp; Assessments: L08</s:t>
        </s:is>
      </s:c>
      <s:c r="L46" s="5" t="inlineStr">
        <s:is>
          <s:t>PRS Legislative Research. Constitution (131st Amendment) Bill, 2026 [Delimitation Bills]. 2026-04-17 status. Accessed 24 September 2026.</s:t>
        </s:is>
      </s:c>
    </s:row>
    <s:row r="47" ht="64" customHeight="1">
      <s:c r="A47" s="7" t="inlineStr">
        <s:is>
          <s:t>S042</s:t>
        </s:is>
      </s:c>
      <s:c r="B47" s="7" t="inlineStr">
        <s:is>
          <s:t>Beti Bachao, Beti Padhao: implementation and expenditure</s:t>
        </s:is>
      </s:c>
      <s:c r="C47" s="7" t="inlineStr">
        <s:is>
          <s:t>Ministry of Women and Child Development / PIB</s:t>
        </s:is>
      </s:c>
      <s:c r="D47" s="7" t="inlineStr">
        <s:is>
          <s:t>2022-07-27</s:t>
        </s:is>
      </s:c>
      <s:c r="E47" s="7" t="inlineStr">
        <s:is>
          <s:t>Parliamentary answer / official record</s:t>
        </s:is>
      </s:c>
      <s:c r="F47" s="8" t="inlineStr">
        <s:is>
          <s:t>https://www.pib.gov.in/Pressreleaseshare.aspx?PRID=1845380&amp;lang=2&amp;reg=3</s:t>
        </s:is>
      </s:c>
      <s:c r="G47" s="15" t="n">
        <s:v>46289</s:v>
      </s:c>
      <s:c r="H47" s="7" t="inlineStr">
        <s:is>
          <s:t>English</s:t>
        </s:is>
      </s:c>
      <s:c r="I47" s="7" t="inlineStr">
        <s:is>
          <s:t>Main text</s:t>
        </s:is>
      </s:c>
      <s:c r="J47" s="7" t="inlineStr">
        <s:is>
          <s:t>Government answer discusses committee scrutiny; publicity expenditure is not an outcome measure.</s:t>
        </s:is>
      </s:c>
      <s:c r="K47" s="21" t="inlineStr">
        <s:is>
          <s:t>Policy &amp; Governance: P16</s:t>
        </s:is>
      </s:c>
      <s:c r="L47" s="7" t="inlineStr">
        <s:is>
          <s:t>Ministry of Women and Child Development / PIB. Beti Bachao, Beti Padhao: implementation and expenditure. 2022-07-27. Accessed 24 September 2026.</s:t>
        </s:is>
      </s:c>
    </s:row>
    <s:row r="48" ht="64" customHeight="1">
      <s:c r="A48" s="5" t="inlineStr">
        <s:is>
          <s:t>S043</s:t>
        </s:is>
      </s:c>
      <s:c r="B48" s="5" t="inlineStr">
        <s:is>
          <s:t>Muslim Women (Protection of Rights on Marriage) Act, 2019: factsheet</s:t>
        </s:is>
      </s:c>
      <s:c r="C48" s="5" t="inlineStr">
        <s:is>
          <s:t>Press Information Bureau</s:t>
        </s:is>
      </s:c>
      <s:c r="D48" s="5" t="inlineStr">
        <s:is>
          <s:t>2021</s:t>
        </s:is>
      </s:c>
      <s:c r="E48" s="5" t="inlineStr">
        <s:is>
          <s:t>Official law explanation</s:t>
        </s:is>
      </s:c>
      <s:c r="F48" s="6" t="inlineStr">
        <s:is>
          <s:t>https://www.pib.gov.in/FactsheetDetails.aspx?Id=148565&amp;lang=2&amp;reg=3</s:t>
        </s:is>
      </s:c>
      <s:c r="G48" s="14" t="n">
        <s:v>46289</s:v>
      </s:c>
      <s:c r="H48" s="5" t="inlineStr">
        <s:is>
          <s:t>English</s:t>
        </s:is>
      </s:c>
      <s:c r="I48" s="5" t="inlineStr">
        <s:is>
          <s:t>Main text</s:t>
        </s:is>
      </s:c>
      <s:c r="J48" s="5" t="inlineStr">
        <s:is>
          <s:t>Promotional framing; do not infer verified empowerment effects from the statute alone.</s:t>
        </s:is>
      </s:c>
      <s:c r="K48" s="20" t="inlineStr">
        <s:is>
          <s:t>Context &amp; Constraints: P3-G07; Policy &amp; Governance: P17</s:t>
        </s:is>
      </s:c>
      <s:c r="L48" s="5" t="inlineStr">
        <s:is>
          <s:t>Press Information Bureau. Muslim Women (Protection of Rights on Marriage) Act, 2019: factsheet. 2021. Accessed 24 September 2026.</s:t>
        </s:is>
      </s:c>
    </s:row>
    <s:row r="49" ht="80" customHeight="1">
      <s:c r="A49" s="7" t="inlineStr">
        <s:is>
          <s:t>S044</s:t>
        </s:is>
      </s:c>
      <s:c r="B49" s="7" t="inlineStr">
        <s:is>
          <s:t>Modi-masculinity: Media, Manhood and Traditions in a Time of Consumerism</s:t>
        </s:is>
      </s:c>
      <s:c r="C49" s="7" t="inlineStr">
        <s:is>
          <s:t>Sanjay Srivastava / Television &amp; New Media 16(4), 331–348</s:t>
        </s:is>
      </s:c>
      <s:c r="D49" s="7" t="inlineStr">
        <s:is>
          <s:t>2015</s:t>
        </s:is>
      </s:c>
      <s:c r="E49" s="7" t="inlineStr">
        <s:is>
          <s:t>Peer-reviewed scholarship</s:t>
        </s:is>
      </s:c>
      <s:c r="F49" s="8" t="inlineStr">
        <s:is>
          <s:t>https://soas-repository.worktribe.com/output/346043/modi-masculinity-media-manhood-and-traditions-in-a-time-of-consumerism</s:t>
        </s:is>
      </s:c>
      <s:c r="G49" s="15" t="n">
        <s:v>46289</s:v>
      </s:c>
      <s:c r="H49" s="7" t="inlineStr">
        <s:is>
          <s:t>English</s:t>
        </s:is>
      </s:c>
      <s:c r="I49" s="7" t="inlineStr">
        <s:is>
          <s:t>Main text</s:t>
        </s:is>
      </s:c>
      <s:c r="J49" s="7" t="inlineStr">
        <s:is>
          <s:t>Repository abstract and bibliographic record; full text restricted. Interpretation of 2014 representation, not a causal estimate of vote choice.</s:t>
        </s:is>
      </s:c>
      <s:c r="K49" s="21" t="inlineStr">
        <s:is>
          <s:t>Overview: OV12; Context &amp; Constraints: P1-G08, P1-G10, P2-G05, P2-G08, P3-G04, P3-G05, P3-G08, P3-G10, P4-G05; Ideas &amp; Political Method: I06; Legacy &amp; Assessments: L07</s:t>
        </s:is>
      </s:c>
      <s:c r="L49" s="7" t="inlineStr">
        <s:is>
          <s:t>Sanjay Srivastava / Television &amp; New Media 16(4), 331–348. Modi-masculinity: Media, Manhood and Traditions in a Time of Consumerism. 2015. Accessed 24 September 2026.</s:t>
        </s:is>
      </s:c>
    </s:row>
    <s:row r="50" ht="64" customHeight="1">
      <s:c r="A50" s="5" t="inlineStr">
        <s:is>
          <s:t>S045</s:t>
        </s:is>
      </s:c>
      <s:c r="B50" s="5" t="inlineStr">
        <s:is>
          <s:t>Special Protection Group Act, 1988</s:t>
        </s:is>
      </s:c>
      <s:c r="C50" s="5" t="inlineStr">
        <s:is>
          <s:t>India Code / Government of India</s:t>
        </s:is>
      </s:c>
      <s:c r="D50" s="5" t="inlineStr">
        <s:is>
          <s:t>1988; consolidated text</s:t>
        </s:is>
      </s:c>
      <s:c r="E50" s="5" t="inlineStr">
        <s:is>
          <s:t>Statute</s:t>
        </s:is>
      </s:c>
      <s:c r="F50" s="6" t="inlineStr">
        <s:is>
          <s:t>https://www.indiacode.nic.in/indiacode/handle/123456789/1824?col=123456789%2F1362&amp;view_type=search</s:t>
        </s:is>
      </s:c>
      <s:c r="G50" s="14" t="n">
        <s:v>46289</s:v>
      </s:c>
      <s:c r="H50" s="5" t="inlineStr">
        <s:is>
          <s:t>English</s:t>
        </s:is>
      </s:c>
      <s:c r="I50" s="5" t="inlineStr">
        <s:is>
          <s:t>Main text</s:t>
        </s:is>
      </s:c>
      <s:c r="J50" s="5" t="inlineStr">
        <s:is>
          <s:t>Office-based security protection; does not demonstrate a gender-specific threat against Modi.</s:t>
        </s:is>
      </s:c>
      <s:c r="K50" s="20" t="inlineStr">
        <s:is>
          <s:t>Context &amp; Constraints: P3-G06, P4-G06</s:t>
        </s:is>
      </s:c>
      <s:c r="L50" s="5" t="inlineStr">
        <s:is>
          <s:t>India Code / Government of India. Special Protection Group Act, 1988. 1988; consolidated text. Accessed 24 September 2026.</s:t>
        </s:is>
      </s:c>
    </s:row>
    <s:row r="51" ht="64" customHeight="1">
      <s:c r="A51" s="7" t="inlineStr">
        <s:is>
          <s:t>S046</s:t>
        </s:is>
      </s:c>
      <s:c r="B51" s="7" t="inlineStr">
        <s:is>
          <s:t>Electoral Bonds Constitution Bench: Judgement Summary</s:t>
        </s:is>
      </s:c>
      <s:c r="C51" s="7" t="inlineStr">
        <s:is>
          <s:t>Gauri Kashyap / Supreme Court Observer</s:t>
        </s:is>
      </s:c>
      <s:c r="D51" s="7" t="inlineStr">
        <s:is>
          <s:t>2024-02-15</s:t>
        </s:is>
      </s:c>
      <s:c r="E51" s="7" t="inlineStr">
        <s:is>
          <s:t>Legal analysis</s:t>
        </s:is>
      </s:c>
      <s:c r="F51" s="8" t="inlineStr">
        <s:is>
          <s:t>https://www.scobserver.in/reports/electoral-bonds-constitution-bench-judgement-summary/</s:t>
        </s:is>
      </s:c>
      <s:c r="G51" s="15" t="n">
        <s:v>46289</s:v>
      </s:c>
      <s:c r="H51" s="7" t="inlineStr">
        <s:is>
          <s:t>English</s:t>
        </s:is>
      </s:c>
      <s:c r="I51" s="7" t="inlineStr">
        <s:is>
          <s:t>Main text</s:t>
        </s:is>
      </s:c>
      <s:c r="J51" s="7" t="inlineStr">
        <s:is>
          <s:t>Unconstitutionality of financing system is not a personal corruption conviction.</s:t>
        </s:is>
      </s:c>
      <s:c r="K51" s="21" t="inlineStr">
        <s:is>
          <s:t>Overview: OV11; Context &amp; Constraints: P3-E02; Career Timeline: T033; Controversies: C05; Legacy &amp; Assessments: L04</s:t>
        </s:is>
      </s:c>
      <s:c r="L51" s="7" t="inlineStr">
        <s:is>
          <s:t>Gauri Kashyap / Supreme Court Observer. Electoral Bonds Constitution Bench: Judgement Summary. 2024-02-15. Accessed 24 September 2026.</s:t>
        </s:is>
      </s:c>
    </s:row>
    <s:row r="52" ht="64" customHeight="1">
      <s:c r="A52" s="5" t="inlineStr">
        <s:is>
          <s:t>S047</s:t>
        </s:is>
      </s:c>
      <s:c r="B52" s="5" t="inlineStr">
        <s:is>
          <s:t>India’s top court strikes down anonymous political donation system</s:t>
        </s:is>
      </s:c>
      <s:c r="C52" s="5" t="inlineStr">
        <s:is>
          <s:t>Associated Press</s:t>
        </s:is>
      </s:c>
      <s:c r="D52" s="5" t="inlineStr">
        <s:is>
          <s:t>2024-02-15</s:t>
        </s:is>
      </s:c>
      <s:c r="E52" s="5" t="inlineStr">
        <s:is>
          <s:t>Independent journalism</s:t>
        </s:is>
      </s:c>
      <s:c r="F52" s="6" t="inlineStr">
        <s:is>
          <s:t>https://apnews.com/article/8de67ea52eebfad104095b4db056e90e</s:t>
        </s:is>
      </s:c>
      <s:c r="G52" s="14" t="n">
        <s:v>46289</s:v>
      </s:c>
      <s:c r="H52" s="5" t="inlineStr">
        <s:is>
          <s:t>English</s:t>
        </s:is>
      </s:c>
      <s:c r="I52" s="5" t="inlineStr">
        <s:is>
          <s:t>Main text</s:t>
        </s:is>
      </s:c>
      <s:c r="J52" s="5" t="inlineStr">
        <s:is>
          <s:t>Contemporaneous independent corroboration of legal outcome.</s:t>
        </s:is>
      </s:c>
      <s:c r="K52" s="20" t="inlineStr">
        <s:is>
          <s:t>Career Timeline: T033; Controversies: C05</s:t>
        </s:is>
      </s:c>
      <s:c r="L52" s="5" t="inlineStr">
        <s:is>
          <s:t>Associated Press. India’s top court strikes down anonymous political donation system. 2024-02-15. Accessed 24 September 2026.</s:t>
        </s:is>
      </s:c>
    </s:row>
    <s:row r="53" ht="64" customHeight="1">
      <s:c r="A53" s="7" t="inlineStr">
        <s:is>
          <s:t>S048</s:t>
        </s:is>
      </s:c>
      <s:c r="B53" s="7" t="inlineStr">
        <s:is>
          <s:t>India: Freedom in the World 2026</s:t>
        </s:is>
      </s:c>
      <s:c r="C53" s="7" t="inlineStr">
        <s:is>
          <s:t>Freedom House</s:t>
        </s:is>
      </s:c>
      <s:c r="D53" s="7" t="inlineStr">
        <s:is>
          <s:t>2026</s:t>
        </s:is>
      </s:c>
      <s:c r="E53" s="7" t="inlineStr">
        <s:is>
          <s:t>Rights and democracy assessment</s:t>
        </s:is>
      </s:c>
      <s:c r="F53" s="8" t="inlineStr">
        <s:is>
          <s:t>https://freedomhouse.org/country/india/freedom-world/2026</s:t>
        </s:is>
      </s:c>
      <s:c r="G53" s="15" t="n">
        <s:v>46289</s:v>
      </s:c>
      <s:c r="H53" s="7" t="inlineStr">
        <s:is>
          <s:t>English</s:t>
        </s:is>
      </s:c>
      <s:c r="I53" s="7" t="inlineStr">
        <s:is>
          <s:t>Main text</s:t>
        </s:is>
      </s:c>
      <s:c r="J53" s="7" t="inlineStr">
        <s:is>
          <s:t>Advocacy organization’s methodology and ratings; index is an attributed assessment, not a judicial finding.</s:t>
        </s:is>
      </s:c>
      <s:c r="K53" s="21" t="inlineStr">
        <s:is>
          <s:t>Overview: OV14, OV15; Context &amp; Constraints: P4-E06; Controversies: C07; Legacy &amp; Assessments: L06</s:t>
        </s:is>
      </s:c>
      <s:c r="L53" s="7" t="inlineStr">
        <s:is>
          <s:t>Freedom House. India: Freedom in the World 2026. 2026. Accessed 24 September 2026.</s:t>
        </s:is>
      </s:c>
    </s:row>
    <s:row r="54" ht="64" customHeight="1">
      <s:c r="A54" s="5" t="inlineStr">
        <s:is>
          <s:t>S049</s:t>
        </s:is>
      </s:c>
      <s:c r="B54" s="5" t="inlineStr">
        <s:is>
          <s:t>India: Hate Speech Fueled Modi’s Election Campaign</s:t>
        </s:is>
      </s:c>
      <s:c r="C54" s="5" t="inlineStr">
        <s:is>
          <s:t>Human Rights Watch</s:t>
        </s:is>
      </s:c>
      <s:c r="D54" s="5" t="inlineStr">
        <s:is>
          <s:t>2024-08-14</s:t>
        </s:is>
      </s:c>
      <s:c r="E54" s="5" t="inlineStr">
        <s:is>
          <s:t>Rights advocacy analysis</s:t>
        </s:is>
      </s:c>
      <s:c r="F54" s="6" t="inlineStr">
        <s:is>
          <s:t>https://www.hrw.org/news/2024/08/14/india-hate-speech-fueled-modis-election-campaign</s:t>
        </s:is>
      </s:c>
      <s:c r="G54" s="14" t="n">
        <s:v>46289</s:v>
      </s:c>
      <s:c r="H54" s="5" t="inlineStr">
        <s:is>
          <s:t>English</s:t>
        </s:is>
      </s:c>
      <s:c r="I54" s="5" t="inlineStr">
        <s:is>
          <s:t>Main text</s:t>
        </s:is>
      </s:c>
      <s:c r="J54" s="5" t="inlineStr">
        <s:is>
          <s:t>Attributes hate-speech classification to HRW; speech coding is not a criminal conviction.</s:t>
        </s:is>
      </s:c>
      <s:c r="K54" s="20" t="inlineStr">
        <s:is>
          <s:t>Controversies: C07</s:t>
        </s:is>
      </s:c>
      <s:c r="L54" s="5" t="inlineStr">
        <s:is>
          <s:t>Human Rights Watch. India: Hate Speech Fueled Modi’s Election Campaign. 2024-08-14. Accessed 24 September 2026.</s:t>
        </s:is>
      </s:c>
    </s:row>
    <s:row r="55" ht="64" customHeight="1">
      <s:c r="A55" s="7" t="inlineStr">
        <s:is>
          <s:t>S050</s:t>
        </s:is>
      </s:c>
      <s:c r="B55" s="7" t="inlineStr">
        <s:is>
          <s:t>India: Religious Minorities, Critics Unlawfully Targeted</s:t>
        </s:is>
      </s:c>
      <s:c r="C55" s="7" t="inlineStr">
        <s:is>
          <s:t>Human Rights Watch</s:t>
        </s:is>
      </s:c>
      <s:c r="D55" s="7" t="inlineStr">
        <s:is>
          <s:t>2026-02-04</s:t>
        </s:is>
      </s:c>
      <s:c r="E55" s="7" t="inlineStr">
        <s:is>
          <s:t>Rights advocacy analysis</s:t>
        </s:is>
      </s:c>
      <s:c r="F55" s="8" t="inlineStr">
        <s:is>
          <s:t>https://www.hrw.org/news/2026/02/04/india-religious-minorities-critics-unlawfully-targeted</s:t>
        </s:is>
      </s:c>
      <s:c r="G55" s="15" t="n">
        <s:v>46289</s:v>
      </s:c>
      <s:c r="H55" s="7" t="inlineStr">
        <s:is>
          <s:t>English</s:t>
        </s:is>
      </s:c>
      <s:c r="I55" s="7" t="inlineStr">
        <s:is>
          <s:t>Main text</s:t>
        </s:is>
      </s:c>
      <s:c r="J55" s="7" t="inlineStr">
        <s:is>
          <s:t>Assessment of 2025; distinguishes state-level acts and central responsibility.</s:t>
        </s:is>
      </s:c>
      <s:c r="K55" s="21" t="inlineStr">
        <s:is>
          <s:t>Context &amp; Constraints: P4-E08; Controversies: C07; Legacy &amp; Assessments: L06</s:t>
        </s:is>
      </s:c>
      <s:c r="L55" s="7" t="inlineStr">
        <s:is>
          <s:t>Human Rights Watch. India: Religious Minorities, Critics Unlawfully Targeted. 2026-02-04. Accessed 24 September 2026.</s:t>
        </s:is>
      </s:c>
    </s:row>
    <s:row r="56" ht="64" customHeight="1">
      <s:c r="A56" s="5" t="inlineStr">
        <s:is>
          <s:t>S051</s:t>
        </s:is>
      </s:c>
      <s:c r="B56" s="5" t="inlineStr">
        <s:is>
          <s:t>Interview of PM Narendra Modi with TIME</s:t>
        </s:is>
      </s:c>
      <s:c r="C56" s="5" t="inlineStr">
        <s:is>
          <s:t>Prime Minister’s Office / interview transcript</s:t>
        </s:is>
      </s:c>
      <s:c r="D56" s="5" t="inlineStr">
        <s:is>
          <s:t>2015</s:t>
        </s:is>
      </s:c>
      <s:c r="E56" s="5" t="inlineStr">
        <s:is>
          <s:t>Primary interview</s:t>
        </s:is>
      </s:c>
      <s:c r="F56" s="6" t="inlineStr">
        <s:is>
          <s:t>https://www.pmindia.gov.in/en/news_updates/the-interview-of-pm-narendra-modi-with-time/</s:t>
        </s:is>
      </s:c>
      <s:c r="G56" s="14" t="n">
        <s:v>46289</s:v>
      </s:c>
      <s:c r="H56" s="5" t="inlineStr">
        <s:is>
          <s:t>English</s:t>
        </s:is>
      </s:c>
      <s:c r="I56" s="5" t="inlineStr">
        <s:is>
          <s:t>Main text</s:t>
        </s:is>
      </s:c>
      <s:c r="J56" s="5" t="inlineStr">
        <s:is>
          <s:t>Public defense of religious liberty; not independent validation of government practice.</s:t>
        </s:is>
      </s:c>
      <s:c r="K56" s="20" t="inlineStr">
        <s:is>
          <s:t>Overview: OV15; Controversies: C07; Legacy &amp; Assessments: L05</s:t>
        </s:is>
      </s:c>
      <s:c r="L56" s="5" t="inlineStr">
        <s:is>
          <s:t>Prime Minister’s Office / interview transcript. Interview of PM Narendra Modi with TIME. 2015. Accessed 24 September 2026.</s:t>
        </s:is>
      </s:c>
    </s:row>
    <s:row r="57" ht="64" customHeight="1">
      <s:c r="A57" s="7" t="inlineStr">
        <s:is>
          <s:t>S052</s:t>
        </s:is>
      </s:c>
      <s:c r="B57" s="7" t="inlineStr">
        <s:is>
          <s:t>Pegasus Spyware Probe</s:t>
        </s:is>
      </s:c>
      <s:c r="C57" s="7" t="inlineStr">
        <s:is>
          <s:t>Supreme Court Observer</s:t>
        </s:is>
      </s:c>
      <s:c r="D57" s="7" t="inlineStr">
        <s:is>
          <s:t>Living case page</s:t>
        </s:is>
      </s:c>
      <s:c r="E57" s="7" t="inlineStr">
        <s:is>
          <s:t>Legal case tracker</s:t>
        </s:is>
      </s:c>
      <s:c r="F57" s="8" t="inlineStr">
        <s:is>
          <s:t>https://www.scobserver.in/cases/manohar-lal-sharma-v-union-of-india-pegasus-spyware-probe-case-background/</s:t>
        </s:is>
      </s:c>
      <s:c r="G57" s="15" t="n">
        <s:v>46289</s:v>
      </s:c>
      <s:c r="H57" s="7" t="inlineStr">
        <s:is>
          <s:t>English</s:t>
        </s:is>
      </s:c>
      <s:c r="I57" s="7" t="inlineStr">
        <s:is>
          <s:t>Main text</s:t>
        </s:is>
      </s:c>
      <s:c r="J57" s="7" t="inlineStr">
        <s:is>
          <s:t>Consulted record does not establish personal authorization by Modi. No final merits finding asserted.</s:t>
        </s:is>
      </s:c>
      <s:c r="K57" s="21" t="inlineStr">
        <s:is>
          <s:t>Controversies: C09</s:t>
        </s:is>
      </s:c>
      <s:c r="L57" s="7" t="inlineStr">
        <s:is>
          <s:t>Supreme Court Observer. Pegasus Spyware Probe. Living case page. Accessed 24 September 2026.</s:t>
        </s:is>
      </s:c>
    </s:row>
    <s:row r="58" ht="64" customHeight="1">
      <s:c r="A58" s="5" t="inlineStr">
        <s:is>
          <s:t>S053</s:t>
        </s:is>
      </s:c>
      <s:c r="B58" s="5" t="inlineStr">
        <s:is>
          <s:t>2022 Supreme Court Review: Freedom of Speech</s:t>
        </s:is>
      </s:c>
      <s:c r="C58" s="5" t="inlineStr">
        <s:is>
          <s:t>Supreme Court Observer</s:t>
        </s:is>
      </s:c>
      <s:c r="D58" s="5" t="inlineStr">
        <s:is>
          <s:t>2022</s:t>
        </s:is>
      </s:c>
      <s:c r="E58" s="5" t="inlineStr">
        <s:is>
          <s:t>Legal reporting</s:t>
        </s:is>
      </s:c>
      <s:c r="F58" s="6" t="inlineStr">
        <s:is>
          <s:t>https://www.scobserver.in/journal/2022-supreme-court-review-freedom-of-speech/</s:t>
        </s:is>
      </s:c>
      <s:c r="G58" s="14" t="n">
        <s:v>46289</s:v>
      </s:c>
      <s:c r="H58" s="5" t="inlineStr">
        <s:is>
          <s:t>English</s:t>
        </s:is>
      </s:c>
      <s:c r="I58" s="5" t="inlineStr">
        <s:is>
          <s:t>Main text</s:t>
        </s:is>
      </s:c>
      <s:c r="J58" s="5" t="inlineStr">
        <s:is>
          <s:t>Reports non-cooperation and sealed technical report; a negative phone sample is not a general exoneration.</s:t>
        </s:is>
      </s:c>
      <s:c r="K58" s="20" t="inlineStr">
        <s:is>
          <s:t>Controversies: C09</s:t>
        </s:is>
      </s:c>
      <s:c r="L58" s="5" t="inlineStr">
        <s:is>
          <s:t>Supreme Court Observer. 2022 Supreme Court Review: Freedom of Speech. 2022. Accessed 24 September 2026.</s:t>
        </s:is>
      </s:c>
    </s:row>
    <s:row r="59" ht="64" customHeight="1">
      <s:c r="A59" s="7" t="inlineStr">
        <s:is>
          <s:t>S054</s:t>
        </s:is>
      </s:c>
      <s:c r="B59" s="7" t="inlineStr">
        <s:is>
          <s:t>SC dismisses petition seeking review of Rafale verdict</s:t>
        </s:is>
      </s:c>
      <s:c r="C59" s="7" t="inlineStr">
        <s:is>
          <s:t>Prachi Bhardwaj / SCC Times</s:t>
        </s:is>
      </s:c>
      <s:c r="D59" s="7" t="inlineStr">
        <s:is>
          <s:t>2019-11-14</s:t>
        </s:is>
      </s:c>
      <s:c r="E59" s="7" t="inlineStr">
        <s:is>
          <s:t>Legal reporting</s:t>
        </s:is>
      </s:c>
      <s:c r="F59" s="8" t="inlineStr">
        <s:is>
          <s:t>https://www.scconline.com/blog/post/2019/11/14/breaking-sc-dismisses-the-petition-seeking-review-of-the-rafale-verdict/</s:t>
        </s:is>
      </s:c>
      <s:c r="G59" s="15" t="n">
        <s:v>46289</s:v>
      </s:c>
      <s:c r="H59" s="7" t="inlineStr">
        <s:is>
          <s:t>English</s:t>
        </s:is>
      </s:c>
      <s:c r="I59" s="7" t="inlineStr">
        <s:is>
          <s:t>Main text</s:t>
        </s:is>
      </s:c>
      <s:c r="J59" s="7" t="inlineStr">
        <s:is>
          <s:t>Limited judicial-review outcome; do not conflate with a criminal trial.</s:t>
        </s:is>
      </s:c>
      <s:c r="K59" s="21" t="inlineStr">
        <s:is>
          <s:t>Controversies: C08</s:t>
        </s:is>
      </s:c>
      <s:c r="L59" s="7" t="inlineStr">
        <s:is>
          <s:t>Prachi Bhardwaj / SCC Times. SC dismisses petition seeking review of Rafale verdict. 2019-11-14. Accessed 24 September 2026.</s:t>
        </s:is>
      </s:c>
    </s:row>
    <s:row r="60" ht="64" customHeight="1">
      <s:c r="A60" s="5" t="inlineStr">
        <s:is>
          <s:t>S055</s:t>
        </s:is>
      </s:c>
      <s:c r="B60" s="5" t="inlineStr">
        <s:is>
          <s:t>Vishal Tiwari v Union of India</s:t>
        </s:is>
      </s:c>
      <s:c r="C60" s="5" t="inlineStr">
        <s:is>
          <s:t>Supreme Court of India</s:t>
        </s:is>
      </s:c>
      <s:c r="D60" s="5" t="inlineStr">
        <s:is>
          <s:t>2024-01-03</s:t>
        </s:is>
      </s:c>
      <s:c r="E60" s="5" t="inlineStr">
        <s:is>
          <s:t>Court judgment</s:t>
        </s:is>
      </s:c>
      <s:c r="F60" s="6" t="inlineStr">
        <s:is>
          <s:t>https://webapi.sci.gov.in/supremecourt/2023/5354/5354_2023_1_1501_49132_Judgement_03-Jan-2024.pdf</s:t>
        </s:is>
      </s:c>
      <s:c r="G60" s="14" t="n">
        <s:v>46289</s:v>
      </s:c>
      <s:c r="H60" s="5" t="inlineStr">
        <s:is>
          <s:t>English</s:t>
        </s:is>
      </s:c>
      <s:c r="I60" s="5" t="inlineStr">
        <s:is>
          <s:t>Main text</s:t>
        </s:is>
      </s:c>
      <s:c r="J60" s="5" t="inlineStr">
        <s:is>
          <s:t>Concerns SEBI inquiry and regulatory review; does not adjudicate Modi’s personal guilt.</s:t>
        </s:is>
      </s:c>
      <s:c r="K60" s="20" t="inlineStr">
        <s:is>
          <s:t>Controversies: C10</s:t>
        </s:is>
      </s:c>
      <s:c r="L60" s="5" t="inlineStr">
        <s:is>
          <s:t>Supreme Court of India. Vishal Tiwari v Union of India. 2024-01-03. Accessed 24 September 2026.</s:t>
        </s:is>
      </s:c>
    </s:row>
    <s:row r="61" ht="64" customHeight="1">
      <s:c r="A61" s="7" t="inlineStr">
        <s:is>
          <s:t>S056</s:t>
        </s:is>
      </s:c>
      <s:c r="B61" s="7" t="inlineStr">
        <s:is>
          <s:t>India Development Update, April 2026</s:t>
        </s:is>
      </s:c>
      <s:c r="C61" s="7" t="inlineStr">
        <s:is>
          <s:t>World Bank</s:t>
        </s:is>
      </s:c>
      <s:c r="D61" s="7" t="inlineStr">
        <s:is>
          <s:t>2026-04</s:t>
        </s:is>
      </s:c>
      <s:c r="E61" s="7" t="inlineStr">
        <s:is>
          <s:t>Economic and statistical research</s:t>
        </s:is>
      </s:c>
      <s:c r="F61" s="8" t="inlineStr">
        <s:is>
          <s:t>https://thedocs.worldbank.org/en/doc/4262e1e15b463ecb360cec4ad78cf062-0310012026/original/April-2026-India-Development-Update.pdf</s:t>
        </s:is>
      </s:c>
      <s:c r="G61" s="15" t="n">
        <s:v>46289</s:v>
      </s:c>
      <s:c r="H61" s="7" t="inlineStr">
        <s:is>
          <s:t>English</s:t>
        </s:is>
      </s:c>
      <s:c r="I61" s="7" t="inlineStr">
        <s:is>
          <s:t>Executive summary; poverty discussion and Fig. 2.6</s:t>
        </s:is>
      </s:c>
      <s:c r="J61" s="7" t="inlineStr">
        <s:is>
          <s:t>Data cutoff 31 March 2026; poverty estimates refer to 2023–24, not 2026. Revised GDP base year matters.</s:t>
        </s:is>
      </s:c>
      <s:c r="K61" s="21" t="inlineStr">
        <s:is>
          <s:t>Overview: OV10; Context &amp; Constraints: P4-E10; Policy &amp; Governance: P28; Legacy &amp; Assessments: L03</s:t>
        </s:is>
      </s:c>
      <s:c r="L61" s="7" t="inlineStr">
        <s:is>
          <s:t>World Bank. India Development Update, April 2026. 2026-04. Accessed 24 September 2026.</s:t>
        </s:is>
      </s:c>
    </s:row>
    <s:row r="62" ht="80" customHeight="1">
      <s:c r="A62" s="5" t="inlineStr">
        <s:is>
          <s:t>S057</s:t>
        </s:is>
      </s:c>
      <s:c r="B62" s="5" t="inlineStr">
        <s:is>
          <s:t>India Employment Report 2024: Youth employment, education and skills</s:t>
        </s:is>
      </s:c>
      <s:c r="C62" s="5" t="inlineStr">
        <s:is>
          <s:t>International Labour Organization / Institute for Human Development</s:t>
        </s:is>
      </s:c>
      <s:c r="D62" s="5" t="inlineStr">
        <s:is>
          <s:t>2024-03-29</s:t>
        </s:is>
      </s:c>
      <s:c r="E62" s="5" t="inlineStr">
        <s:is>
          <s:t>Labour-market research</s:t>
        </s:is>
      </s:c>
      <s:c r="F62" s="6" t="inlineStr">
        <s:is>
          <s:t>https://www.ilo.org/publications/india-employment-report-2024-youth-employment-education-and-skills</s:t>
        </s:is>
      </s:c>
      <s:c r="G62" s="14" t="n">
        <s:v>46289</s:v>
      </s:c>
      <s:c r="H62" s="5" t="inlineStr">
        <s:is>
          <s:t>English</s:t>
        </s:is>
      </s:c>
      <s:c r="I62" s="5" t="inlineStr">
        <s:is>
          <s:t>Main text</s:t>
        </s:is>
      </s:c>
      <s:c r="J62" s="5" t="inlineStr">
        <s:is>
          <s:t>Historical labour survey analysis; youth employment quality cannot be inferred from aggregate GDP.</s:t>
        </s:is>
      </s:c>
      <s:c r="K62" s="20" t="inlineStr">
        <s:is>
          <s:t>Overview: OV10, OV14; Legacy &amp; Assessments: L03</s:t>
        </s:is>
      </s:c>
      <s:c r="L62" s="5" t="inlineStr">
        <s:is>
          <s:t>International Labour Organization / Institute for Human Development. India Employment Report 2024: Youth employment, education and skills. 2024-03-29. Accessed 24 September 2026.</s:t>
        </s:is>
      </s:c>
    </s:row>
    <s:row r="63" ht="64" customHeight="1">
      <s:c r="A63" s="7" t="inlineStr">
        <s:is>
          <s:t>S058</s:t>
        </s:is>
      </s:c>
      <s:c r="B63" s="7" t="inlineStr">
        <s:is>
          <s:t>India’s Updated First Nationally Determined Contribution</s:t>
        </s:is>
      </s:c>
      <s:c r="C63" s="7" t="inlineStr">
        <s:is>
          <s:t>Government of India / UNFCCC</s:t>
        </s:is>
      </s:c>
      <s:c r="D63" s="7" t="inlineStr">
        <s:is>
          <s:t>2022-08</s:t>
        </s:is>
      </s:c>
      <s:c r="E63" s="7" t="inlineStr">
        <s:is>
          <s:t>Official climate commitment</s:t>
        </s:is>
      </s:c>
      <s:c r="F63" s="8" t="inlineStr">
        <s:is>
          <s:t>https://www.unfccc.int/sites/default/files/NDC/2022-08/India%20Updated%20First%20Nationally%20Determined%20Contrib.pdf</s:t>
        </s:is>
      </s:c>
      <s:c r="G63" s="15" t="n">
        <s:v>46289</s:v>
      </s:c>
      <s:c r="H63" s="7" t="inlineStr">
        <s:is>
          <s:t>English</s:t>
        </s:is>
      </s:c>
      <s:c r="I63" s="7" t="inlineStr">
        <s:is>
          <s:t>Main text</s:t>
        </s:is>
      </s:c>
      <s:c r="J63" s="7" t="inlineStr">
        <s:is>
          <s:t>Historical 2022 commitment. Capacity share is not generation share; target is not achievement.</s:t>
        </s:is>
      </s:c>
      <s:c r="K63" s="21" t="inlineStr">
        <s:is>
          <s:t>Policy &amp; Governance: P20</s:t>
        </s:is>
      </s:c>
      <s:c r="L63" s="7" t="inlineStr">
        <s:is>
          <s:t>Government of India / UNFCCC. India’s Updated First Nationally Determined Contribution. 2022-08. Accessed 24 September 2026.</s:t>
        </s:is>
      </s:c>
    </s:row>
    <s:row r="64" ht="80" customHeight="1">
      <s:c r="A64" s="5" t="inlineStr">
        <s:is>
          <s:t>S059</s:t>
        </s:is>
      </s:c>
      <s:c r="B64" s="5" t="inlineStr">
        <s:is>
          <s:t>Towards a Brighter Tomorrow: India’s G20 Presidency</s:t>
        </s:is>
      </s:c>
      <s:c r="C64" s="5" t="inlineStr">
        <s:is>
          <s:t>Narendra Modi / Prime Minister’s Office</s:t>
        </s:is>
      </s:c>
      <s:c r="D64" s="5" t="inlineStr">
        <s:is>
          <s:t>2023</s:t>
        </s:is>
      </s:c>
      <s:c r="E64" s="5" t="inlineStr">
        <s:is>
          <s:t>Primary retrospective statement</s:t>
        </s:is>
      </s:c>
      <s:c r="F64" s="6" t="inlineStr">
        <s:is>
          <s:t>https://www.pmindia.gov.in/en/news_updates/towards-a-brighter-tomorrow-indias-g20-presidency-and-the-dawn-of-a-new-multilateralism/</s:t>
        </s:is>
      </s:c>
      <s:c r="G64" s="14" t="n">
        <s:v>46289</s:v>
      </s:c>
      <s:c r="H64" s="5" t="inlineStr">
        <s:is>
          <s:t>English</s:t>
        </s:is>
      </s:c>
      <s:c r="I64" s="5" t="inlineStr">
        <s:is>
          <s:t>Main text</s:t>
        </s:is>
      </s:c>
      <s:c r="J64" s="5" t="inlineStr">
        <s:is>
          <s:t>Self-assessment; summit output required agreement by other members.</s:t>
        </s:is>
      </s:c>
      <s:c r="K64" s="20" t="inlineStr">
        <s:is>
          <s:t>Context &amp; Constraints: P3-E05; Career Timeline: T031; Policy &amp; Governance: P21; Ideas &amp; Political Method: I10; Legacy &amp; Assessments: L09</s:t>
        </s:is>
      </s:c>
      <s:c r="L64" s="5" t="inlineStr">
        <s:is>
          <s:t>Narendra Modi / Prime Minister’s Office. Towards a Brighter Tomorrow: India’s G20 Presidency. 2023. Accessed 24 September 2026.</s:t>
        </s:is>
      </s:c>
    </s:row>
    <s:row r="65" ht="64" customHeight="1">
      <s:c r="A65" s="7" t="inlineStr">
        <s:is>
          <s:t>S060</s:t>
        </s:is>
      </s:c>
      <s:c r="B65" s="7" t="inlineStr">
        <s:is>
          <s:t>Transcript of Special briefing on Operation Sindoor</s:t>
        </s:is>
      </s:c>
      <s:c r="C65" s="7" t="inlineStr">
        <s:is>
          <s:t>Ministry of External Affairs</s:t>
        </s:is>
      </s:c>
      <s:c r="D65" s="7" t="inlineStr">
        <s:is>
          <s:t>2025-05-09</s:t>
        </s:is>
      </s:c>
      <s:c r="E65" s="7" t="inlineStr">
        <s:is>
          <s:t>Primary government statement</s:t>
        </s:is>
      </s:c>
      <s:c r="F65" s="8" t="inlineStr">
        <s:is>
          <s:t>https://www.mea.gov.in/media-briefings.htm?dtl%2F39482=</s:t>
        </s:is>
      </s:c>
      <s:c r="G65" s="15" t="n">
        <s:v>46289</s:v>
      </s:c>
      <s:c r="H65" s="7" t="inlineStr">
        <s:is>
          <s:t>English</s:t>
        </s:is>
      </s:c>
      <s:c r="I65" s="7" t="inlineStr">
        <s:is>
          <s:t>Main text</s:t>
        </s:is>
      </s:c>
      <s:c r="J65" s="7" t="inlineStr">
        <s:is>
          <s:t>Indian account of military action; strike effectiveness and opposing claims require independent verification.</s:t>
        </s:is>
      </s:c>
      <s:c r="K65" s="21" t="inlineStr">
        <s:is>
          <s:t>Context &amp; Constraints: P4-E05; Career Timeline: T036; Policy &amp; Governance: P22; Controversies: C12</s:t>
        </s:is>
      </s:c>
      <s:c r="L65" s="7" t="inlineStr">
        <s:is>
          <s:t>Ministry of External Affairs. Transcript of Special briefing on Operation Sindoor. 2025-05-09. Accessed 24 September 2026.</s:t>
        </s:is>
      </s:c>
    </s:row>
    <s:row r="66" ht="64" customHeight="1">
      <s:c r="A66" s="5" t="inlineStr">
        <s:is>
          <s:t>S061</s:t>
        </s:is>
      </s:c>
      <s:c r="B66" s="5" t="inlineStr">
        <s:is>
          <s:t>India and Pakistan accuse each other of violating ceasefire</s:t>
        </s:is>
      </s:c>
      <s:c r="C66" s="5" t="inlineStr">
        <s:is>
          <s:t>Associated Press</s:t>
        </s:is>
      </s:c>
      <s:c r="D66" s="5" t="inlineStr">
        <s:is>
          <s:t>2025-05-10</s:t>
        </s:is>
      </s:c>
      <s:c r="E66" s="5" t="inlineStr">
        <s:is>
          <s:t>Independent conflict reporting</s:t>
        </s:is>
      </s:c>
      <s:c r="F66" s="6" t="inlineStr">
        <s:is>
          <s:t>https://apnews.com/article/1de0ca13c13899f0bd3530b4808d45ad</s:t>
        </s:is>
      </s:c>
      <s:c r="G66" s="14" t="n">
        <s:v>46289</s:v>
      </s:c>
      <s:c r="H66" s="5" t="inlineStr">
        <s:is>
          <s:t>English</s:t>
        </s:is>
      </s:c>
      <s:c r="I66" s="5" t="inlineStr">
        <s:is>
          <s:t>Main text</s:t>
        </s:is>
      </s:c>
      <s:c r="J66" s="5" t="inlineStr">
        <s:is>
          <s:t>Ceasefire-day reporting; mediation credit and military losses disputed.</s:t>
        </s:is>
      </s:c>
      <s:c r="K66" s="20" t="inlineStr">
        <s:is>
          <s:t>Career Timeline: T036; Policy &amp; Governance: P22; Controversies: C12</s:t>
        </s:is>
      </s:c>
      <s:c r="L66" s="5" t="inlineStr">
        <s:is>
          <s:t>Associated Press. India and Pakistan accuse each other of violating ceasefire. 2025-05-10. Accessed 24 September 2026.</s:t>
        </s:is>
      </s:c>
    </s:row>
    <s:row r="67" ht="64" customHeight="1">
      <s:c r="A67" s="7" t="inlineStr">
        <s:is>
          <s:t>S062</s:t>
        </s:is>
      </s:c>
      <s:c r="B67" s="7" t="inlineStr">
        <s:is>
          <s:t>Operation Sindoor and cessation of hostilities</s:t>
        </s:is>
      </s:c>
      <s:c r="C67" s="7" t="inlineStr">
        <s:is>
          <s:t>Press Information Bureau</s:t>
        </s:is>
      </s:c>
      <s:c r="D67" s="7" t="inlineStr">
        <s:is>
          <s:t>2025-05</s:t>
        </s:is>
      </s:c>
      <s:c r="E67" s="7" t="inlineStr">
        <s:is>
          <s:t>Primary government statement</s:t>
        </s:is>
      </s:c>
      <s:c r="F67" s="8" t="inlineStr">
        <s:is>
          <s:t>https://www.pib.gov.in/PressReleasePage.aspx?PRID=2128748&amp;lang=1&amp;reg=3</s:t>
        </s:is>
      </s:c>
      <s:c r="G67" s="15" t="n">
        <s:v>46289</s:v>
      </s:c>
      <s:c r="H67" s="7" t="inlineStr">
        <s:is>
          <s:t>English</s:t>
        </s:is>
      </s:c>
      <s:c r="I67" s="7" t="inlineStr">
        <s:is>
          <s:t>Main text</s:t>
        </s:is>
      </s:c>
      <s:c r="J67" s="7" t="inlineStr">
        <s:is>
          <s:t>Promotional operational account; distinguishes direct DGMO contact from disputed diplomatic facilitation.</s:t>
        </s:is>
      </s:c>
      <s:c r="K67" s="21" t="inlineStr">
        <s:is>
          <s:t>Policy &amp; Governance: P22; Controversies: C12</s:t>
        </s:is>
      </s:c>
      <s:c r="L67" s="7" t="inlineStr">
        <s:is>
          <s:t>Press Information Bureau. Operation Sindoor and cessation of hostilities. 2025-05. Accessed 24 September 2026.</s:t>
        </s:is>
      </s:c>
    </s:row>
    <s:row r="68" ht="64" customHeight="1">
      <s:c r="A68" s="5" t="inlineStr">
        <s:is>
          <s:t>S063</s:t>
        </s:is>
      </s:c>
      <s:c r="B68" s="5" t="inlineStr">
        <s:is>
          <s:t>EU and India conclude landmark free-trade negotiations</s:t>
        </s:is>
      </s:c>
      <s:c r="C68" s="5" t="inlineStr">
        <s:is>
          <s:t>European Commission</s:t>
        </s:is>
      </s:c>
      <s:c r="D68" s="5" t="inlineStr">
        <s:is>
          <s:t>2026-01-27</s:t>
        </s:is>
      </s:c>
      <s:c r="E68" s="5" t="inlineStr">
        <s:is>
          <s:t>Primary negotiating-party statement</s:t>
        </s:is>
      </s:c>
      <s:c r="F68" s="6" t="inlineStr">
        <s:is>
          <s:t>https://ec.europa.eu/commission/presscorner/api/files/document/print/en/ip_26_184/IP_26_184_EN.pdf</s:t>
        </s:is>
      </s:c>
      <s:c r="G68" s="14" t="n">
        <s:v>46289</s:v>
      </s:c>
      <s:c r="H68" s="5" t="inlineStr">
        <s:is>
          <s:t>English</s:t>
        </s:is>
      </s:c>
      <s:c r="I68" s="5" t="inlineStr">
        <s:is>
          <s:t>Main text</s:t>
        </s:is>
      </s:c>
      <s:c r="J68" s="5" t="inlineStr">
        <s:is>
          <s:t>Conclusion of negotiations is not entry into force or realized trade growth.</s:t>
        </s:is>
      </s:c>
      <s:c r="K68" s="20" t="inlineStr">
        <s:is>
          <s:t>Career Timeline: T042; Policy &amp; Governance: P26; Ideas &amp; Political Method: I10; Legacy &amp; Assessments: L09</s:t>
        </s:is>
      </s:c>
      <s:c r="L68" s="5" t="inlineStr">
        <s:is>
          <s:t>European Commission. EU and India conclude landmark free-trade negotiations. 2026-01-27. Accessed 24 September 2026.</s:t>
        </s:is>
      </s:c>
    </s:row>
    <s:row r="69" ht="64" customHeight="1">
      <s:c r="A69" s="7" t="inlineStr">
        <s:is>
          <s:t>S064</s:t>
        </s:is>
      </s:c>
      <s:c r="B69" s="7" t="inlineStr">
        <s:is>
          <s:t>The EU–India trade agreement</s:t>
        </s:is>
      </s:c>
      <s:c r="C69" s="7" t="inlineStr">
        <s:is>
          <s:t>European Commission</s:t>
        </s:is>
      </s:c>
      <s:c r="D69" s="7" t="inlineStr">
        <s:is>
          <s:t>Living page; accessed 2026-09-24</s:t>
        </s:is>
      </s:c>
      <s:c r="E69" s="7" t="inlineStr">
        <s:is>
          <s:t>Primary institutional status</s:t>
        </s:is>
      </s:c>
      <s:c r="F69" s="8" t="inlineStr">
        <s:is>
          <s:t>https://commission.europa.eu/topics/trade/eu-india-trade-agreement_en</s:t>
        </s:is>
      </s:c>
      <s:c r="G69" s="15" t="n">
        <s:v>46289</s:v>
      </s:c>
      <s:c r="H69" s="7" t="inlineStr">
        <s:is>
          <s:t>English</s:t>
        </s:is>
      </s:c>
      <s:c r="I69" s="7" t="inlineStr">
        <s:is>
          <s:t>Main text</s:t>
        </s:is>
      </s:c>
      <s:c r="J69" s="7" t="inlineStr">
        <s:is>
          <s:t>September 2026 signature proposals; implementation and projected gains must remain distinct.</s:t>
        </s:is>
      </s:c>
      <s:c r="K69" s="21" t="inlineStr">
        <s:is>
          <s:t>Overview: OV14; Career Timeline: T042; Policy &amp; Governance: P26; Legacy &amp; Assessments: L09</s:t>
        </s:is>
      </s:c>
      <s:c r="L69" s="7" t="inlineStr">
        <s:is>
          <s:t>European Commission. The EU–India trade agreement. Living page; accessed 2026-09-24. Accessed 24 September 2026.</s:t>
        </s:is>
      </s:c>
    </s:row>
    <s:row r="70" ht="64" customHeight="1">
      <s:c r="A70" s="5" t="inlineStr">
        <s:is>
          <s:t>S065</s:t>
        </s:is>
      </s:c>
      <s:c r="B70" s="5" t="inlineStr">
        <s:is>
          <s:t>Modi’s ruling coalition secures landslide victory in key state election</s:t>
        </s:is>
      </s:c>
      <s:c r="C70" s="5" t="inlineStr">
        <s:is>
          <s:t>Associated Press</s:t>
        </s:is>
      </s:c>
      <s:c r="D70" s="5" t="inlineStr">
        <s:is>
          <s:t>2025-11-14</s:t>
        </s:is>
      </s:c>
      <s:c r="E70" s="5" t="inlineStr">
        <s:is>
          <s:t>Independent election reporting</s:t>
        </s:is>
      </s:c>
      <s:c r="F70" s="6" t="inlineStr">
        <s:is>
          <s:t>https://apnews.com/article/36f3915f18d2298bb65bfb1c55a25ed4</s:t>
        </s:is>
      </s:c>
      <s:c r="G70" s="14" t="n">
        <s:v>46289</s:v>
      </s:c>
      <s:c r="H70" s="5" t="inlineStr">
        <s:is>
          <s:t>English</s:t>
        </s:is>
      </s:c>
      <s:c r="I70" s="5" t="inlineStr">
        <s:is>
          <s:t>Main text</s:t>
        </s:is>
      </s:c>
      <s:c r="J70" s="5" t="inlineStr">
        <s:is>
          <s:t>NDA result, not Modi’s personal candidacy; 202 seats, BJP 89.</s:t>
        </s:is>
      </s:c>
      <s:c r="K70" s="20" t="inlineStr">
        <s:is>
          <s:t>Overview: OV08; Career Timeline: T039; Elections: E12; Legacy &amp; Assessments: L08</s:t>
        </s:is>
      </s:c>
      <s:c r="L70" s="5" t="inlineStr">
        <s:is>
          <s:t>Associated Press. Modi’s ruling coalition secures landslide victory in key state election. 2025-11-14. Accessed 24 September 2026.</s:t>
        </s:is>
      </s:c>
    </s:row>
    <s:row r="71" ht="64" customHeight="1">
      <s:c r="A71" s="7" t="inlineStr">
        <s:is>
          <s:t>S066</s:t>
        </s:is>
      </s:c>
      <s:c r="B71" s="7" t="inlineStr">
        <s:is>
          <s:t>West Bengal party-wise assembly election results</s:t>
        </s:is>
      </s:c>
      <s:c r="C71" s="7" t="inlineStr">
        <s:is>
          <s:t>Election Commission of India</s:t>
        </s:is>
      </s:c>
      <s:c r="D71" s="7" t="inlineStr">
        <s:is>
          <s:t>2026-05-05</s:t>
        </s:is>
      </s:c>
      <s:c r="E71" s="7" t="inlineStr">
        <s:is>
          <s:t>Official election results</s:t>
        </s:is>
      </s:c>
      <s:c r="F71" s="8" t="inlineStr">
        <s:is>
          <s:t>https://results.eci.gov.in/ResultAcGenMay2026/partywiseresult-S25.htm</s:t>
        </s:is>
      </s:c>
      <s:c r="G71" s="15" t="n">
        <s:v>46289</s:v>
      </s:c>
      <s:c r="H71" s="7" t="inlineStr">
        <s:is>
          <s:t>English</s:t>
        </s:is>
      </s:c>
      <s:c r="I71" s="7" t="inlineStr">
        <s:is>
          <s:t>Main text</s:t>
        </s:is>
      </s:c>
      <s:c r="J71" s="7" t="inlineStr">
        <s:is>
          <s:t>Page totals 293 declared results in a 294-seat assembly; BJP 207. Do not silently force totals to 294.</s:t>
        </s:is>
      </s:c>
      <s:c r="K71" s="21" t="inlineStr">
        <s:is>
          <s:t>Overview: OV08; Context &amp; Constraints: P4-E03; Career Timeline: T044; Elections: E13; Legacy &amp; Assessments: L08</s:t>
        </s:is>
      </s:c>
      <s:c r="L71" s="7" t="inlineStr">
        <s:is>
          <s:t>Election Commission of India. West Bengal party-wise assembly election results. 2026-05-05. Accessed 24 September 2026.</s:t>
        </s:is>
      </s:c>
    </s:row>
    <s:row r="72" ht="64" customHeight="1">
      <s:c r="A72" s="5" t="inlineStr">
        <s:is>
          <s:t>S067</s:t>
        </s:is>
      </s:c>
      <s:c r="B72" s="5" t="inlineStr">
        <s:is>
          <s:t>PM Modi to visit Manipur in first trip since 2023 violence</s:t>
        </s:is>
      </s:c>
      <s:c r="C72" s="5" t="inlineStr">
        <s:is>
          <s:t>Business Standard</s:t>
        </s:is>
      </s:c>
      <s:c r="D72" s="5" t="inlineStr">
        <s:is>
          <s:t>2025-09-13</s:t>
        </s:is>
      </s:c>
      <s:c r="E72" s="5" t="inlineStr">
        <s:is>
          <s:t>Independent journalism</s:t>
        </s:is>
      </s:c>
      <s:c r="F72" s="6" t="inlineStr">
        <s:is>
          <s:t>https://www.business-standard.com/india-news/pm-narendra-modi-manipur-visit-ethnic-violence-imphal-development-projects-125091300145_1.html</s:t>
        </s:is>
      </s:c>
      <s:c r="G72" s="14" t="n">
        <s:v>46289</s:v>
      </s:c>
      <s:c r="H72" s="5" t="inlineStr">
        <s:is>
          <s:t>English</s:t>
        </s:is>
      </s:c>
      <s:c r="I72" s="5" t="inlineStr">
        <s:is>
          <s:t>Main text</s:t>
        </s:is>
      </s:c>
      <s:c r="J72" s="5" t="inlineStr">
        <s:is>
          <s:t>Pre-visit report; planned projects are not completed development or evidence of peace.</s:t>
        </s:is>
      </s:c>
      <s:c r="K72" s="20" t="inlineStr">
        <s:is>
          <s:t>Career Timeline: T037; Controversies: C11</s:t>
        </s:is>
      </s:c>
      <s:c r="L72" s="5" t="inlineStr">
        <s:is>
          <s:t>Business Standard. PM Modi to visit Manipur in first trip since 2023 violence. 2025-09-13. Accessed 24 September 2026.</s:t>
        </s:is>
      </s:c>
    </s:row>
    <s:row r="73" ht="64" customHeight="1">
      <s:c r="A73" s="7" t="inlineStr">
        <s:is>
          <s:t>S068</s:t>
        </s:is>
      </s:c>
      <s:c r="B73" s="7" t="inlineStr">
        <s:is>
          <s:t>National Education Policy 2020 announced</s:t>
        </s:is>
      </s:c>
      <s:c r="C73" s="7" t="inlineStr">
        <s:is>
          <s:t>Press Information Bureau</s:t>
        </s:is>
      </s:c>
      <s:c r="D73" s="7" t="inlineStr">
        <s:is>
          <s:t>2020-07-29</s:t>
        </s:is>
      </s:c>
      <s:c r="E73" s="7" t="inlineStr">
        <s:is>
          <s:t>Official policy announcement</s:t>
        </s:is>
      </s:c>
      <s:c r="F73" s="8" t="inlineStr">
        <s:is>
          <s:t>https://www.pib.gov.in/Pressreleaseshare.aspx?PRID=1642061&amp;lang=2&amp;reg=48</s:t>
        </s:is>
      </s:c>
      <s:c r="G73" s="15" t="n">
        <s:v>46289</s:v>
      </s:c>
      <s:c r="H73" s="7" t="inlineStr">
        <s:is>
          <s:t>English</s:t>
        </s:is>
      </s:c>
      <s:c r="I73" s="7" t="inlineStr">
        <s:is>
          <s:t>Main text</s:t>
        </s:is>
      </s:c>
      <s:c r="J73" s="7" t="inlineStr">
        <s:is>
          <s:t>Cabinet approval is not proof of learning gains or uniform implementation across states.</s:t>
        </s:is>
      </s:c>
      <s:c r="K73" s="21" t="inlineStr">
        <s:is>
          <s:t>Career Timeline: T027; Policy &amp; Governance: P15</s:t>
        </s:is>
      </s:c>
      <s:c r="L73" s="7" t="inlineStr">
        <s:is>
          <s:t>Press Information Bureau. National Education Policy 2020 announced. 2020-07-29. Accessed 24 September 2026.</s:t>
        </s:is>
      </s:c>
    </s:row>
    <s:row r="74" ht="64" customHeight="1">
      <s:c r="A74" s="5" t="inlineStr">
        <s:is>
          <s:t>S069</s:t>
        </s:is>
      </s:c>
      <s:c r="B74" s="5" t="inlineStr">
        <s:is>
          <s:t>Year-end review: national highways</s:t>
        </s:is>
      </s:c>
      <s:c r="C74" s="5" t="inlineStr">
        <s:is>
          <s:t>Ministry of Road Transport and Highways / PIB</s:t>
        </s:is>
      </s:c>
      <s:c r="D74" s="5" t="inlineStr">
        <s:is>
          <s:t>2025-01-09</s:t>
        </s:is>
      </s:c>
      <s:c r="E74" s="5" t="inlineStr">
        <s:is>
          <s:t>Official administrative statistics</s:t>
        </s:is>
      </s:c>
      <s:c r="F74" s="6" t="inlineStr">
        <s:is>
          <s:t>https://www.pib.gov.in/PressReleasePage.aspx?PRID=2091508&amp;lang=2&amp;reg=3</s:t>
        </s:is>
      </s:c>
      <s:c r="G74" s="14" t="n">
        <s:v>46289</s:v>
      </s:c>
      <s:c r="H74" s="5" t="inlineStr">
        <s:is>
          <s:t>English</s:t>
        </s:is>
      </s:c>
      <s:c r="I74" s="5" t="inlineStr">
        <s:is>
          <s:t>Main text</s:t>
        </s:is>
      </s:c>
      <s:c r="J74" s="5" t="inlineStr">
        <s:is>
          <s:t>Network length includes designation and upgrading; not all growth represents new highway construction.</s:t>
        </s:is>
      </s:c>
      <s:c r="K74" s="20" t="inlineStr">
        <s:is>
          <s:t>Overview: OV09; Policy &amp; Governance: P19</s:t>
        </s:is>
      </s:c>
      <s:c r="L74" s="5" t="inlineStr">
        <s:is>
          <s:t>Ministry of Road Transport and Highways / PIB. Year-end review: national highways. 2025-01-09. Accessed 24 September 2026.</s:t>
        </s:is>
      </s:c>
    </s:row>
    <s:row r="75" ht="80" customHeight="1">
      <s:c r="A75" s="7" t="inlineStr">
        <s:is>
          <s:t>S070</s:t>
        </s:is>
      </s:c>
      <s:c r="B75" s="7" t="inlineStr">
        <s:is>
          <s:t>PM participates in Ram temple consecration</s:t>
        </s:is>
      </s:c>
      <s:c r="C75" s="7" t="inlineStr">
        <s:is>
          <s:t>Prime Minister’s Office</s:t>
        </s:is>
      </s:c>
      <s:c r="D75" s="7" t="inlineStr">
        <s:is>
          <s:t>2024-01-22</s:t>
        </s:is>
      </s:c>
      <s:c r="E75" s="7" t="inlineStr">
        <s:is>
          <s:t>Primary ceremonial and political statement</s:t>
        </s:is>
      </s:c>
      <s:c r="F75" s="8" t="inlineStr">
        <s:is>
          <s:t>https://www.pmindia.gov.in/en/news_updates/pm-participates-in-pran-pratishtha-ceremony-of-shri-ramlalla-in-the-newly-built-shri-ram-janmbhoomi-mandir-in-ayodhya/?comment=disable</s:t>
        </s:is>
      </s:c>
      <s:c r="G75" s="15" t="n">
        <s:v>46289</s:v>
      </s:c>
      <s:c r="H75" s="7" t="inlineStr">
        <s:is>
          <s:t>English</s:t>
        </s:is>
      </s:c>
      <s:c r="I75" s="7" t="inlineStr">
        <s:is>
          <s:t>Main text</s:t>
        </s:is>
      </s:c>
      <s:c r="J75" s="7" t="inlineStr">
        <s:is>
          <s:t>Official account establishes participation and rhetoric; secularism implications require analysis.</s:t>
        </s:is>
      </s:c>
      <s:c r="K75" s="21" t="inlineStr">
        <s:is>
          <s:t>Overview: OV07; Career Timeline: T032; Ideas &amp; Political Method: I01, I11</s:t>
        </s:is>
      </s:c>
      <s:c r="L75" s="7" t="inlineStr">
        <s:is>
          <s:t>Prime Minister’s Office. PM participates in Ram temple consecration. 2024-01-22. Accessed 24 September 2026.</s:t>
        </s:is>
      </s:c>
    </s:row>
    <s:row r="76" ht="64" customHeight="1">
      <s:c r="A76" s="5" t="inlineStr">
        <s:is>
          <s:t>S071</s:t>
        </s:is>
      </s:c>
      <s:c r="B76" s="5" t="inlineStr">
        <s:is>
          <s:t>Modi opens Hindu temple built on site of razed mosque</s:t>
        </s:is>
      </s:c>
      <s:c r="C76" s="5" t="inlineStr">
        <s:is>
          <s:t>Associated Press</s:t>
        </s:is>
      </s:c>
      <s:c r="D76" s="5" t="inlineStr">
        <s:is>
          <s:t>2024-01-22</s:t>
        </s:is>
      </s:c>
      <s:c r="E76" s="5" t="inlineStr">
        <s:is>
          <s:t>Independent journalism</s:t>
        </s:is>
      </s:c>
      <s:c r="F76" s="6" t="inlineStr">
        <s:is>
          <s:t>https://apnews.com/article/12102e8dd13a677b15d8760b4252aa7a</s:t>
        </s:is>
      </s:c>
      <s:c r="G76" s="14" t="n">
        <s:v>46289</s:v>
      </s:c>
      <s:c r="H76" s="5" t="inlineStr">
        <s:is>
          <s:t>English</s:t>
        </s:is>
      </s:c>
      <s:c r="I76" s="5" t="inlineStr">
        <s:is>
          <s:t>Main text</s:t>
        </s:is>
      </s:c>
      <s:c r="J76" s="5" t="inlineStr">
        <s:is>
          <s:t>Contemporaneous assessment of religious and electoral significance.</s:t>
        </s:is>
      </s:c>
      <s:c r="K76" s="20" t="inlineStr">
        <s:is>
          <s:t>Career Timeline: T032; Ideas &amp; Political Method: I11</s:t>
        </s:is>
      </s:c>
      <s:c r="L76" s="5" t="inlineStr">
        <s:is>
          <s:t>Associated Press. Modi opens Hindu temple built on site of razed mosque. 2024-01-22. Accessed 24 September 2026.</s:t>
        </s:is>
      </s:c>
    </s:row>
    <s:row r="77" ht="64" customHeight="1">
      <s:c r="A77" s="7" t="inlineStr">
        <s:is>
          <s:t>S072</s:t>
        </s:is>
      </s:c>
      <s:c r="B77" s="7" t="inlineStr">
        <s:is>
          <s:t>Modi’s India: Hindu Nationalism and the Rise of Ethnic Democracy</s:t>
        </s:is>
      </s:c>
      <s:c r="C77" s="7" t="inlineStr">
        <s:is>
          <s:t>Christophe Jaffrelot / Princeton University Press</s:t>
        </s:is>
      </s:c>
      <s:c r="D77" s="7" t="inlineStr">
        <s:is>
          <s:t>2021</s:t>
        </s:is>
      </s:c>
      <s:c r="E77" s="7" t="inlineStr">
        <s:is>
          <s:t>Academic book</s:t>
        </s:is>
      </s:c>
      <s:c r="F77" s="8" t="inlineStr">
        <s:is>
          <s:t>https://www.jstor.org/stable/j.ctv1dc9jzx</s:t>
        </s:is>
      </s:c>
      <s:c r="G77" s="15" t="n">
        <s:v>46289</s:v>
      </s:c>
      <s:c r="H77" s="7" t="inlineStr">
        <s:is>
          <s:t>English</s:t>
        </s:is>
      </s:c>
      <s:c r="I77" s="7" t="inlineStr">
        <s:is>
          <s:t>Main text</s:t>
        </s:is>
      </s:c>
      <s:c r="J77" s="7" t="inlineStr">
        <s:is>
          <s:t>Publisher synopsis and contents consulted; full book not read. Cite only the author’s stated thesis.</s:t>
        </s:is>
      </s:c>
      <s:c r="K77" s="21" t="inlineStr">
        <s:is>
          <s:t>Overview: OV13; Context &amp; Constraints: P3-E07; Ideas &amp; Political Method: I01, I05; Legacy &amp; Assessments: L05, L10</s:t>
        </s:is>
      </s:c>
      <s:c r="L77" s="7" t="inlineStr">
        <s:is>
          <s:t>Christophe Jaffrelot / Princeton University Press. Modi’s India: Hindu Nationalism and the Rise of Ethnic Democracy. 2021. Accessed 24 September 2026.</s:t>
        </s:is>
      </s:c>
    </s:row>
    <s:row r="78" ht="80" customHeight="1">
      <s:c r="A78" s="5" t="inlineStr">
        <s:is>
          <s:t>S073</s:t>
        </s:is>
      </s:c>
      <s:c r="B78" s="5" t="inlineStr">
        <s:is>
          <s:t>Religion in India: Tolerance and Segregation</s:t>
        </s:is>
      </s:c>
      <s:c r="C78" s="5" t="inlineStr">
        <s:is>
          <s:t>Pew Research Center</s:t>
        </s:is>
      </s:c>
      <s:c r="D78" s="5" t="inlineStr">
        <s:is>
          <s:t>2021-06-29</s:t>
        </s:is>
      </s:c>
      <s:c r="E78" s="5" t="inlineStr">
        <s:is>
          <s:t>Survey research</s:t>
        </s:is>
      </s:c>
      <s:c r="F78" s="6" t="inlineStr">
        <s:is>
          <s:t>https://www.pewresearch.org/religion/2021/06/29/religion-in-india-tolerance-and-segregation/</s:t>
        </s:is>
      </s:c>
      <s:c r="G78" s="14" t="n">
        <s:v>46289</s:v>
      </s:c>
      <s:c r="H78" s="5" t="inlineStr">
        <s:is>
          <s:t>English</s:t>
        </s:is>
      </s:c>
      <s:c r="I78" s="5" t="inlineStr">
        <s:is>
          <s:t>Main text</s:t>
        </s:is>
      </s:c>
      <s:c r="J78" s="5" t="inlineStr">
        <s:is>
          <s:t>29,999 interviews in 2019–20; attitudes and self-reported voting are not direct measures of state conduct or later electorates.</s:t>
        </s:is>
      </s:c>
      <s:c r="K78" s="20" t="inlineStr">
        <s:is>
          <s:t>Context &amp; Constraints: P3-E08; Ideas &amp; Political Method: I09</s:t>
        </s:is>
      </s:c>
      <s:c r="L78" s="5" t="inlineStr">
        <s:is>
          <s:t>Pew Research Center. Religion in India: Tolerance and Segregation. 2021-06-29. Accessed 24 September 2026.</s:t>
        </s:is>
      </s:c>
    </s:row>
    <s:row r="79" ht="64" customHeight="1">
      <s:c r="A79" s="7" t="inlineStr">
        <s:is>
          <s:t>S074</s:t>
        </s:is>
      </s:c>
      <s:c r="B79" s="7" t="inlineStr">
        <s:is>
          <s:t>PM’s address in the 100th episode of Mann Ki Baat</s:t>
        </s:is>
      </s:c>
      <s:c r="C79" s="7" t="inlineStr">
        <s:is>
          <s:t>Prime Minister’s Office</s:t>
        </s:is>
      </s:c>
      <s:c r="D79" s="7" t="inlineStr">
        <s:is>
          <s:t>2023-04-30</s:t>
        </s:is>
      </s:c>
      <s:c r="E79" s="7" t="inlineStr">
        <s:is>
          <s:t>Primary broadcast transcript</s:t>
        </s:is>
      </s:c>
      <s:c r="F79" s="8" t="inlineStr">
        <s:is>
          <s:t>https://www.pmindia.gov.in/en/news_updates/pms-address-in-the-100th-episode-of-mann-ki-baat/</s:t>
        </s:is>
      </s:c>
      <s:c r="G79" s="15" t="n">
        <s:v>46289</s:v>
      </s:c>
      <s:c r="H79" s="7" t="inlineStr">
        <s:is>
          <s:t>English</s:t>
        </s:is>
      </s:c>
      <s:c r="I79" s="7" t="inlineStr">
        <s:is>
          <s:t>Main text</s:t>
        </s:is>
      </s:c>
      <s:c r="J79" s="7" t="inlineStr">
        <s:is>
          <s:t>Program began 3 October 2014; direct communication should not be equated with adversarial questioning.</s:t>
        </s:is>
      </s:c>
      <s:c r="K79" s="21" t="inlineStr">
        <s:is>
          <s:t>Overview: OV07, OV13; Context &amp; Constraints: P3-E06; Career Timeline: T016; Ideas &amp; Political Method: I04</s:t>
        </s:is>
      </s:c>
      <s:c r="L79" s="7" t="inlineStr">
        <s:is>
          <s:t>Prime Minister’s Office. PM’s address in the 100th episode of Mann Ki Baat. 2023-04-30. Accessed 24 September 2026.</s:t>
        </s:is>
      </s:c>
    </s:row>
    <s:row r="80" ht="64" customHeight="1">
      <s:c r="A80" s="5" t="inlineStr">
        <s:is>
          <s:t>S075</s:t>
        </s:is>
      </s:c>
      <s:c r="B80" s="5" t="inlineStr">
        <s:is>
          <s:t>Four Labour Codes made effective from 21 November 2025</s:t>
        </s:is>
      </s:c>
      <s:c r="C80" s="5" t="inlineStr">
        <s:is>
          <s:t>Ministry of Labour and Employment / PIB</s:t>
        </s:is>
      </s:c>
      <s:c r="D80" s="5" t="inlineStr">
        <s:is>
          <s:t>2025-11-25</s:t>
        </s:is>
      </s:c>
      <s:c r="E80" s="5" t="inlineStr">
        <s:is>
          <s:t>Official implementation announcement</s:t>
        </s:is>
      </s:c>
      <s:c r="F80" s="6" t="inlineStr">
        <s:is>
          <s:t>https://www.pib.gov.in/PressReleasePage.aspx?PRID=2194018&amp;lang=1&amp;reg=1</s:t>
        </s:is>
      </s:c>
      <s:c r="G80" s="14" t="n">
        <s:v>46289</s:v>
      </s:c>
      <s:c r="H80" s="5" t="inlineStr">
        <s:is>
          <s:t>English</s:t>
        </s:is>
      </s:c>
      <s:c r="I80" s="5" t="inlineStr">
        <s:is>
          <s:t>Main text</s:t>
        </s:is>
      </s:c>
      <s:c r="J80" s="5" t="inlineStr">
        <s:is>
          <s:t>Central commencement announcement; implementation rules and state capacity require separate checks.</s:t>
        </s:is>
      </s:c>
      <s:c r="K80" s="20" t="inlineStr">
        <s:is>
          <s:t>Overview: OV14; Context &amp; Constraints: P4-E04; Career Timeline: T040; Policy &amp; Governance: P24</s:t>
        </s:is>
      </s:c>
      <s:c r="L80" s="5" t="inlineStr">
        <s:is>
          <s:t>Ministry of Labour and Employment / PIB. Four Labour Codes made effective from 21 November 2025. 2025-11-25. Accessed 24 September 2026.</s:t>
        </s:is>
      </s:c>
    </s:row>
    <s:row r="81" ht="48" customHeight="1">
      <s:c r="A81" s="7" t="inlineStr">
        <s:is>
          <s:t>S076</s:t>
        </s:is>
      </s:c>
      <s:c r="B81" s="7" t="inlineStr">
        <s:is>
          <s:t>Monthly Policy Review: December 2025</s:t>
        </s:is>
      </s:c>
      <s:c r="C81" s="7" t="inlineStr">
        <s:is>
          <s:t>PRS Legislative Research</s:t>
        </s:is>
      </s:c>
      <s:c r="D81" s="7" t="inlineStr">
        <s:is>
          <s:t>2025-12</s:t>
        </s:is>
      </s:c>
      <s:c r="E81" s="7" t="inlineStr">
        <s:is>
          <s:t>Legislative analysis</s:t>
        </s:is>
      </s:c>
      <s:c r="F81" s="8" t="inlineStr">
        <s:is>
          <s:t>https://prsindia.org/policy/monthly-policy-review/december-2025</s:t>
        </s:is>
      </s:c>
      <s:c r="G81" s="15" t="n">
        <s:v>46289</s:v>
      </s:c>
      <s:c r="H81" s="7" t="inlineStr">
        <s:is>
          <s:t>English</s:t>
        </s:is>
      </s:c>
      <s:c r="I81" s="7" t="inlineStr">
        <s:is>
          <s:t>Main text</s:t>
        </s:is>
      </s:c>
      <s:c r="J81" s="7" t="inlineStr">
        <s:is>
          <s:t>Rural employment redesign: statutory entitlement is not proof of days supplied.</s:t>
        </s:is>
      </s:c>
      <s:c r="K81" s="21" t="inlineStr">
        <s:is>
          <s:t>Career Timeline: T041; Policy &amp; Governance: P25</s:t>
        </s:is>
      </s:c>
      <s:c r="L81" s="7" t="inlineStr">
        <s:is>
          <s:t>PRS Legislative Research. Monthly Policy Review: December 2025. 2025-12. Accessed 24 September 2026.</s:t>
        </s:is>
      </s:c>
    </s:row>
    <s:row r="82" ht="64" customHeight="1">
      <s:c r="A82" s="5" t="inlineStr">
        <s:is>
          <s:t>S077</s:t>
        </s:is>
      </s:c>
      <s:c r="B82" s="5" t="inlineStr">
        <s:is>
          <s:t>Narendra Modi: Maninagar 2012 affidavit information</s:t>
        </s:is>
      </s:c>
      <s:c r="C82" s="5" t="inlineStr">
        <s:is>
          <s:t>ADR / MyNeta</s:t>
        </s:is>
      </s:c>
      <s:c r="D82" s="5" t="inlineStr">
        <s:is>
          <s:t>2012</s:t>
        </s:is>
      </s:c>
      <s:c r="E82" s="5" t="inlineStr">
        <s:is>
          <s:t>Candidate declaration reproduced by ADR</s:t>
        </s:is>
      </s:c>
      <s:c r="F82" s="6" t="inlineStr">
        <s:is>
          <s:t>https://myneta.info/gujarat2012/candidate.php?candidate_id=1591</s:t>
        </s:is>
      </s:c>
      <s:c r="G82" s="14" t="n">
        <s:v>46289</s:v>
      </s:c>
      <s:c r="H82" s="5" t="inlineStr">
        <s:is>
          <s:t>English</s:t>
        </s:is>
      </s:c>
      <s:c r="I82" s="5" t="inlineStr">
        <s:is>
          <s:t>Main text</s:t>
        </s:is>
      </s:c>
      <s:c r="J82" s="5" t="inlineStr">
        <s:is>
          <s:t>Education is self-declared (MA, Gujarat University, 1983); not independent credential authentication.</s:t>
        </s:is>
      </s:c>
      <s:c r="K82" s="20" t="inlineStr">
        <s:is>
          <s:t>Overview: OV04</s:t>
        </s:is>
      </s:c>
      <s:c r="L82" s="5" t="inlineStr">
        <s:is>
          <s:t>ADR / MyNeta. Narendra Modi: Maninagar 2012 affidavit information. 2012. Accessed 24 September 2026.</s:t>
        </s:is>
      </s:c>
    </s:row>
    <s:row r="83" ht="64" customHeight="1">
      <s:c r="A83" s="7" t="inlineStr">
        <s:is>
          <s:t>S078</s:t>
        </s:is>
      </s:c>
      <s:c r="B83" s="7" t="inlineStr">
        <s:is>
          <s:t>Ayushman Bharat – PM-JAY</s:t>
        </s:is>
      </s:c>
      <s:c r="C83" s="7" t="inlineStr">
        <s:is>
          <s:t>District Nicobar / Government of India</s:t>
        </s:is>
      </s:c>
      <s:c r="D83" s="7" t="inlineStr">
        <s:is>
          <s:t>2018 scheme; living page</s:t>
        </s:is>
      </s:c>
      <s:c r="E83" s="7" t="inlineStr">
        <s:is>
          <s:t>Official scheme explanation</s:t>
        </s:is>
      </s:c>
      <s:c r="F83" s="8" t="inlineStr">
        <s:is>
          <s:t>https://nicobars.andaman.nic.in/scheme/ayushman-bharat-pm-jay-pradhan-mantri-jan-arogya-yojana/</s:t>
        </s:is>
      </s:c>
      <s:c r="G83" s="15" t="n">
        <s:v>46289</s:v>
      </s:c>
      <s:c r="H83" s="7" t="inlineStr">
        <s:is>
          <s:t>English</s:t>
        </s:is>
      </s:c>
      <s:c r="I83" s="7" t="inlineStr">
        <s:is>
          <s:t>Main text</s:t>
        </s:is>
      </s:c>
      <s:c r="J83" s="7" t="inlineStr">
        <s:is>
          <s:t>District government description cross-links NHA; coverage entitlement is distinct from access and spending protection.</s:t>
        </s:is>
      </s:c>
      <s:c r="K83" s="21" t="inlineStr">
        <s:is>
          <s:t>Career Timeline: T020; Policy &amp; Governance: P29</s:t>
        </s:is>
      </s:c>
      <s:c r="L83" s="7" t="inlineStr">
        <s:is>
          <s:t>District Nicobar / Government of India. Ayushman Bharat – PM-JAY. 2018 scheme; living page. Accessed 24 September 2026.</s:t>
        </s:is>
      </s:c>
    </s:row>
    <s:row r="84" ht="64" customHeight="1">
      <s:c r="A84" s="5" t="inlineStr">
        <s:is>
          <s:t>S079</s:t>
        </s:is>
      </s:c>
      <s:c r="B84" s="5" t="inlineStr">
        <s:is>
          <s:t>Free foodgrains for 81.35 crore beneficiaries for five years</s:t>
        </s:is>
      </s:c>
      <s:c r="C84" s="5" t="inlineStr">
        <s:is>
          <s:t>Union Cabinet / Prime Minister’s Office</s:t>
        </s:is>
      </s:c>
      <s:c r="D84" s="5" t="inlineStr">
        <s:is>
          <s:t>2023 decision for 2024 onward</s:t>
        </s:is>
      </s:c>
      <s:c r="E84" s="5" t="inlineStr">
        <s:is>
          <s:t>Official policy decision</s:t>
        </s:is>
      </s:c>
      <s:c r="F84" s="6" t="inlineStr">
        <s:is>
          <s:t>https://www.pmindia.gov.in/en/news_updates/free-foodgrains-for-81-35-crore-beneficiaries-for-five-years-cabinet-decision/?comment=disable</s:t>
        </s:is>
      </s:c>
      <s:c r="G84" s="14" t="n">
        <s:v>46289</s:v>
      </s:c>
      <s:c r="H84" s="5" t="inlineStr">
        <s:is>
          <s:t>English</s:t>
        </s:is>
      </s:c>
      <s:c r="I84" s="5" t="inlineStr">
        <s:is>
          <s:t>Main text</s:t>
        </s:is>
      </s:c>
      <s:c r="J84" s="5" t="inlineStr">
        <s:is>
          <s:t>Continuation of a food-security architecture with pre-2014 roots; eligibility is not a count of timely deliveries.</s:t>
        </s:is>
      </s:c>
      <s:c r="K84" s="20" t="inlineStr">
        <s:is>
          <s:t>Policy &amp; Governance: P30</s:t>
        </s:is>
      </s:c>
      <s:c r="L84" s="5" t="inlineStr">
        <s:is>
          <s:t>Union Cabinet / Prime Minister’s Office. Free foodgrains for 81.35 crore beneficiaries for five years. 2023 decision for 2024 onward. Accessed 24 September 2026.</s:t>
        </s:is>
      </s:c>
    </s:row>
    <s:row r="85" ht="64" customHeight="1">
      <s:c r="A85" s="7" t="inlineStr">
        <s:is>
          <s:t>S080</s:t>
        </s:is>
      </s:c>
      <s:c r="B85" s="7" t="inlineStr">
        <s:is>
          <s:t>Government assistance for three crore additional PMAY houses</s:t>
        </s:is>
      </s:c>
      <s:c r="C85" s="7" t="inlineStr">
        <s:is>
          <s:t>Union Cabinet / PIB</s:t>
        </s:is>
      </s:c>
      <s:c r="D85" s="7" t="inlineStr">
        <s:is>
          <s:t>2024-06-10</s:t>
        </s:is>
      </s:c>
      <s:c r="E85" s="7" t="inlineStr">
        <s:is>
          <s:t>Official policy announcement</s:t>
        </s:is>
      </s:c>
      <s:c r="F85" s="8" t="inlineStr">
        <s:is>
          <s:t>https://www.pib.gov.in/PressReleasePage.aspx?PRID=2023821&amp;lang=2&amp;reg=48</s:t>
        </s:is>
      </s:c>
      <s:c r="G85" s="15" t="n">
        <s:v>46289</s:v>
      </s:c>
      <s:c r="H85" s="7" t="inlineStr">
        <s:is>
          <s:t>English</s:t>
        </s:is>
      </s:c>
      <s:c r="I85" s="7" t="inlineStr">
        <s:is>
          <s:t>Main text</s:t>
        </s:is>
      </s:c>
      <s:c r="J85" s="7" t="inlineStr">
        <s:is>
          <s:t>Additional housing approval is not a completion count.</s:t>
        </s:is>
      </s:c>
      <s:c r="K85" s="21" t="inlineStr">
        <s:is>
          <s:t>Policy &amp; Governance: P31</s:t>
        </s:is>
      </s:c>
      <s:c r="L85" s="7" t="inlineStr">
        <s:is>
          <s:t>Union Cabinet / PIB. Government assistance for three crore additional PMAY houses. 2024-06-10. Accessed 24 September 2026.</s:t>
        </s:is>
      </s:c>
    </s:row>
    <s:row r="86" ht="64" customHeight="1">
      <s:c r="A86" s="5" t="inlineStr">
        <s:is>
          <s:t>S081</s:t>
        </s:is>
      </s:c>
      <s:c r="B86" s="5" t="inlineStr">
        <s:is>
          <s:t>India achieves 200 crore COVID-19 vaccine doses</s:t>
        </s:is>
      </s:c>
      <s:c r="C86" s="5" t="inlineStr">
        <s:is>
          <s:t>Ministry of Health and Family Welfare / PIB</s:t>
        </s:is>
      </s:c>
      <s:c r="D86" s="5" t="inlineStr">
        <s:is>
          <s:t>2022-07-17</s:t>
        </s:is>
      </s:c>
      <s:c r="E86" s="5" t="inlineStr">
        <s:is>
          <s:t>Official administrative output</s:t>
        </s:is>
      </s:c>
      <s:c r="F86" s="6" t="inlineStr">
        <s:is>
          <s:t>https://www.pib.gov.in/Pressreleaseshare.aspx?PRID=1842157&amp;lang=2&amp;reg=48</s:t>
        </s:is>
      </s:c>
      <s:c r="G86" s="14" t="n">
        <s:v>46289</s:v>
      </s:c>
      <s:c r="H86" s="5" t="inlineStr">
        <s:is>
          <s:t>English</s:t>
        </s:is>
      </s:c>
      <s:c r="I86" s="5" t="inlineStr">
        <s:is>
          <s:t>Main text</s:t>
        </s:is>
      </s:c>
      <s:c r="J86" s="5" t="inlineStr">
        <s:is>
          <s:t>Dose count is not distinct people vaccinated; includes repeat doses.</s:t>
        </s:is>
      </s:c>
      <s:c r="K86" s="20" t="inlineStr">
        <s:is>
          <s:t>Career Timeline: T030; Policy &amp; Governance: P32</s:t>
        </s:is>
      </s:c>
      <s:c r="L86" s="5" t="inlineStr">
        <s:is>
          <s:t>Ministry of Health and Family Welfare / PIB. India achieves 200 crore COVID-19 vaccine doses. 2022-07-17. Accessed 24 September 2026.</s:t>
        </s:is>
      </s:c>
    </s:row>
    <s:row r="87" ht="64" customHeight="1">
      <s:c r="A87" s="7" t="inlineStr">
        <s:is>
          <s:t>S082</s:t>
        </s:is>
      </s:c>
      <s:c r="B87" s="7" t="inlineStr">
        <s:is>
          <s:t>Production Linked Incentive schemes in 14 sectors</s:t>
        </s:is>
      </s:c>
      <s:c r="C87" s="7" t="inlineStr">
        <s:is>
          <s:t>Ministry of Commerce and Industry / PIB</s:t>
        </s:is>
      </s:c>
      <s:c r="D87" s="7" t="inlineStr">
        <s:is>
          <s:t>2024-07-30</s:t>
        </s:is>
      </s:c>
      <s:c r="E87" s="7" t="inlineStr">
        <s:is>
          <s:t>Official program record</s:t>
        </s:is>
      </s:c>
      <s:c r="F87" s="8" t="inlineStr">
        <s:is>
          <s:t>https://www.pib.gov.in/PressReleasePage.aspx?PRID=2039119&amp;lang=2&amp;reg=48</s:t>
        </s:is>
      </s:c>
      <s:c r="G87" s="15" t="n">
        <s:v>46289</s:v>
      </s:c>
      <s:c r="H87" s="7" t="inlineStr">
        <s:is>
          <s:t>English</s:t>
        </s:is>
      </s:c>
      <s:c r="I87" s="7" t="inlineStr">
        <s:is>
          <s:t>Main text</s:t>
        </s:is>
      </s:c>
      <s:c r="J87" s="7" t="inlineStr">
        <s:is>
          <s:t>Outlays, investment and jobs are different metrics; government performance claims need evaluation.</s:t>
        </s:is>
      </s:c>
      <s:c r="K87" s="21" t="inlineStr">
        <s:is>
          <s:t>Policy &amp; Governance: P33</s:t>
        </s:is>
      </s:c>
      <s:c r="L87" s="7" t="inlineStr">
        <s:is>
          <s:t>Ministry of Commerce and Industry / PIB. Production Linked Incentive schemes in 14 sectors. 2024-07-30. Accessed 24 September 2026.</s:t>
        </s:is>
      </s:c>
    </s:row>
    <s:row r="88" ht="64" customHeight="1">
      <s:c r="A88" s="5" t="inlineStr">
        <s:is>
          <s:t>S083</s:t>
        </s:is>
      </s:c>
      <s:c r="B88" s="5" t="inlineStr">
        <s:is>
          <s:t>In three-year PLI push, phones, pharma, food dominate new jobs creation</s:t>
        </s:is>
      </s:c>
      <s:c r="C88" s="5" t="inlineStr">
        <s:is>
          <s:t>The Indian Express</s:t>
        </s:is>
      </s:c>
      <s:c r="D88" s="5" t="inlineStr">
        <s:is>
          <s:t>2024</s:t>
        </s:is>
      </s:c>
      <s:c r="E88" s="5" t="inlineStr">
        <s:is>
          <s:t>Independent reporting using RTI data</s:t>
        </s:is>
      </s:c>
      <s:c r="F88" s="6" t="inlineStr">
        <s:is>
          <s:t>https://indianexpress.com/article/express-exclusive/in-3-year-pli-push-phones-pharma-food-dominate-new-jobs-creation-9705046/</s:t>
        </s:is>
      </s:c>
      <s:c r="G88" s="14" t="n">
        <s:v>46289</s:v>
      </s:c>
      <s:c r="H88" s="5" t="inlineStr">
        <s:is>
          <s:t>English</s:t>
        </s:is>
      </s:c>
      <s:c r="I88" s="5" t="inlineStr">
        <s:is>
          <s:t>Main text</s:t>
        </s:is>
      </s:c>
      <s:c r="J88" s="5" t="inlineStr">
        <s:is>
          <s:t>Sector results through 2024; programme beneficiaries do not establish net additional employment.</s:t>
        </s:is>
      </s:c>
      <s:c r="K88" s="20" t="inlineStr">
        <s:is>
          <s:t>Policy &amp; Governance: P33</s:t>
        </s:is>
      </s:c>
      <s:c r="L88" s="5" t="inlineStr">
        <s:is>
          <s:t>The Indian Express. In three-year PLI push, phones, pharma, food dominate new jobs creation. 2024. Accessed 24 September 2026.</s:t>
        </s:is>
      </s:c>
    </s:row>
    <s:row r="89" ht="64" customHeight="1">
      <s:c r="A89" s="7" t="inlineStr">
        <s:is>
          <s:t>S084</s:t>
        </s:is>
      </s:c>
      <s:c r="B89" s="7" t="inlineStr">
        <s:is>
          <s:t>Statement on strike at Balakot</s:t>
        </s:is>
      </s:c>
      <s:c r="C89" s="7" t="inlineStr">
        <s:is>
          <s:t>Foreign Secretary / Ministry of External Affairs</s:t>
        </s:is>
      </s:c>
      <s:c r="D89" s="7" t="inlineStr">
        <s:is>
          <s:t>2019-02-26</s:t>
        </s:is>
      </s:c>
      <s:c r="E89" s="7" t="inlineStr">
        <s:is>
          <s:t>Primary security statement</s:t>
        </s:is>
      </s:c>
      <s:c r="F89" s="8" t="inlineStr">
        <s:is>
          <s:t>https://www.mea.gov.in/Portal/CountryNews/10996_Press_Relase_MEA_26Feb2019.pdf</s:t>
        </s:is>
      </s:c>
      <s:c r="G89" s="15" t="n">
        <s:v>46289</s:v>
      </s:c>
      <s:c r="H89" s="7" t="inlineStr">
        <s:is>
          <s:t>English</s:t>
        </s:is>
      </s:c>
      <s:c r="I89" s="7" t="inlineStr">
        <s:is>
          <s:t>Main text</s:t>
        </s:is>
      </s:c>
      <s:c r="J89" s="7" t="inlineStr">
        <s:is>
          <s:t>Indian operational account; claimed damage is not independently verified here.</s:t>
        </s:is>
      </s:c>
      <s:c r="K89" s="21" t="inlineStr">
        <s:is>
          <s:t>Career Timeline: T021; Policy &amp; Governance: P34</s:t>
        </s:is>
      </s:c>
      <s:c r="L89" s="7" t="inlineStr">
        <s:is>
          <s:t>Foreign Secretary / Ministry of External Affairs. Statement on strike at Balakot. 2019-02-26. Accessed 24 September 2026.</s:t>
        </s:is>
      </s:c>
    </s:row>
    <s:row r="90" ht="80" customHeight="1">
      <s:c r="A90" s="5" t="inlineStr">
        <s:is>
          <s:t>S085</s:t>
        </s:is>
      </s:c>
      <s:c r="B90" s="5" t="inlineStr">
        <s:is>
          <s:t>Jaishankar–Wang Yi phone call after Galwan</s:t>
        </s:is>
      </s:c>
      <s:c r="C90" s="5" t="inlineStr">
        <s:is>
          <s:t>Ministry of External Affairs / Embassy in Berne</s:t>
        </s:is>
      </s:c>
      <s:c r="D90" s="5" t="inlineStr">
        <s:is>
          <s:t>2020-06</s:t>
        </s:is>
      </s:c>
      <s:c r="E90" s="5" t="inlineStr">
        <s:is>
          <s:t>Primary diplomatic record</s:t>
        </s:is>
      </s:c>
      <s:c r="F90" s="6" t="inlineStr">
        <s:is>
          <s:t>https://www.indembassybern.gov.in/section/press-releases/phone-call-between-external-affairs-minister-dr-s-jaishankar-and-foreign-minister-of-china-h-e-mr-wang-yi/</s:t>
        </s:is>
      </s:c>
      <s:c r="G90" s="14" t="n">
        <s:v>46289</s:v>
      </s:c>
      <s:c r="H90" s="5" t="inlineStr">
        <s:is>
          <s:t>English</s:t>
        </s:is>
      </s:c>
      <s:c r="I90" s="5" t="inlineStr">
        <s:is>
          <s:t>Main text</s:t>
        </s:is>
      </s:c>
      <s:c r="J90" s="5" t="inlineStr">
        <s:is>
          <s:t>Indian attribution of responsibility; does not independently settle disputed territorial facts.</s:t>
        </s:is>
      </s:c>
      <s:c r="K90" s="20" t="inlineStr">
        <s:is>
          <s:t>Career Timeline: T026; Policy &amp; Governance: P35</s:t>
        </s:is>
      </s:c>
      <s:c r="L90" s="5" t="inlineStr">
        <s:is>
          <s:t>Ministry of External Affairs / Embassy in Berne. Jaishankar–Wang Yi phone call after Galwan. 2020-06. Accessed 24 September 2026.</s:t>
        </s:is>
      </s:c>
    </s:row>
    <s:row r="91" ht="80" customHeight="1">
      <s:c r="A91" s="7" t="inlineStr">
        <s:is>
          <s:t>S086</s:t>
        </s:is>
      </s:c>
      <s:c r="B91" s="7" t="inlineStr">
        <s:is>
          <s:t>Modi–Xi meeting at Kazan</s:t>
        </s:is>
      </s:c>
      <s:c r="C91" s="7" t="inlineStr">
        <s:is>
          <s:t>Prime Minister’s Office</s:t>
        </s:is>
      </s:c>
      <s:c r="D91" s="7" t="inlineStr">
        <s:is>
          <s:t>2024-10-23</s:t>
        </s:is>
      </s:c>
      <s:c r="E91" s="7" t="inlineStr">
        <s:is>
          <s:t>Primary diplomatic record</s:t>
        </s:is>
      </s:c>
      <s:c r="F91" s="8" t="inlineStr">
        <s:is>
          <s:t>https://www.pmindia.gov.in/en/news_updates/meeting-of-pm-with-mr-xi-jinping-president-of-the-peoples-republic-of-china-on-the-margins-of-the-16th-brics-summit/</s:t>
        </s:is>
      </s:c>
      <s:c r="G91" s="15" t="n">
        <s:v>46289</s:v>
      </s:c>
      <s:c r="H91" s="7" t="inlineStr">
        <s:is>
          <s:t>English</s:t>
        </s:is>
      </s:c>
      <s:c r="I91" s="7" t="inlineStr">
        <s:is>
          <s:t>Main text</s:t>
        </s:is>
      </s:c>
      <s:c r="J91" s="7" t="inlineStr">
        <s:is>
          <s:t>Records Indian account of meeting and disengagement agreement, not settlement of the entire boundary dispute.</s:t>
        </s:is>
      </s:c>
      <s:c r="K91" s="21" t="inlineStr">
        <s:is>
          <s:t>Career Timeline: T035; Policy &amp; Governance: P35</s:t>
        </s:is>
      </s:c>
      <s:c r="L91" s="7" t="inlineStr">
        <s:is>
          <s:t>Prime Minister’s Office. Modi–Xi meeting at Kazan. 2024-10-23. Accessed 24 September 2026.</s:t>
        </s:is>
      </s:c>
    </s:row>
    <s:row r="92" ht="48" customHeight="1">
      <s:c r="A92" s="5" t="inlineStr">
        <s:is>
          <s:t>S087</s:t>
        </s:is>
      </s:c>
      <s:c r="B92" s="5" t="inlineStr">
        <s:is>
          <s:t>Profile of the newly elected 17th Lok Sabha</s:t>
        </s:is>
      </s:c>
      <s:c r="C92" s="5" t="inlineStr">
        <s:is>
          <s:t>PRS Legislative Research</s:t>
        </s:is>
      </s:c>
      <s:c r="D92" s="5" t="inlineStr">
        <s:is>
          <s:t>2019</s:t>
        </s:is>
      </s:c>
      <s:c r="E92" s="5" t="inlineStr">
        <s:is>
          <s:t>Election analysis using official results</s:t>
        </s:is>
      </s:c>
      <s:c r="F92" s="6" t="inlineStr">
        <s:is>
          <s:t>https://prsindia.org/files/parliament/vital_stats/Vital_Stats_17thLS_Profile_Final_0.pdf</s:t>
        </s:is>
      </s:c>
      <s:c r="G92" s="14" t="n">
        <s:v>46289</s:v>
      </s:c>
      <s:c r="H92" s="5" t="inlineStr">
        <s:is>
          <s:t>English</s:t>
        </s:is>
      </s:c>
      <s:c r="I92" s="5" t="inlineStr">
        <s:is>
          <s:t>Main text</s:t>
        </s:is>
      </s:c>
      <s:c r="J92" s="5" t="inlineStr">
        <s:is>
          <s:t>BJP 282 seats in 2014 and 303 in 2019; seat totals are not popular-vote majorities.</s:t>
        </s:is>
      </s:c>
      <s:c r="K92" s="20" t="inlineStr">
        <s:is>
          <s:t>Elections: E09, E10</s:t>
        </s:is>
      </s:c>
      <s:c r="L92" s="5" t="inlineStr">
        <s:is>
          <s:t>PRS Legislative Research. Profile of the newly elected 17th Lok Sabha. 2019. Accessed 24 September 2026.</s:t>
        </s:is>
      </s:c>
    </s:row>
    <s:row r="93" ht="64" customHeight="1">
      <s:c r="A93" s="7" t="inlineStr">
        <s:is>
          <s:t>S088</s:t>
        </s:is>
      </s:c>
      <s:c r="B93" s="7" t="inlineStr">
        <s:is>
          <s:t>Basic FAQ on RSS</s:t>
        </s:is>
      </s:c>
      <s:c r="C93" s="7" t="inlineStr">
        <s:is>
          <s:t>Rashtriya Swayamsevak Sangh</s:t>
        </s:is>
      </s:c>
      <s:c r="D93" s="7" t="inlineStr">
        <s:is>
          <s:t>2017-05-20</s:t>
        </s:is>
      </s:c>
      <s:c r="E93" s="7" t="inlineStr">
        <s:is>
          <s:t>Organizational primary statement</s:t>
        </s:is>
      </s:c>
      <s:c r="F93" s="8" t="inlineStr">
        <s:is>
          <s:t>https://www.rss.org/Encyc/2017/5/20/Basic-FAQ-on-RSS.html</s:t>
        </s:is>
      </s:c>
      <s:c r="G93" s="15" t="n">
        <s:v>46289</s:v>
      </s:c>
      <s:c r="H93" s="7" t="inlineStr">
        <s:is>
          <s:t>English</s:t>
        </s:is>
      </s:c>
      <s:c r="I93" s="7" t="inlineStr">
        <s:is>
          <s:t>Main text</s:t>
        </s:is>
      </s:c>
      <s:c r="J93" s="7" t="inlineStr">
        <s:is>
          <s:t>Describes separate women’s organization; retrospective institutional context cannot establish every early personal experience.</s:t>
        </s:is>
      </s:c>
      <s:c r="K93" s="21" t="inlineStr">
        <s:is>
          <s:t>Context &amp; Constraints: P1-G01</s:t>
        </s:is>
      </s:c>
      <s:c r="L93" s="7" t="inlineStr">
        <s:is>
          <s:t>Rashtriya Swayamsevak Sangh. Basic FAQ on RSS. 2017-05-20. Accessed 24 September 2026.</s:t>
        </s:is>
      </s:c>
    </s:row>
    <s:row r="94" ht="64" customHeight="1">
      <s:c r="A94" s="5" t="inlineStr">
        <s:is>
          <s:t>S089</s:t>
        </s:is>
      </s:c>
      <s:c r="B94" s="5" t="inlineStr">
        <s:is>
          <s:t>Historical data: opening up of India’s external sector</s:t>
        </s:is>
      </s:c>
      <s:c r="C94" s="5" t="inlineStr">
        <s:is>
          <s:t>Reserve Bank of India</s:t>
        </s:is>
      </s:c>
      <s:c r="D94" s="5" t="inlineStr">
        <s:is>
          <s:t>Undated historical review</s:t>
        </s:is>
      </s:c>
      <s:c r="E94" s="5" t="inlineStr">
        <s:is>
          <s:t>Official economic history</s:t>
        </s:is>
      </s:c>
      <s:c r="F94" s="6" t="inlineStr">
        <s:is>
          <s:t>https://www.rbi.org.in/scripts/bs_viewcontent.aspx?Id=2253</s:t>
        </s:is>
      </s:c>
      <s:c r="G94" s="14" t="n">
        <s:v>46289</s:v>
      </s:c>
      <s:c r="H94" s="5" t="inlineStr">
        <s:is>
          <s:t>English</s:t>
        </s:is>
      </s:c>
      <s:c r="I94" s="5" t="inlineStr">
        <s:is>
          <s:t>Main text</s:t>
        </s:is>
      </s:c>
      <s:c r="J94" s="5" t="inlineStr">
        <s:is>
          <s:t>Macro context, not evidence of Modi’s personal role in 1991 reforms.</s:t>
        </s:is>
      </s:c>
      <s:c r="K94" s="20" t="inlineStr">
        <s:is>
          <s:t>Context &amp; Constraints: P1-E04</s:t>
        </s:is>
      </s:c>
      <s:c r="L94" s="5" t="inlineStr">
        <s:is>
          <s:t>Reserve Bank of India. Historical data: opening up of India’s external sector. Undated historical review. Accessed 24 September 2026.</s:t>
        </s:is>
      </s:c>
    </s:row>
    <s:row r="95" ht="80" customHeight="1">
      <s:c r="A95" s="7" t="inlineStr">
        <s:is>
          <s:t>S090</s:t>
        </s:is>
      </s:c>
      <s:c r="B95" s="7" t="inlineStr">
        <s:is>
          <s:t>[RBI speech discussing monetary-policy history]</s:t>
        </s:is>
      </s:c>
      <s:c r="C95" s="7" t="inlineStr">
        <s:is>
          <s:t>Reserve Bank of India</s:t>
        </s:is>
      </s:c>
      <s:c r="D95" s="7" t="inlineStr">
        <s:is>
          <s:t>Date not verified</s:t>
        </s:is>
      </s:c>
      <s:c r="E95" s="7" t="inlineStr">
        <s:is>
          <s:t>Official economic historical speech</s:t>
        </s:is>
      </s:c>
      <s:c r="F95" s="8" t="inlineStr">
        <s:is>
          <s:t>https://www.rbi.org.in/commonperson/English/Scripts/speeches.aspx?Id=3161</s:t>
        </s:is>
      </s:c>
      <s:c r="G95" s="15" t="n">
        <s:v>46289</s:v>
      </s:c>
      <s:c r="H95" s="7" t="inlineStr">
        <s:is>
          <s:t>English</s:t>
        </s:is>
      </s:c>
      <s:c r="I95" s="7" t="inlineStr">
        <s:is>
          <s:t>Main text</s:t>
        </s:is>
      </s:c>
      <s:c r="J95" s="7" t="inlineStr">
        <s:is>
          <s:t>Indexed excerpt consulted; full page blocked. Links Gulf War, Soviet collapse and domestic crisis; contextual rather than personal biography.</s:t>
        </s:is>
      </s:c>
      <s:c r="K95" s="21" t="inlineStr">
        <s:is>
          <s:t>Context &amp; Constraints: P1-E05</s:t>
        </s:is>
      </s:c>
      <s:c r="L95" s="7" t="inlineStr">
        <s:is>
          <s:t>Reserve Bank of India. [RBI speech discussing monetary-policy history]. Date not verified. Accessed 24 September 2026.</s:t>
        </s:is>
      </s:c>
    </s:row>
    <s:row r="96" ht="48" customHeight="1">
      <s:c r="A96" s="5" t="inlineStr">
        <s:is>
          <s:t>S091</s:t>
        </s:is>
      </s:c>
      <s:c r="B96" s="5" t="inlineStr">
        <s:is>
          <s:t>Former Prime Ministers: Vajpayee</s:t>
        </s:is>
      </s:c>
      <s:c r="C96" s="5" t="inlineStr">
        <s:is>
          <s:t>Prime Minister’s Office</s:t>
        </s:is>
      </s:c>
      <s:c r="D96" s="5" t="inlineStr">
        <s:is>
          <s:t>Undated</s:t>
        </s:is>
      </s:c>
      <s:c r="E96" s="5" t="inlineStr">
        <s:is>
          <s:t>Official historical biography</s:t>
        </s:is>
      </s:c>
      <s:c r="F96" s="6" t="inlineStr">
        <s:is>
          <s:t>https://www.pmindia.gov.in/en/former-prime-ministers/</s:t>
        </s:is>
      </s:c>
      <s:c r="G96" s="14" t="n">
        <s:v>46289</s:v>
      </s:c>
      <s:c r="H96" s="5" t="inlineStr">
        <s:is>
          <s:t>English</s:t>
        </s:is>
      </s:c>
      <s:c r="I96" s="5" t="inlineStr">
        <s:is>
          <s:t>Main text</s:t>
        </s:is>
      </s:c>
      <s:c r="J96" s="5" t="inlineStr">
        <s:is>
          <s:t>Documents coalition setting of the late 1990s; not Modi’s ministerial service.</s:t>
        </s:is>
      </s:c>
      <s:c r="K96" s="20" t="inlineStr">
        <s:is>
          <s:t>Context &amp; Constraints: P1-E09</s:t>
        </s:is>
      </s:c>
      <s:c r="L96" s="5" t="inlineStr">
        <s:is>
          <s:t>Prime Minister’s Office. Former Prime Ministers: Vajpayee. Undated. Accessed 24 September 2026.</s:t>
        </s:is>
      </s:c>
    </s:row>
    <s:row r="97" ht="64" customHeight="1">
      <s:c r="A97" s="7" t="inlineStr">
        <s:is>
          <s:t>S092</s:t>
        </s:is>
      </s:c>
      <s:c r="B97" s="7" t="inlineStr">
        <s:is>
          <s:t>Development projects at Churachandpur, Manipur</s:t>
        </s:is>
      </s:c>
      <s:c r="C97" s="7" t="inlineStr">
        <s:is>
          <s:t>Prime Minister’s Office / PIB</s:t>
        </s:is>
      </s:c>
      <s:c r="D97" s="7" t="inlineStr">
        <s:is>
          <s:t>2025-09-13</s:t>
        </s:is>
      </s:c>
      <s:c r="E97" s="7" t="inlineStr">
        <s:is>
          <s:t>Primary visit and speech record</s:t>
        </s:is>
      </s:c>
      <s:c r="F97" s="8" t="inlineStr">
        <s:is>
          <s:t>https://www.pib.gov.in/PressReleseDetailm.aspx?PRID=2166235&amp;lang=2&amp;reg=48</s:t>
        </s:is>
      </s:c>
      <s:c r="G97" s="15" t="n">
        <s:v>46289</s:v>
      </s:c>
      <s:c r="H97" s="7" t="inlineStr">
        <s:is>
          <s:t>English</s:t>
        </s:is>
      </s:c>
      <s:c r="I97" s="7" t="inlineStr">
        <s:is>
          <s:t>Main text</s:t>
        </s:is>
      </s:c>
      <s:c r="J97" s="7" t="inlineStr">
        <s:is>
          <s:t>Confirms visit; foundation stones and claims about peace do not establish completed projects or reconciliation.</s:t>
        </s:is>
      </s:c>
      <s:c r="K97" s="21" t="inlineStr">
        <s:is>
          <s:t>Career Timeline: T037; Controversies: C11</s:t>
        </s:is>
      </s:c>
      <s:c r="L97" s="7" t="inlineStr">
        <s:is>
          <s:t>Prime Minister’s Office / PIB. Development projects at Churachandpur, Manipur. 2025-09-13. Accessed 24 September 2026.</s:t>
        </s:is>
      </s:c>
    </s:row>
    <s:row r="98" ht="80" customHeight="1">
      <s:c r="A98" s="5" t="inlineStr">
        <s:is>
          <s:t>S093</s:t>
        </s:is>
      </s:c>
      <s:c r="B98" s="5" t="inlineStr">
        <s:is>
          <s:t>Modi recalls his 2001 Gujarat oath</s:t>
        </s:is>
      </s:c>
      <s:c r="C98" s="5" t="inlineStr">
        <s:is>
          <s:t>Mint</s:t>
        </s:is>
      </s:c>
      <s:c r="D98" s="5" t="inlineStr">
        <s:is>
          <s:t>2025-10-07</s:t>
        </s:is>
      </s:c>
      <s:c r="E98" s="5" t="inlineStr">
        <s:is>
          <s:t>Retrospective journalism / primary recollection</s:t>
        </s:is>
      </s:c>
      <s:c r="F98" s="6" t="inlineStr">
        <s:is>
          <s:t>https://www.livemint.com/politics/news/my-gratitude-to-people-of-india-pm-narendra-modi-recalls-his-2001-gujarat-cm-oath-in-nostalgic-post-on-x-11759815208224.html</s:t>
        </s:is>
      </s:c>
      <s:c r="G98" s="14" t="n">
        <s:v>46289</s:v>
      </s:c>
      <s:c r="H98" s="5" t="inlineStr">
        <s:is>
          <s:t>English</s:t>
        </s:is>
      </s:c>
      <s:c r="I98" s="5" t="inlineStr">
        <s:is>
          <s:t>Main text</s:t>
        </s:is>
      </s:c>
      <s:c r="J98" s="5" t="inlineStr">
        <s:is>
          <s:t>Confirms 7 October 2001 oath; read alongside contemporaneous succession coverage.</s:t>
        </s:is>
      </s:c>
      <s:c r="K98" s="20" t="inlineStr">
        <s:is>
          <s:t>Career Timeline: T006; Offices &amp; Party: O05</s:t>
        </s:is>
      </s:c>
      <s:c r="L98" s="5" t="inlineStr">
        <s:is>
          <s:t>Mint. Modi recalls his 2001 Gujarat oath. 2025-10-07. Accessed 24 September 2026.</s:t>
        </s:is>
      </s:c>
    </s:row>
    <s:row r="99" ht="64" customHeight="1">
      <s:c r="A99" s="7" t="inlineStr">
        <s:is>
          <s:t>S094</s:t>
        </s:is>
      </s:c>
      <s:c r="B99" s="7" t="inlineStr">
        <s:is>
          <s:t>Modi gets the better of Patel</s:t>
        </s:is>
      </s:c>
      <s:c r="C99" s="7" t="inlineStr">
        <s:is>
          <s:t>Times of India</s:t>
        </s:is>
      </s:c>
      <s:c r="D99" s="7" t="inlineStr">
        <s:is>
          <s:t>2001-10-04</s:t>
        </s:is>
      </s:c>
      <s:c r="E99" s="7" t="inlineStr">
        <s:is>
          <s:t>Contemporaneous journalism</s:t>
        </s:is>
      </s:c>
      <s:c r="F99" s="8" t="inlineStr">
        <s:is>
          <s:t>https://timesofindia.indiatimes.com/city/pune/modi-gets-the-better-of-patel/articleshow/1426311365.cms</s:t>
        </s:is>
      </s:c>
      <s:c r="G99" s="15" t="n">
        <s:v>46289</s:v>
      </s:c>
      <s:c r="H99" s="7" t="inlineStr">
        <s:is>
          <s:t>English</s:t>
        </s:is>
      </s:c>
      <s:c r="I99" s="7" t="inlineStr">
        <s:is>
          <s:t>Main text</s:t>
        </s:is>
      </s:c>
      <s:c r="J99" s="7" t="inlineStr">
        <s:is>
          <s:t>Reports Keshubhai’s exit and intended succession; contemporary political characterizations are attributed.</s:t>
        </s:is>
      </s:c>
      <s:c r="K99" s="21" t="inlineStr">
        <s:is>
          <s:t>Career Timeline: T006; Offices &amp; Party: O05</s:t>
        </s:is>
      </s:c>
      <s:c r="L99" s="7" t="inlineStr">
        <s:is>
          <s:t>Times of India. Modi gets the better of Patel. 2001-10-04. Accessed 24 September 2026.</s:t>
        </s:is>
      </s:c>
    </s:row>
    <s:row r="100" ht="64" customHeight="1">
      <s:c r="A100" s="5" t="inlineStr">
        <s:is>
          <s:t>S095</s:t>
        </s:is>
      </s:c>
      <s:c r="B100" s="5" t="inlineStr">
        <s:is>
          <s:t>Citizenship Amendment Bill 2019: legislative text</s:t>
        </s:is>
      </s:c>
      <s:c r="C100" s="5" t="inlineStr">
        <s:is>
          <s:t>Government of India / PRS repository</s:t>
        </s:is>
      </s:c>
      <s:c r="D100" s="5" t="inlineStr">
        <s:is>
          <s:t>2019</s:t>
        </s:is>
      </s:c>
      <s:c r="E100" s="5" t="inlineStr">
        <s:is>
          <s:t>Primary legislative text</s:t>
        </s:is>
      </s:c>
      <s:c r="F100" s="6" t="inlineStr">
        <s:is>
          <s:t>https://prsindia.org/files/bills_acts/bills_parliament/2019/Citizenship%202019%20Bill%20Text.pdf</s:t>
        </s:is>
      </s:c>
      <s:c r="G100" s="14" t="n">
        <s:v>46289</s:v>
      </s:c>
      <s:c r="H100" s="5" t="inlineStr">
        <s:is>
          <s:t>English</s:t>
        </s:is>
      </s:c>
      <s:c r="I100" s="5" t="inlineStr">
        <s:is>
          <s:t>Main text</s:t>
        </s:is>
      </s:c>
      <s:c r="J100" s="5" t="inlineStr">
        <s:is>
          <s:t>Specified categories and cutoff; distinguish original bill text from subsequent implementing rules.</s:t>
        </s:is>
      </s:c>
      <s:c r="K100" s="20" t="inlineStr">
        <s:is>
          <s:t>Policy &amp; Governance: P13</s:t>
        </s:is>
      </s:c>
      <s:c r="L100" s="5" t="inlineStr">
        <s:is>
          <s:t>Government of India / PRS repository. Citizenship Amendment Bill 2019: legislative text. 2019. Accessed 24 September 2026.</s:t>
        </s:is>
      </s:c>
    </s:row>
    <s:row r="101" ht="48" customHeight="1">
      <s:c r="A101" s="7" t="inlineStr">
        <s:is>
          <s:t>S096</s:t>
        </s:is>
      </s:c>
      <s:c r="B101" s="7" t="inlineStr">
        <s:is>
          <s:t>World Report 2025: India</s:t>
        </s:is>
      </s:c>
      <s:c r="C101" s="7" t="inlineStr">
        <s:is>
          <s:t>Human Rights Watch</s:t>
        </s:is>
      </s:c>
      <s:c r="D101" s="7" t="inlineStr">
        <s:is>
          <s:t>2025</s:t>
        </s:is>
      </s:c>
      <s:c r="E101" s="7" t="inlineStr">
        <s:is>
          <s:t>Rights advocacy assessment</s:t>
        </s:is>
      </s:c>
      <s:c r="F101" s="8" t="inlineStr">
        <s:is>
          <s:t>https://www.hrw.org/world-report/2025/country-chapters/india</s:t>
        </s:is>
      </s:c>
      <s:c r="G101" s="15" t="n">
        <s:v>46289</s:v>
      </s:c>
      <s:c r="H101" s="7" t="inlineStr">
        <s:is>
          <s:t>English</s:t>
        </s:is>
      </s:c>
      <s:c r="I101" s="7" t="inlineStr">
        <s:is>
          <s:t>Main text</s:t>
        </s:is>
      </s:c>
      <s:c r="J101" s="7" t="inlineStr">
        <s:is>
          <s:t>Supports attributed CAA criticism; advocacy interpretation is not a court judgment.</s:t>
        </s:is>
      </s:c>
      <s:c r="K101" s="21" t="inlineStr">
        <s:is>
          <s:t>Policy &amp; Governance: P13; Controversies: C06</s:t>
        </s:is>
      </s:c>
      <s:c r="L101" s="7" t="inlineStr">
        <s:is>
          <s:t>Human Rights Watch. World Report 2025: India. 2025. Accessed 24 September 2026.</s:t>
        </s:is>
      </s:c>
    </s:row>
    <s:row r="102" ht="64" customHeight="1">
      <s:c r="A102" s="5" t="inlineStr">
        <s:is>
          <s:t>S097</s:t>
        </s:is>
      </s:c>
      <s:c r="B102" s="5" t="inlineStr">
        <s:is>
          <s:t>Tensions rise as India claims surgical strikes</s:t>
        </s:is>
      </s:c>
      <s:c r="C102" s="5" t="inlineStr">
        <s:is>
          <s:t>TIME</s:t>
        </s:is>
      </s:c>
      <s:c r="D102" s="5" t="inlineStr">
        <s:is>
          <s:t>2016-09-30</s:t>
        </s:is>
      </s:c>
      <s:c r="E102" s="5" t="inlineStr">
        <s:is>
          <s:t>Independent journalism</s:t>
        </s:is>
      </s:c>
      <s:c r="F102" s="6" t="inlineStr">
        <s:is>
          <s:t>https://time.com/4514230/india-kashmir-pakistan-surgical-strikes/</s:t>
        </s:is>
      </s:c>
      <s:c r="G102" s="14" t="n">
        <s:v>46289</s:v>
      </s:c>
      <s:c r="H102" s="5" t="inlineStr">
        <s:is>
          <s:t>English</s:t>
        </s:is>
      </s:c>
      <s:c r="I102" s="5" t="inlineStr">
        <s:is>
          <s:t>Main text</s:t>
        </s:is>
      </s:c>
      <s:c r="J102" s="5" t="inlineStr">
        <s:is>
          <s:t>Contemporaneous account; Indian and Pakistani operational characterizations differed.</s:t>
        </s:is>
      </s:c>
      <s:c r="K102" s="20" t="inlineStr">
        <s:is>
          <s:t>Career Timeline: T017</s:t>
        </s:is>
      </s:c>
      <s:c r="L102" s="5" t="inlineStr">
        <s:is>
          <s:t>TIME. Tensions rise as India claims surgical strikes. 2016-09-30. Accessed 24 September 2026.</s:t>
        </s:is>
      </s:c>
    </s:row>
  </s:sheetData>
  <s:autoFilter ref="A5:L102"/>
  <s:mergeCells count="2">
    <s:mergeCell ref="A2:F2"/>
    <s:mergeCell ref="A1:F1"/>
  </s:mergeCells>
  <s:hyperlinks>
    <s:hyperlink ref="A3" r:id="rId1"/>
    <s:hyperlink ref="F6" r:id="rId2"/>
    <s:hyperlink ref="F7" r:id="rId3"/>
    <s:hyperlink ref="F8" r:id="rId4"/>
    <s:hyperlink ref="F9" r:id="rId5"/>
    <s:hyperlink ref="F10" r:id="rId6"/>
    <s:hyperlink ref="F11" r:id="rId7"/>
    <s:hyperlink ref="F12" r:id="rId8"/>
    <s:hyperlink ref="F13" r:id="rId9"/>
    <s:hyperlink ref="F14" r:id="rId10"/>
    <s:hyperlink ref="F15" r:id="rId11"/>
    <s:hyperlink ref="F16" r:id="rId12"/>
    <s:hyperlink ref="F17" r:id="rId13"/>
    <s:hyperlink ref="F18" r:id="rId14"/>
    <s:hyperlink ref="F19" r:id="rId15"/>
    <s:hyperlink ref="F20" r:id="rId16"/>
    <s:hyperlink ref="F21" r:id="rId17"/>
    <s:hyperlink ref="F22" r:id="rId18"/>
    <s:hyperlink ref="F23" r:id="rId19"/>
    <s:hyperlink ref="F24" r:id="rId20"/>
    <s:hyperlink ref="F25" r:id="rId21"/>
    <s:hyperlink ref="F26" r:id="rId22"/>
    <s:hyperlink ref="F27" r:id="rId23"/>
    <s:hyperlink ref="F28" r:id="rId24"/>
    <s:hyperlink ref="F29" r:id="rId25"/>
    <s:hyperlink ref="F30" r:id="rId26"/>
    <s:hyperlink ref="F31" r:id="rId27"/>
    <s:hyperlink ref="F32" r:id="rId28"/>
    <s:hyperlink ref="F33" r:id="rId29"/>
    <s:hyperlink ref="F34" r:id="rId30"/>
    <s:hyperlink ref="F35" r:id="rId31"/>
    <s:hyperlink ref="F36" r:id="rId32"/>
    <s:hyperlink ref="F37" r:id="rId33"/>
    <s:hyperlink ref="F38" r:id="rId34"/>
    <s:hyperlink ref="F39" r:id="rId35"/>
    <s:hyperlink ref="F40" r:id="rId36"/>
    <s:hyperlink ref="F41" r:id="rId37"/>
    <s:hyperlink ref="F42" r:id="rId38"/>
    <s:hyperlink ref="F43" r:id="rId39"/>
    <s:hyperlink ref="F44" r:id="rId40"/>
    <s:hyperlink ref="F45" r:id="rId41"/>
    <s:hyperlink ref="F46" r:id="rId42"/>
    <s:hyperlink ref="F47" r:id="rId43"/>
    <s:hyperlink ref="F48" r:id="rId44"/>
    <s:hyperlink ref="F49" r:id="rId45"/>
    <s:hyperlink ref="F50" r:id="rId46"/>
    <s:hyperlink ref="F51" r:id="rId47"/>
    <s:hyperlink ref="F52" r:id="rId48"/>
    <s:hyperlink ref="F53" r:id="rId49"/>
    <s:hyperlink ref="F54" r:id="rId50"/>
    <s:hyperlink ref="F55" r:id="rId51"/>
    <s:hyperlink ref="F56" r:id="rId52"/>
    <s:hyperlink ref="F57" r:id="rId53"/>
    <s:hyperlink ref="F58" r:id="rId54"/>
    <s:hyperlink ref="F59" r:id="rId55"/>
    <s:hyperlink ref="F60" r:id="rId56"/>
    <s:hyperlink ref="F61" r:id="rId57"/>
    <s:hyperlink ref="F62" r:id="rId58"/>
    <s:hyperlink ref="F63" r:id="rId59"/>
    <s:hyperlink ref="F64" r:id="rId60"/>
    <s:hyperlink ref="F65" r:id="rId61"/>
    <s:hyperlink ref="F66" r:id="rId62"/>
    <s:hyperlink ref="F67" r:id="rId63"/>
    <s:hyperlink ref="F68" r:id="rId64"/>
    <s:hyperlink ref="F69" r:id="rId65"/>
    <s:hyperlink ref="F70" r:id="rId66"/>
    <s:hyperlink ref="F71" r:id="rId67"/>
    <s:hyperlink ref="F72" r:id="rId68"/>
    <s:hyperlink ref="F73" r:id="rId69"/>
    <s:hyperlink ref="F74" r:id="rId70"/>
    <s:hyperlink ref="F75" r:id="rId71"/>
    <s:hyperlink ref="F76" r:id="rId72"/>
    <s:hyperlink ref="F77" r:id="rId73"/>
    <s:hyperlink ref="F78" r:id="rId74"/>
    <s:hyperlink ref="F79" r:id="rId75"/>
    <s:hyperlink ref="F80" r:id="rId76"/>
    <s:hyperlink ref="F81" r:id="rId77"/>
    <s:hyperlink ref="F82" r:id="rId78"/>
    <s:hyperlink ref="F83" r:id="rId79"/>
    <s:hyperlink ref="F84" r:id="rId80"/>
    <s:hyperlink ref="F85" r:id="rId81"/>
    <s:hyperlink ref="F86" r:id="rId82"/>
    <s:hyperlink ref="F87" r:id="rId83"/>
    <s:hyperlink ref="F88" r:id="rId84"/>
    <s:hyperlink ref="F89" r:id="rId85"/>
    <s:hyperlink ref="F90" r:id="rId86"/>
    <s:hyperlink ref="F91" r:id="rId87"/>
    <s:hyperlink ref="F92" r:id="rId88"/>
    <s:hyperlink ref="F93" r:id="rId89"/>
    <s:hyperlink ref="F94" r:id="rId90"/>
    <s:hyperlink ref="F95" r:id="rId91"/>
    <s:hyperlink ref="F96" r:id="rId92"/>
    <s:hyperlink ref="F97" r:id="rId93"/>
    <s:hyperlink ref="F98" r:id="rId94"/>
    <s:hyperlink ref="F99" r:id="rId95"/>
    <s:hyperlink ref="F100" r:id="rId96"/>
    <s:hyperlink ref="F101" r:id="rId97"/>
    <s:hyperlink ref="F102" r:id="rId98"/>
  </s:hyperlinks>
  <s:printOptions horizontalCentered="0"/>
  <s:pageMargins left="0.75" right="0.75" top="1" bottom="1" header="0.5" footer="0.5"/>
  <s:pageSetup orientation="landscape" paperSize="8" fitToHeight="0" fitToWidth="2"/>
  <s:headerFooter>
    <s:oddHeader/>
    <s:oddFooter>&amp;C&amp;8 Narendra Modi research | 24 Sep 2026 | Page &amp;P of &amp;N</s:oddFooter>
    <s:evenHeader/>
    <s:evenFooter/>
    <s:firstHeader/>
    <s:firstFooter/>
  </s:headerFooter>
  <s:tableParts count="1">
    <s:tablePart r:id="rId99"/>
  </s:tableParts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Political Research</dc:creator>
  <dc:title>Narendra Modi — Political Research</dc:title>
  <dc:description>Research workbook with attributed claims, source register and evidence limitations.</dc:description>
  <dc:subject>Cited political biography, governance and accountability; as of 24 September 2026</dc:subject>
  <dcterms:created xsi:type="dcterms:W3CDTF">2026-09-24T09:47:00Z</dcterms:created>
  <dcterms:modified xsi:type="dcterms:W3CDTF">2026-09-24T09:47:01Z</dcterms:modified>
</cp:coreProperties>
</file>