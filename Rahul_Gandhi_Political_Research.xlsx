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xt &amp; Constraints" sheetId="2" state="visible" r:id="rId2"/>
    <sheet name="Career Timeline" sheetId="3" state="visible" r:id="rId3"/>
    <sheet name="Elections" sheetId="4" state="visible" r:id="rId4"/>
    <sheet name="Offices &amp; Party" sheetId="5" state="visible" r:id="rId5"/>
    <sheet name="Policy &amp; Governance" sheetId="6" state="visible" r:id="rId6"/>
    <sheet name="Ideas &amp; Political Method" sheetId="7" state="visible" r:id="rId7"/>
    <sheet name="Controversies" sheetId="8" state="visible" r:id="rId8"/>
    <sheet name="Legacy &amp; Assessments" sheetId="9" state="visible" r:id="rId9"/>
    <sheet name="Sources" sheetId="10" state="visible" r:id="rId10"/>
    <sheet name="Claims" sheetId="11" state="visible" r:id="rId11"/>
    <sheet name="Evidence" sheetId="12" state="visible" r:id="rId12"/>
    <sheet name="Citations" sheetId="13" state="visible" r:id="rId13"/>
    <sheet name="Research Queue" sheetId="14" state="visible" r:id="rId14"/>
  </sheets>
  <definedNames>
    <definedName name="_xlnm._FilterDatabase" localSheetId="0" hidden="1">'Overview'!$A$5:$L$31</definedName>
    <definedName name="_xlnm.Print_Titles" localSheetId="0">'Overview'!$1:$5</definedName>
    <definedName name="_xlnm.Print_Area" localSheetId="0">'Overview'!$A$1:$F$31</definedName>
    <definedName name="_xlnm._FilterDatabase" localSheetId="1" hidden="1">'Context &amp; Constraints'!$A$5:$U$55</definedName>
    <definedName name="_xlnm.Print_Titles" localSheetId="1">'Context &amp; Constraints'!$1:$5</definedName>
    <definedName name="_xlnm.Print_Area" localSheetId="1">'Context &amp; Constraints'!$A$1:$G$55</definedName>
    <definedName name="_xlnm._FilterDatabase" localSheetId="2" hidden="1">'Career Timeline'!$A$5:$N$30</definedName>
    <definedName name="_xlnm.Print_Titles" localSheetId="2">'Career Timeline'!$1:$5</definedName>
    <definedName name="_xlnm.Print_Area" localSheetId="2">'Career Timeline'!$A$1:$G$30</definedName>
    <definedName name="_xlnm._FilterDatabase" localSheetId="3" hidden="1">'Elections'!$A$5:$AA$12</definedName>
    <definedName name="_xlnm.Print_Titles" localSheetId="3">'Elections'!$1:$5</definedName>
    <definedName name="_xlnm.Print_Area" localSheetId="3">'Elections'!$A$1:$I$12</definedName>
    <definedName name="_xlnm._FilterDatabase" localSheetId="4" hidden="1">'Offices &amp; Party'!$A$5:$P$18</definedName>
    <definedName name="_xlnm.Print_Titles" localSheetId="4">'Offices &amp; Party'!$1:$5</definedName>
    <definedName name="_xlnm.Print_Area" localSheetId="4">'Offices &amp; Party'!$A$1:$G$18</definedName>
    <definedName name="_xlnm._FilterDatabase" localSheetId="5" hidden="1">'Policy &amp; Governance'!$A$5:$N$18</definedName>
    <definedName name="_xlnm.Print_Titles" localSheetId="5">'Policy &amp; Governance'!$1:$5</definedName>
    <definedName name="_xlnm.Print_Area" localSheetId="5">'Policy &amp; Governance'!$A$1:$G$18</definedName>
    <definedName name="_xlnm._FilterDatabase" localSheetId="6" hidden="1">'Ideas &amp; Political Method'!$A$5:$K$17</definedName>
    <definedName name="_xlnm.Print_Titles" localSheetId="6">'Ideas &amp; Political Method'!$1:$5</definedName>
    <definedName name="_xlnm.Print_Area" localSheetId="6">'Ideas &amp; Political Method'!$A$1:$F$17</definedName>
    <definedName name="_xlnm._FilterDatabase" localSheetId="7" hidden="1">'Controversies'!$A$5:$P$12</definedName>
    <definedName name="_xlnm.Print_Titles" localSheetId="7">'Controversies'!$1:$5</definedName>
    <definedName name="_xlnm.Print_Area" localSheetId="7">'Controversies'!$A$1:$G$12</definedName>
    <definedName name="_xlnm._FilterDatabase" localSheetId="8" hidden="1">'Legacy &amp; Assessments'!$A$5:$L$11</definedName>
    <definedName name="_xlnm.Print_Titles" localSheetId="8">'Legacy &amp; Assessments'!$1:$5</definedName>
    <definedName name="_xlnm.Print_Area" localSheetId="8">'Legacy &amp; Assessments'!$A$1:$F$11</definedName>
    <definedName name="_xlnm._FilterDatabase" localSheetId="9" hidden="1">'Sources'!$A$5:$N$48</definedName>
    <definedName name="_xlnm.Print_Titles" localSheetId="9">'Sources'!$1:$5</definedName>
    <definedName name="_xlnm.Print_Area" localSheetId="9">'Sources'!$A$1:$D$48</definedName>
    <definedName name="_xlnm._FilterDatabase" localSheetId="10" hidden="1">'Claims'!$A$5:$M$215</definedName>
    <definedName name="_xlnm.Print_Titles" localSheetId="10">'Claims'!$1:$5</definedName>
    <definedName name="_xlnm.Print_Area" localSheetId="10">'Claims'!$A$1:$E$215</definedName>
    <definedName name="_xlnm._FilterDatabase" localSheetId="11" hidden="1">'Evidence'!$A$5:$K$376</definedName>
    <definedName name="_xlnm.Print_Titles" localSheetId="11">'Evidence'!$1:$5</definedName>
    <definedName name="_xlnm.Print_Area" localSheetId="11">'Evidence'!$A$1:$E$376</definedName>
    <definedName name="_xlnm._FilterDatabase" localSheetId="12" hidden="1">'Citations'!$A$5:$H$290</definedName>
    <definedName name="_xlnm.Print_Titles" localSheetId="12">'Citations'!$1:$5</definedName>
    <definedName name="_xlnm.Print_Area" localSheetId="12">'Citations'!$A$1:$E$290</definedName>
    <definedName name="_xlnm._FilterDatabase" localSheetId="13" hidden="1">'Research Queue'!$A$5:$G$16</definedName>
    <definedName name="_xlnm.Print_Titles" localSheetId="13">'Research Queue'!$1:$5</definedName>
    <definedName name="_xlnm.Print_Area" localSheetId="13">'Research Queue'!$A$1:$E$16</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d mmm yyyy"/>
  </numFmts>
  <fonts count="6">
    <font>
      <name val="Calibri"/>
      <family val="2"/>
      <color theme="1"/>
      <sz val="11"/>
      <scheme val="minor"/>
    </font>
    <font>
      <name val="Arial"/>
      <b val="1"/>
      <color rgb="00FFFFFF"/>
      <sz val="18"/>
    </font>
    <font>
      <name val="Arial"/>
      <color rgb="00647786"/>
      <sz val="11"/>
    </font>
    <font>
      <name val="Arial"/>
      <b val="1"/>
      <color rgb="00FFFFFF"/>
      <sz val="11"/>
    </font>
    <font>
      <name val="Arial"/>
      <color rgb="00203746"/>
      <sz val="11"/>
    </font>
    <font>
      <name val="Arial"/>
      <color rgb="00087E8B"/>
      <sz val="11"/>
      <u val="single"/>
    </font>
  </fonts>
  <fills count="7">
    <fill>
      <patternFill/>
    </fill>
    <fill>
      <patternFill patternType="gray125"/>
    </fill>
    <fill>
      <patternFill patternType="solid">
        <fgColor rgb="0017354A"/>
      </patternFill>
    </fill>
    <fill>
      <patternFill patternType="solid">
        <fgColor rgb="00087E8B"/>
      </patternFill>
    </fill>
    <fill>
      <patternFill patternType="solid">
        <fgColor rgb="00EAF4F5"/>
      </patternFill>
    </fill>
    <fill>
      <patternFill patternType="solid">
        <fgColor rgb="00FFFFFF"/>
      </patternFill>
    </fill>
    <fill>
      <patternFill patternType="solid">
        <fgColor rgb="00FFF0D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3" fontId="4" fillId="4" borderId="0" applyAlignment="1" pivotButton="0" quotePrefix="0" xfId="0">
      <alignment vertical="top" wrapText="1"/>
    </xf>
    <xf numFmtId="3" fontId="4" fillId="5" borderId="0" applyAlignment="1" pivotButton="0" quotePrefix="0" xfId="0">
      <alignment vertical="top" wrapText="1"/>
    </xf>
    <xf numFmtId="0" fontId="4" fillId="6" borderId="0" applyAlignment="1" pivotButton="0" quotePrefix="0" xfId="0">
      <alignment vertical="top" wrapText="1"/>
    </xf>
    <xf numFmtId="165" fontId="4" fillId="4" borderId="0" applyAlignment="1" pivotButton="0" quotePrefix="0" xfId="0">
      <alignment vertical="top" wrapText="1"/>
    </xf>
    <xf numFmtId="165" fontId="4" fillId="5" borderId="0" applyAlignment="1" pivotButton="0" quotePrefix="0" xfId="0">
      <alignment vertical="top" wrapText="1"/>
    </xf>
    <xf numFmtId="10" fontId="4" fillId="4" borderId="0" applyAlignment="1" pivotButton="0" quotePrefix="0" xfId="0">
      <alignment vertical="top" wrapText="1"/>
    </xf>
    <xf numFmtId="1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Research_1" displayName="Research_1" ref="A5:L31" headerRowCount="1">
  <autoFilter ref="A5:L31"/>
  <tableColumns count="12">
    <tableColumn id="1" name="Overview ID"/>
    <tableColumn id="2" name="Topic"/>
    <tableColumn id="3" name="Finding / value"/>
    <tableColumn id="4" name="Evidence review"/>
    <tableColumn id="5" name="All citations"/>
    <tableColumn id="6" name="Claim details"/>
    <tableColumn id="7" name="Claim type"/>
    <tableColumn id="8" name="Source IDs"/>
    <tableColumn id="9" name="Corroboration"/>
    <tableColumn id="10" name="Research note"/>
    <tableColumn id="11" name="Context IDs"/>
    <tableColumn id="12" name="Section"/>
  </tableColumns>
  <tableStyleInfo name="TableStyleMedium2" showRowStripes="1"/>
</table>
</file>

<file path=xl/tables/table2.xml><?xml version="1.0" encoding="utf-8"?>
<table xmlns="http://schemas.openxmlformats.org/spreadsheetml/2006/main" id="2" name="Research_2" displayName="Research_2" ref="A5:U55" headerRowCount="1">
  <autoFilter ref="A5:U55"/>
  <tableColumns count="21">
    <tableColumn id="1" name="Context ID"/>
    <tableColumn id="2" name="Career phase"/>
    <tableColumn id="3" name="Coverage item"/>
    <tableColumn id="4" name="Finding"/>
    <tableColumn id="5" name="Evidence review"/>
    <tableColumn id="6" name="All citations"/>
    <tableColumn id="7" name="Claim details"/>
    <tableColumn id="8" name="Coverage dimension"/>
    <tableColumn id="9" name="Research disposition"/>
    <tableColumn id="10" name="Contemporary comparison group"/>
    <tableColumn id="11" name="Contemporary assessment"/>
    <tableColumn id="12" name="Presentism caution"/>
    <tableColumn id="13" name="Plausible alternatives / limits"/>
    <tableColumn id="14" name="Retrospective assessment"/>
    <tableColumn id="15" name="Evidence-environment limitation"/>
    <tableColumn id="16" name="Claim type"/>
    <tableColumn id="17" name="Source IDs"/>
    <tableColumn id="18" name="Research note"/>
    <tableColumn id="19" name="Corroboration"/>
    <tableColumn id="20" name="Gender relevance"/>
    <tableColumn id="21" name="Other identity relevance"/>
  </tableColumns>
  <tableStyleInfo name="TableStyleMedium2" showRowStripes="1"/>
</table>
</file>

<file path=xl/tables/table3.xml><?xml version="1.0" encoding="utf-8"?>
<table xmlns="http://schemas.openxmlformats.org/spreadsheetml/2006/main" id="3" name="Research_3" displayName="Research_3" ref="A5:N30" headerRowCount="1">
  <autoFilter ref="A5:N30"/>
  <tableColumns count="14">
    <tableColumn id="1" name="Timeline ID"/>
    <tableColumn id="2" name="Period"/>
    <tableColumn id="3" name="Event"/>
    <tableColumn id="4" name="Description"/>
    <tableColumn id="5" name="Evidence review"/>
    <tableColumn id="6" name="All citations"/>
    <tableColumn id="7" name="Claim details"/>
    <tableColumn id="8" name="Exact date"/>
    <tableColumn id="9" name="Date precision"/>
    <tableColumn id="10" name="Claim type"/>
    <tableColumn id="11" name="Source IDs"/>
    <tableColumn id="12" name="Corroboration"/>
    <tableColumn id="13" name="Career phase"/>
    <tableColumn id="14" name="Context IDs"/>
  </tableColumns>
  <tableStyleInfo name="TableStyleMedium2" showRowStripes="1"/>
</table>
</file>

<file path=xl/tables/table4.xml><?xml version="1.0" encoding="utf-8"?>
<table xmlns="http://schemas.openxmlformats.org/spreadsheetml/2006/main" id="4" name="Research_4" displayName="Research_4" ref="A5:AA12" headerRowCount="1">
  <autoFilter ref="A5:AA12"/>
  <tableColumns count="27">
    <tableColumn id="1" name="Election ID"/>
    <tableColumn id="2" name="Year"/>
    <tableColumn id="3" name="Constituency"/>
    <tableColumn id="4" name="Result"/>
    <tableColumn id="5" name="Candidate votes"/>
    <tableColumn id="6" name="Signed vote margin"/>
    <tableColumn id="7" name="Evidence review"/>
    <tableColumn id="8" name="All citations"/>
    <tableColumn id="9" name="Claim details"/>
    <tableColumn id="10" name="Opponent"/>
    <tableColumn id="11" name="Opponent party"/>
    <tableColumn id="12" name="Opponent votes"/>
    <tableColumn id="13" name="Vote share"/>
    <tableColumn id="14" name="Share denominator"/>
    <tableColumn id="15" name="State"/>
    <tableColumn id="16" name="Party"/>
    <tableColumn id="17" name="House / route"/>
    <tableColumn id="18" name="Candidate status"/>
    <tableColumn id="19" name="Finding"/>
    <tableColumn id="20" name="Margin unit"/>
    <tableColumn id="21" name="Geography / denominator note"/>
    <tableColumn id="22" name="Claim type"/>
    <tableColumn id="23" name="Source IDs"/>
    <tableColumn id="24" name="Career phase"/>
    <tableColumn id="25" name="Research note"/>
    <tableColumn id="26" name="Corroboration"/>
    <tableColumn id="27" name="Context IDs"/>
  </tableColumns>
  <tableStyleInfo name="TableStyleMedium2" showRowStripes="1"/>
</table>
</file>

<file path=xl/tables/table5.xml><?xml version="1.0" encoding="utf-8"?>
<table xmlns="http://schemas.openxmlformats.org/spreadsheetml/2006/main" id="5" name="Research_5" displayName="Research_5" ref="A5:P18" headerRowCount="1">
  <autoFilter ref="A5:P18"/>
  <tableColumns count="16">
    <tableColumn id="1" name="Position ID"/>
    <tableColumn id="2" name="Position / institution"/>
    <tableColumn id="3" name="Period"/>
    <tableColumn id="4" name="Finding"/>
    <tableColumn id="5" name="Evidence review"/>
    <tableColumn id="6" name="All citations"/>
    <tableColumn id="7" name="Claim details"/>
    <tableColumn id="8" name="Start date"/>
    <tableColumn id="9" name="End date"/>
    <tableColumn id="10" name="Selection / exit"/>
    <tableColumn id="11" name="Date note"/>
    <tableColumn id="12" name="Claim type"/>
    <tableColumn id="13" name="Source IDs"/>
    <tableColumn id="14" name="Career phase"/>
    <tableColumn id="15" name="Corroboration"/>
    <tableColumn id="16" name="Context IDs"/>
  </tableColumns>
  <tableStyleInfo name="TableStyleMedium2" showRowStripes="1"/>
</table>
</file>

<file path=xl/tables/table6.xml><?xml version="1.0" encoding="utf-8"?>
<table xmlns="http://schemas.openxmlformats.org/spreadsheetml/2006/main" id="6" name="Research_6" displayName="Research_6" ref="A5:N18" headerRowCount="1">
  <autoFilter ref="A5:N18"/>
  <tableColumns count="14">
    <tableColumn id="1" name="Record ID"/>
    <tableColumn id="2" name="Initiative / decision"/>
    <tableColumn id="3" name="Finding"/>
    <tableColumn id="4" name="Stage"/>
    <tableColumn id="5" name="Evidence review"/>
    <tableColumn id="6" name="All citations"/>
    <tableColumn id="7" name="Claim details"/>
    <tableColumn id="8" name="Documented role"/>
    <tableColumn id="9" name="Attribution / outcome limit"/>
    <tableColumn id="10" name="Claim type"/>
    <tableColumn id="11" name="Source IDs"/>
    <tableColumn id="12" name="Career phase"/>
    <tableColumn id="13" name="Corroboration"/>
    <tableColumn id="14" name="Context IDs"/>
  </tableColumns>
  <tableStyleInfo name="TableStyleMedium2" showRowStripes="1"/>
</table>
</file>

<file path=xl/tables/table7.xml><?xml version="1.0" encoding="utf-8"?>
<table xmlns="http://schemas.openxmlformats.org/spreadsheetml/2006/main" id="7" name="Research_7" displayName="Research_7" ref="A5:K17" headerRowCount="1">
  <autoFilter ref="A5:K17"/>
  <tableColumns count="11">
    <tableColumn id="1" name="Record ID"/>
    <tableColumn id="2" name="Topic"/>
    <tableColumn id="3" name="Finding"/>
    <tableColumn id="4" name="Evidence review"/>
    <tableColumn id="5" name="All citations"/>
    <tableColumn id="6" name="Claim details"/>
    <tableColumn id="7" name="Claim type"/>
    <tableColumn id="8" name="Source IDs"/>
    <tableColumn id="9" name="Career phase"/>
    <tableColumn id="10" name="Corroboration"/>
    <tableColumn id="11" name="Context IDs"/>
  </tableColumns>
  <tableStyleInfo name="TableStyleMedium2" showRowStripes="1"/>
</table>
</file>

<file path=xl/tables/table8.xml><?xml version="1.0" encoding="utf-8"?>
<table xmlns="http://schemas.openxmlformats.org/spreadsheetml/2006/main" id="8" name="Research_8" displayName="Research_8" ref="A5:P12" headerRowCount="1">
  <autoFilter ref="A5:P12"/>
  <tableColumns count="16">
    <tableColumn id="1" name="Matter ID"/>
    <tableColumn id="2" name="Matter"/>
    <tableColumn id="3" name="Finding"/>
    <tableColumn id="4" name="Procedural status"/>
    <tableColumn id="5" name="Evidence review"/>
    <tableColumn id="6" name="All citations"/>
    <tableColumn id="7" name="Claim details"/>
    <tableColumn id="8" name="Subject / party response"/>
    <tableColumn id="9" name="Finding / dispute qualification"/>
    <tableColumn id="10" name="Latest evidence date"/>
    <tableColumn id="11" name="Claim type"/>
    <tableColumn id="12" name="Source IDs"/>
    <tableColumn id="13" name="Career phase"/>
    <tableColumn id="14" name="Research note"/>
    <tableColumn id="15" name="Corroboration"/>
    <tableColumn id="16" name="Context IDs"/>
  </tableColumns>
  <tableStyleInfo name="TableStyleMedium2" showRowStripes="1"/>
</table>
</file>

<file path=xl/tables/table9.xml><?xml version="1.0" encoding="utf-8"?>
<table xmlns="http://schemas.openxmlformats.org/spreadsheetml/2006/main" id="9" name="Research_9" displayName="Research_9" ref="A5:L11" headerRowCount="1">
  <autoFilter ref="A5:L11"/>
  <tableColumns count="12">
    <tableColumn id="1" name="Assessment ID"/>
    <tableColumn id="2" name="Theme"/>
    <tableColumn id="3" name="Assessment"/>
    <tableColumn id="4" name="Evidence review"/>
    <tableColumn id="5" name="All citations"/>
    <tableColumn id="6" name="Claim details"/>
    <tableColumn id="7" name="Assessor"/>
    <tableColumn id="8" name="Claim type"/>
    <tableColumn id="9" name="Source IDs"/>
    <tableColumn id="10" name="Career phase"/>
    <tableColumn id="11" name="Corroboration"/>
    <tableColumn id="12" name="Context IDs"/>
  </tableColumns>
  <tableStyleInfo name="TableStyleMedium2" showRowStripes="1"/>
</table>
</file>

<file path=xl/tables/table10.xml><?xml version="1.0" encoding="utf-8"?>
<table xmlns="http://schemas.openxmlformats.org/spreadsheetml/2006/main" id="10" name="Research_10" displayName="Research_10" ref="A5:N48" headerRowCount="1">
  <autoFilter ref="A5:N48"/>
  <tableColumns count="14">
    <tableColumn id="1" name="Source ID"/>
    <tableColumn id="2" name="Title"/>
    <tableColumn id="3" name="Access status"/>
    <tableColumn id="4" name="URL"/>
    <tableColumn id="5" name="Author / institution"/>
    <tableColumn id="6" name="Publication date"/>
    <tableColumn id="7" name="Access date"/>
    <tableColumn id="8" name="Source class"/>
    <tableColumn id="9" name="Primary / secondary"/>
    <tableColumn id="10" name="Origin ID"/>
    <tableColumn id="11" name="Locator"/>
    <tableColumn id="12" name="Reliability / limitation"/>
    <tableColumn id="13" name="Language / geography"/>
    <tableColumn id="14" name="Used in"/>
  </tableColumns>
  <tableStyleInfo name="TableStyleMedium2" showRowStripes="1"/>
</table>
</file>

<file path=xl/tables/table11.xml><?xml version="1.0" encoding="utf-8"?>
<table xmlns="http://schemas.openxmlformats.org/spreadsheetml/2006/main" id="11" name="Research_11" displayName="Research_11" ref="A5:M215" headerRowCount="1">
  <autoFilter ref="A5:M215"/>
  <tableColumns count="13">
    <tableColumn id="1" name="Claim ID"/>
    <tableColumn id="2" name="Record ID"/>
    <tableColumn id="3" name="Statement"/>
    <tableColumn id="4" name="Review status"/>
    <tableColumn id="5" name="Evidence"/>
    <tableColumn id="6" name="Priority"/>
    <tableColumn id="7" name="Field"/>
    <tableColumn id="8" name="Claim type"/>
    <tableColumn id="9" name="Candidate sources"/>
    <tableColumn id="10" name="All citations"/>
    <tableColumn id="11" name="Contradictions"/>
    <tableColumn id="12" name="Review note"/>
    <tableColumn id="13" name="Sheet"/>
  </tableColumns>
  <tableStyleInfo name="TableStyleMedium2" showRowStripes="1"/>
</table>
</file>

<file path=xl/tables/table12.xml><?xml version="1.0" encoding="utf-8"?>
<table xmlns="http://schemas.openxmlformats.org/spreadsheetml/2006/main" id="12" name="Research_12" displayName="Research_12" ref="A5:K376" headerRowCount="1">
  <autoFilter ref="A5:K376"/>
  <tableColumns count="11">
    <tableColumn id="1" name="Evidence ID"/>
    <tableColumn id="2" name="Claim ID"/>
    <tableColumn id="3" name="Source ID"/>
    <tableColumn id="4" name="Passage paraphrase"/>
    <tableColumn id="5" name="URL"/>
    <tableColumn id="6" name="Locator"/>
    <tableColumn id="7" name="Relation"/>
    <tableColumn id="8" name="Retrieval ID"/>
    <tableColumn id="9" name="Reviewer"/>
    <tableColumn id="10" name="Reviewed at"/>
    <tableColumn id="11" name="Note"/>
  </tableColumns>
  <tableStyleInfo name="TableStyleMedium2" showRowStripes="1"/>
</table>
</file>

<file path=xl/tables/table13.xml><?xml version="1.0" encoding="utf-8"?>
<table xmlns="http://schemas.openxmlformats.org/spreadsheetml/2006/main" id="13" name="Research_13" displayName="Research_13" ref="A5:H290" headerRowCount="1">
  <autoFilter ref="A5:H290"/>
  <tableColumns count="8">
    <tableColumn id="1" name="Citation ID"/>
    <tableColumn id="2" name="Record ID"/>
    <tableColumn id="3" name="Source ID"/>
    <tableColumn id="4" name="Title"/>
    <tableColumn id="5" name="URL"/>
    <tableColumn id="6" name="Access status"/>
    <tableColumn id="7" name="Sheet"/>
    <tableColumn id="8" name="Meaning"/>
  </tableColumns>
  <tableStyleInfo name="TableStyleMedium2" showRowStripes="1"/>
</table>
</file>

<file path=xl/tables/table14.xml><?xml version="1.0" encoding="utf-8"?>
<table xmlns="http://schemas.openxmlformats.org/spreadsheetml/2006/main" id="14" name="Research_14" displayName="Research_14" ref="A5:G16" headerRowCount="1">
  <autoFilter ref="A5:G16"/>
  <tableColumns count="7">
    <tableColumn id="1" name="Gap ID"/>
    <tableColumn id="2" name="Priority"/>
    <tableColumn id="3" name="Topic"/>
    <tableColumn id="4" name="Gap"/>
    <tableColumn id="5" name="Next action"/>
    <tableColumn id="6" name="Status"/>
    <tableColumn id="7" name="Record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itations'!A6" TargetMode="External" Id="rId1" /><Relationship Type="http://schemas.openxmlformats.org/officeDocument/2006/relationships/hyperlink" Target="#'Claims'!A6" TargetMode="External" Id="rId2" /><Relationship Type="http://schemas.openxmlformats.org/officeDocument/2006/relationships/hyperlink" Target="#'Citations'!A7" TargetMode="External" Id="rId3" /><Relationship Type="http://schemas.openxmlformats.org/officeDocument/2006/relationships/hyperlink" Target="#'Claims'!A7" TargetMode="External" Id="rId4" /><Relationship Type="http://schemas.openxmlformats.org/officeDocument/2006/relationships/hyperlink" Target="#'Citations'!A9" TargetMode="External" Id="rId5" /><Relationship Type="http://schemas.openxmlformats.org/officeDocument/2006/relationships/hyperlink" Target="#'Claims'!A8" TargetMode="External" Id="rId6" /><Relationship Type="http://schemas.openxmlformats.org/officeDocument/2006/relationships/hyperlink" Target="#'Citations'!A13" TargetMode="External" Id="rId7" /><Relationship Type="http://schemas.openxmlformats.org/officeDocument/2006/relationships/hyperlink" Target="#'Claims'!A9" TargetMode="External" Id="rId8" /><Relationship Type="http://schemas.openxmlformats.org/officeDocument/2006/relationships/hyperlink" Target="#'Citations'!A15" TargetMode="External" Id="rId9" /><Relationship Type="http://schemas.openxmlformats.org/officeDocument/2006/relationships/hyperlink" Target="#'Claims'!A10" TargetMode="External" Id="rId10" /><Relationship Type="http://schemas.openxmlformats.org/officeDocument/2006/relationships/hyperlink" Target="#'Citations'!A17" TargetMode="External" Id="rId11" /><Relationship Type="http://schemas.openxmlformats.org/officeDocument/2006/relationships/hyperlink" Target="#'Claims'!A11" TargetMode="External" Id="rId12" /><Relationship Type="http://schemas.openxmlformats.org/officeDocument/2006/relationships/hyperlink" Target="#'Citations'!A21" TargetMode="External" Id="rId13" /><Relationship Type="http://schemas.openxmlformats.org/officeDocument/2006/relationships/hyperlink" Target="#'Claims'!A12" TargetMode="External" Id="rId14" /><Relationship Type="http://schemas.openxmlformats.org/officeDocument/2006/relationships/hyperlink" Target="#'Citations'!A25" TargetMode="External" Id="rId15" /><Relationship Type="http://schemas.openxmlformats.org/officeDocument/2006/relationships/hyperlink" Target="#'Claims'!A13" TargetMode="External" Id="rId16" /><Relationship Type="http://schemas.openxmlformats.org/officeDocument/2006/relationships/hyperlink" Target="#'Citations'!A30" TargetMode="External" Id="rId17" /><Relationship Type="http://schemas.openxmlformats.org/officeDocument/2006/relationships/hyperlink" Target="#'Claims'!A14" TargetMode="External" Id="rId18" /><Relationship Type="http://schemas.openxmlformats.org/officeDocument/2006/relationships/hyperlink" Target="#'Citations'!A36" TargetMode="External" Id="rId19" /><Relationship Type="http://schemas.openxmlformats.org/officeDocument/2006/relationships/hyperlink" Target="#'Claims'!A15" TargetMode="External" Id="rId20" /><Relationship Type="http://schemas.openxmlformats.org/officeDocument/2006/relationships/hyperlink" Target="#'Citations'!A40" TargetMode="External" Id="rId21" /><Relationship Type="http://schemas.openxmlformats.org/officeDocument/2006/relationships/hyperlink" Target="#'Claims'!A16" TargetMode="External" Id="rId22" /><Relationship Type="http://schemas.openxmlformats.org/officeDocument/2006/relationships/hyperlink" Target="#'Citations'!A43" TargetMode="External" Id="rId23" /><Relationship Type="http://schemas.openxmlformats.org/officeDocument/2006/relationships/hyperlink" Target="#'Claims'!A17" TargetMode="External" Id="rId24" /><Relationship Type="http://schemas.openxmlformats.org/officeDocument/2006/relationships/hyperlink" Target="#'Citations'!A46" TargetMode="External" Id="rId25" /><Relationship Type="http://schemas.openxmlformats.org/officeDocument/2006/relationships/hyperlink" Target="#'Claims'!A18" TargetMode="External" Id="rId26" /><Relationship Type="http://schemas.openxmlformats.org/officeDocument/2006/relationships/table" Target="/xl/tables/table1.xml" Id="rId27" /></Relationships>
</file>

<file path=xl/worksheets/_rels/sheet2.xml.rels><Relationships xmlns="http://schemas.openxmlformats.org/package/2006/relationships"><Relationship Type="http://schemas.openxmlformats.org/officeDocument/2006/relationships/hyperlink" Target="#'Citations'!A49" TargetMode="External" Id="rId1" /><Relationship Type="http://schemas.openxmlformats.org/officeDocument/2006/relationships/hyperlink" Target="#'Claims'!A166" TargetMode="External" Id="rId2" /><Relationship Type="http://schemas.openxmlformats.org/officeDocument/2006/relationships/hyperlink" Target="#'Citations'!A51" TargetMode="External" Id="rId3" /><Relationship Type="http://schemas.openxmlformats.org/officeDocument/2006/relationships/hyperlink" Target="#'Claims'!A167" TargetMode="External" Id="rId4" /><Relationship Type="http://schemas.openxmlformats.org/officeDocument/2006/relationships/hyperlink" Target="#'Citations'!A53" TargetMode="External" Id="rId5" /><Relationship Type="http://schemas.openxmlformats.org/officeDocument/2006/relationships/hyperlink" Target="#'Claims'!A168" TargetMode="External" Id="rId6" /><Relationship Type="http://schemas.openxmlformats.org/officeDocument/2006/relationships/hyperlink" Target="#'Citations'!A55" TargetMode="External" Id="rId7" /><Relationship Type="http://schemas.openxmlformats.org/officeDocument/2006/relationships/hyperlink" Target="#'Claims'!A169" TargetMode="External" Id="rId8" /><Relationship Type="http://schemas.openxmlformats.org/officeDocument/2006/relationships/hyperlink" Target="#'Citations'!A56" TargetMode="External" Id="rId9" /><Relationship Type="http://schemas.openxmlformats.org/officeDocument/2006/relationships/hyperlink" Target="#'Claims'!A170" TargetMode="External" Id="rId10" /><Relationship Type="http://schemas.openxmlformats.org/officeDocument/2006/relationships/hyperlink" Target="#'Citations'!A57" TargetMode="External" Id="rId11" /><Relationship Type="http://schemas.openxmlformats.org/officeDocument/2006/relationships/hyperlink" Target="#'Claims'!A171" TargetMode="External" Id="rId12" /><Relationship Type="http://schemas.openxmlformats.org/officeDocument/2006/relationships/hyperlink" Target="#'Citations'!A58" TargetMode="External" Id="rId13" /><Relationship Type="http://schemas.openxmlformats.org/officeDocument/2006/relationships/hyperlink" Target="#'Claims'!A172" TargetMode="External" Id="rId14" /><Relationship Type="http://schemas.openxmlformats.org/officeDocument/2006/relationships/hyperlink" Target="#'Citations'!A60" TargetMode="External" Id="rId15" /><Relationship Type="http://schemas.openxmlformats.org/officeDocument/2006/relationships/hyperlink" Target="#'Claims'!A173" TargetMode="External" Id="rId16" /><Relationship Type="http://schemas.openxmlformats.org/officeDocument/2006/relationships/hyperlink" Target="#'Citations'!A62" TargetMode="External" Id="rId17" /><Relationship Type="http://schemas.openxmlformats.org/officeDocument/2006/relationships/hyperlink" Target="#'Claims'!A174" TargetMode="External" Id="rId18" /><Relationship Type="http://schemas.openxmlformats.org/officeDocument/2006/relationships/hyperlink" Target="#'Citations'!A65" TargetMode="External" Id="rId19" /><Relationship Type="http://schemas.openxmlformats.org/officeDocument/2006/relationships/hyperlink" Target="#'Claims'!A175" TargetMode="External" Id="rId20" /><Relationship Type="http://schemas.openxmlformats.org/officeDocument/2006/relationships/hyperlink" Target="#'Citations'!A68" TargetMode="External" Id="rId21" /><Relationship Type="http://schemas.openxmlformats.org/officeDocument/2006/relationships/hyperlink" Target="#'Claims'!A176" TargetMode="External" Id="rId22" /><Relationship Type="http://schemas.openxmlformats.org/officeDocument/2006/relationships/hyperlink" Target="#'Citations'!A70" TargetMode="External" Id="rId23" /><Relationship Type="http://schemas.openxmlformats.org/officeDocument/2006/relationships/hyperlink" Target="#'Claims'!A177" TargetMode="External" Id="rId24" /><Relationship Type="http://schemas.openxmlformats.org/officeDocument/2006/relationships/hyperlink" Target="#'Citations'!A72" TargetMode="External" Id="rId25" /><Relationship Type="http://schemas.openxmlformats.org/officeDocument/2006/relationships/hyperlink" Target="#'Claims'!A178" TargetMode="External" Id="rId26" /><Relationship Type="http://schemas.openxmlformats.org/officeDocument/2006/relationships/hyperlink" Target="#'Citations'!A75" TargetMode="External" Id="rId27" /><Relationship Type="http://schemas.openxmlformats.org/officeDocument/2006/relationships/hyperlink" Target="#'Claims'!A179" TargetMode="External" Id="rId28" /><Relationship Type="http://schemas.openxmlformats.org/officeDocument/2006/relationships/hyperlink" Target="#'Citations'!A78" TargetMode="External" Id="rId29" /><Relationship Type="http://schemas.openxmlformats.org/officeDocument/2006/relationships/hyperlink" Target="#'Claims'!A180" TargetMode="External" Id="rId30" /><Relationship Type="http://schemas.openxmlformats.org/officeDocument/2006/relationships/hyperlink" Target="#'Citations'!A79" TargetMode="External" Id="rId31" /><Relationship Type="http://schemas.openxmlformats.org/officeDocument/2006/relationships/hyperlink" Target="#'Claims'!A181" TargetMode="External" Id="rId32" /><Relationship Type="http://schemas.openxmlformats.org/officeDocument/2006/relationships/hyperlink" Target="#'Citations'!A80" TargetMode="External" Id="rId33" /><Relationship Type="http://schemas.openxmlformats.org/officeDocument/2006/relationships/hyperlink" Target="#'Claims'!A182" TargetMode="External" Id="rId34" /><Relationship Type="http://schemas.openxmlformats.org/officeDocument/2006/relationships/hyperlink" Target="#'Citations'!A84" TargetMode="External" Id="rId35" /><Relationship Type="http://schemas.openxmlformats.org/officeDocument/2006/relationships/hyperlink" Target="#'Claims'!A183" TargetMode="External" Id="rId36" /><Relationship Type="http://schemas.openxmlformats.org/officeDocument/2006/relationships/hyperlink" Target="#'Citations'!A86" TargetMode="External" Id="rId37" /><Relationship Type="http://schemas.openxmlformats.org/officeDocument/2006/relationships/hyperlink" Target="#'Claims'!A184" TargetMode="External" Id="rId38" /><Relationship Type="http://schemas.openxmlformats.org/officeDocument/2006/relationships/hyperlink" Target="#'Citations'!A88" TargetMode="External" Id="rId39" /><Relationship Type="http://schemas.openxmlformats.org/officeDocument/2006/relationships/hyperlink" Target="#'Claims'!A185" TargetMode="External" Id="rId40" /><Relationship Type="http://schemas.openxmlformats.org/officeDocument/2006/relationships/hyperlink" Target="#'Citations'!A91" TargetMode="External" Id="rId41" /><Relationship Type="http://schemas.openxmlformats.org/officeDocument/2006/relationships/hyperlink" Target="#'Claims'!A186" TargetMode="External" Id="rId42" /><Relationship Type="http://schemas.openxmlformats.org/officeDocument/2006/relationships/hyperlink" Target="#'Citations'!A93" TargetMode="External" Id="rId43" /><Relationship Type="http://schemas.openxmlformats.org/officeDocument/2006/relationships/hyperlink" Target="#'Claims'!A187" TargetMode="External" Id="rId44" /><Relationship Type="http://schemas.openxmlformats.org/officeDocument/2006/relationships/hyperlink" Target="#'Citations'!A95" TargetMode="External" Id="rId45" /><Relationship Type="http://schemas.openxmlformats.org/officeDocument/2006/relationships/hyperlink" Target="#'Claims'!A188" TargetMode="External" Id="rId46" /><Relationship Type="http://schemas.openxmlformats.org/officeDocument/2006/relationships/hyperlink" Target="#'Citations'!A97" TargetMode="External" Id="rId47" /><Relationship Type="http://schemas.openxmlformats.org/officeDocument/2006/relationships/hyperlink" Target="#'Claims'!A189" TargetMode="External" Id="rId48" /><Relationship Type="http://schemas.openxmlformats.org/officeDocument/2006/relationships/hyperlink" Target="#'Citations'!A100" TargetMode="External" Id="rId49" /><Relationship Type="http://schemas.openxmlformats.org/officeDocument/2006/relationships/hyperlink" Target="#'Claims'!A190" TargetMode="External" Id="rId50" /><Relationship Type="http://schemas.openxmlformats.org/officeDocument/2006/relationships/hyperlink" Target="#'Citations'!A101" TargetMode="External" Id="rId51" /><Relationship Type="http://schemas.openxmlformats.org/officeDocument/2006/relationships/hyperlink" Target="#'Claims'!A191" TargetMode="External" Id="rId52" /><Relationship Type="http://schemas.openxmlformats.org/officeDocument/2006/relationships/hyperlink" Target="#'Citations'!A104" TargetMode="External" Id="rId53" /><Relationship Type="http://schemas.openxmlformats.org/officeDocument/2006/relationships/hyperlink" Target="#'Claims'!A192" TargetMode="External" Id="rId54" /><Relationship Type="http://schemas.openxmlformats.org/officeDocument/2006/relationships/hyperlink" Target="#'Citations'!A107" TargetMode="External" Id="rId55" /><Relationship Type="http://schemas.openxmlformats.org/officeDocument/2006/relationships/hyperlink" Target="#'Claims'!A193" TargetMode="External" Id="rId56" /><Relationship Type="http://schemas.openxmlformats.org/officeDocument/2006/relationships/hyperlink" Target="#'Citations'!A109" TargetMode="External" Id="rId57" /><Relationship Type="http://schemas.openxmlformats.org/officeDocument/2006/relationships/hyperlink" Target="#'Claims'!A194" TargetMode="External" Id="rId58" /><Relationship Type="http://schemas.openxmlformats.org/officeDocument/2006/relationships/hyperlink" Target="#'Citations'!A111" TargetMode="External" Id="rId59" /><Relationship Type="http://schemas.openxmlformats.org/officeDocument/2006/relationships/hyperlink" Target="#'Claims'!A195" TargetMode="External" Id="rId60" /><Relationship Type="http://schemas.openxmlformats.org/officeDocument/2006/relationships/hyperlink" Target="#'Citations'!A113" TargetMode="External" Id="rId61" /><Relationship Type="http://schemas.openxmlformats.org/officeDocument/2006/relationships/hyperlink" Target="#'Claims'!A196" TargetMode="External" Id="rId62" /><Relationship Type="http://schemas.openxmlformats.org/officeDocument/2006/relationships/hyperlink" Target="#'Citations'!A115" TargetMode="External" Id="rId63" /><Relationship Type="http://schemas.openxmlformats.org/officeDocument/2006/relationships/hyperlink" Target="#'Claims'!A197" TargetMode="External" Id="rId64" /><Relationship Type="http://schemas.openxmlformats.org/officeDocument/2006/relationships/hyperlink" Target="#'Citations'!A117" TargetMode="External" Id="rId65" /><Relationship Type="http://schemas.openxmlformats.org/officeDocument/2006/relationships/hyperlink" Target="#'Claims'!A198" TargetMode="External" Id="rId66" /><Relationship Type="http://schemas.openxmlformats.org/officeDocument/2006/relationships/hyperlink" Target="#'Citations'!A120" TargetMode="External" Id="rId67" /><Relationship Type="http://schemas.openxmlformats.org/officeDocument/2006/relationships/hyperlink" Target="#'Claims'!A199" TargetMode="External" Id="rId68" /><Relationship Type="http://schemas.openxmlformats.org/officeDocument/2006/relationships/hyperlink" Target="#'Citations'!A123" TargetMode="External" Id="rId69" /><Relationship Type="http://schemas.openxmlformats.org/officeDocument/2006/relationships/hyperlink" Target="#'Claims'!A200" TargetMode="External" Id="rId70" /><Relationship Type="http://schemas.openxmlformats.org/officeDocument/2006/relationships/hyperlink" Target="#'Citations'!A125" TargetMode="External" Id="rId71" /><Relationship Type="http://schemas.openxmlformats.org/officeDocument/2006/relationships/hyperlink" Target="#'Claims'!A201" TargetMode="External" Id="rId72" /><Relationship Type="http://schemas.openxmlformats.org/officeDocument/2006/relationships/hyperlink" Target="#'Citations'!A127" TargetMode="External" Id="rId73" /><Relationship Type="http://schemas.openxmlformats.org/officeDocument/2006/relationships/hyperlink" Target="#'Claims'!A202" TargetMode="External" Id="rId74" /><Relationship Type="http://schemas.openxmlformats.org/officeDocument/2006/relationships/hyperlink" Target="#'Citations'!A129" TargetMode="External" Id="rId75" /><Relationship Type="http://schemas.openxmlformats.org/officeDocument/2006/relationships/hyperlink" Target="#'Claims'!A203" TargetMode="External" Id="rId76" /><Relationship Type="http://schemas.openxmlformats.org/officeDocument/2006/relationships/hyperlink" Target="#'Citations'!A131" TargetMode="External" Id="rId77" /><Relationship Type="http://schemas.openxmlformats.org/officeDocument/2006/relationships/hyperlink" Target="#'Claims'!A204" TargetMode="External" Id="rId78" /><Relationship Type="http://schemas.openxmlformats.org/officeDocument/2006/relationships/hyperlink" Target="#'Citations'!A133" TargetMode="External" Id="rId79" /><Relationship Type="http://schemas.openxmlformats.org/officeDocument/2006/relationships/hyperlink" Target="#'Claims'!A205" TargetMode="External" Id="rId80" /><Relationship Type="http://schemas.openxmlformats.org/officeDocument/2006/relationships/hyperlink" Target="#'Citations'!A136" TargetMode="External" Id="rId81" /><Relationship Type="http://schemas.openxmlformats.org/officeDocument/2006/relationships/hyperlink" Target="#'Claims'!A206" TargetMode="External" Id="rId82" /><Relationship Type="http://schemas.openxmlformats.org/officeDocument/2006/relationships/hyperlink" Target="#'Citations'!A139" TargetMode="External" Id="rId83" /><Relationship Type="http://schemas.openxmlformats.org/officeDocument/2006/relationships/hyperlink" Target="#'Claims'!A207" TargetMode="External" Id="rId84" /><Relationship Type="http://schemas.openxmlformats.org/officeDocument/2006/relationships/hyperlink" Target="#'Citations'!A141" TargetMode="External" Id="rId85" /><Relationship Type="http://schemas.openxmlformats.org/officeDocument/2006/relationships/hyperlink" Target="#'Claims'!A208" TargetMode="External" Id="rId86" /><Relationship Type="http://schemas.openxmlformats.org/officeDocument/2006/relationships/hyperlink" Target="#'Citations'!A143" TargetMode="External" Id="rId87" /><Relationship Type="http://schemas.openxmlformats.org/officeDocument/2006/relationships/hyperlink" Target="#'Claims'!A209" TargetMode="External" Id="rId88" /><Relationship Type="http://schemas.openxmlformats.org/officeDocument/2006/relationships/hyperlink" Target="#'Citations'!A144" TargetMode="External" Id="rId89" /><Relationship Type="http://schemas.openxmlformats.org/officeDocument/2006/relationships/hyperlink" Target="#'Claims'!A210" TargetMode="External" Id="rId90" /><Relationship Type="http://schemas.openxmlformats.org/officeDocument/2006/relationships/hyperlink" Target="#'Citations'!A145" TargetMode="External" Id="rId91" /><Relationship Type="http://schemas.openxmlformats.org/officeDocument/2006/relationships/hyperlink" Target="#'Claims'!A211" TargetMode="External" Id="rId92" /><Relationship Type="http://schemas.openxmlformats.org/officeDocument/2006/relationships/hyperlink" Target="#'Citations'!A146" TargetMode="External" Id="rId93" /><Relationship Type="http://schemas.openxmlformats.org/officeDocument/2006/relationships/hyperlink" Target="#'Claims'!A212" TargetMode="External" Id="rId94" /><Relationship Type="http://schemas.openxmlformats.org/officeDocument/2006/relationships/hyperlink" Target="#'Citations'!A148" TargetMode="External" Id="rId95" /><Relationship Type="http://schemas.openxmlformats.org/officeDocument/2006/relationships/hyperlink" Target="#'Claims'!A213" TargetMode="External" Id="rId96" /><Relationship Type="http://schemas.openxmlformats.org/officeDocument/2006/relationships/hyperlink" Target="#'Citations'!A149" TargetMode="External" Id="rId97" /><Relationship Type="http://schemas.openxmlformats.org/officeDocument/2006/relationships/hyperlink" Target="#'Claims'!A214" TargetMode="External" Id="rId98" /><Relationship Type="http://schemas.openxmlformats.org/officeDocument/2006/relationships/hyperlink" Target="#'Citations'!A151" TargetMode="External" Id="rId99" /><Relationship Type="http://schemas.openxmlformats.org/officeDocument/2006/relationships/hyperlink" Target="#'Claims'!A215" TargetMode="External" Id="rId100" /><Relationship Type="http://schemas.openxmlformats.org/officeDocument/2006/relationships/table" Target="/xl/tables/table2.xml" Id="rId101" /></Relationships>
</file>

<file path=xl/worksheets/_rels/sheet3.xml.rels><Relationships xmlns="http://schemas.openxmlformats.org/package/2006/relationships"><Relationship Type="http://schemas.openxmlformats.org/officeDocument/2006/relationships/hyperlink" Target="#'Citations'!A154" TargetMode="External" Id="rId1" /><Relationship Type="http://schemas.openxmlformats.org/officeDocument/2006/relationships/hyperlink" Target="#'Claims'!A19" TargetMode="External" Id="rId2" /><Relationship Type="http://schemas.openxmlformats.org/officeDocument/2006/relationships/hyperlink" Target="#'Citations'!A155" TargetMode="External" Id="rId3" /><Relationship Type="http://schemas.openxmlformats.org/officeDocument/2006/relationships/hyperlink" Target="#'Claims'!A21" TargetMode="External" Id="rId4" /><Relationship Type="http://schemas.openxmlformats.org/officeDocument/2006/relationships/hyperlink" Target="#'Citations'!A156" TargetMode="External" Id="rId5" /><Relationship Type="http://schemas.openxmlformats.org/officeDocument/2006/relationships/hyperlink" Target="#'Claims'!A22" TargetMode="External" Id="rId6" /><Relationship Type="http://schemas.openxmlformats.org/officeDocument/2006/relationships/hyperlink" Target="#'Citations'!A157" TargetMode="External" Id="rId7" /><Relationship Type="http://schemas.openxmlformats.org/officeDocument/2006/relationships/hyperlink" Target="#'Claims'!A23" TargetMode="External" Id="rId8" /><Relationship Type="http://schemas.openxmlformats.org/officeDocument/2006/relationships/hyperlink" Target="#'Citations'!A159" TargetMode="External" Id="rId9" /><Relationship Type="http://schemas.openxmlformats.org/officeDocument/2006/relationships/hyperlink" Target="#'Claims'!A24" TargetMode="External" Id="rId10" /><Relationship Type="http://schemas.openxmlformats.org/officeDocument/2006/relationships/hyperlink" Target="#'Citations'!A160" TargetMode="External" Id="rId11" /><Relationship Type="http://schemas.openxmlformats.org/officeDocument/2006/relationships/hyperlink" Target="#'Claims'!A26" TargetMode="External" Id="rId12" /><Relationship Type="http://schemas.openxmlformats.org/officeDocument/2006/relationships/hyperlink" Target="#'Citations'!A161" TargetMode="External" Id="rId13" /><Relationship Type="http://schemas.openxmlformats.org/officeDocument/2006/relationships/hyperlink" Target="#'Claims'!A27" TargetMode="External" Id="rId14" /><Relationship Type="http://schemas.openxmlformats.org/officeDocument/2006/relationships/hyperlink" Target="#'Citations'!A162" TargetMode="External" Id="rId15" /><Relationship Type="http://schemas.openxmlformats.org/officeDocument/2006/relationships/hyperlink" Target="#'Claims'!A29" TargetMode="External" Id="rId16" /><Relationship Type="http://schemas.openxmlformats.org/officeDocument/2006/relationships/hyperlink" Target="#'Citations'!A163" TargetMode="External" Id="rId17" /><Relationship Type="http://schemas.openxmlformats.org/officeDocument/2006/relationships/hyperlink" Target="#'Claims'!A30" TargetMode="External" Id="rId18" /><Relationship Type="http://schemas.openxmlformats.org/officeDocument/2006/relationships/hyperlink" Target="#'Citations'!A164" TargetMode="External" Id="rId19" /><Relationship Type="http://schemas.openxmlformats.org/officeDocument/2006/relationships/hyperlink" Target="#'Claims'!A31" TargetMode="External" Id="rId20" /><Relationship Type="http://schemas.openxmlformats.org/officeDocument/2006/relationships/hyperlink" Target="#'Citations'!A166" TargetMode="External" Id="rId21" /><Relationship Type="http://schemas.openxmlformats.org/officeDocument/2006/relationships/hyperlink" Target="#'Claims'!A32" TargetMode="External" Id="rId22" /><Relationship Type="http://schemas.openxmlformats.org/officeDocument/2006/relationships/hyperlink" Target="#'Citations'!A168" TargetMode="External" Id="rId23" /><Relationship Type="http://schemas.openxmlformats.org/officeDocument/2006/relationships/hyperlink" Target="#'Claims'!A33" TargetMode="External" Id="rId24" /><Relationship Type="http://schemas.openxmlformats.org/officeDocument/2006/relationships/hyperlink" Target="#'Citations'!A169" TargetMode="External" Id="rId25" /><Relationship Type="http://schemas.openxmlformats.org/officeDocument/2006/relationships/hyperlink" Target="#'Claims'!A34" TargetMode="External" Id="rId26" /><Relationship Type="http://schemas.openxmlformats.org/officeDocument/2006/relationships/hyperlink" Target="#'Citations'!A170" TargetMode="External" Id="rId27" /><Relationship Type="http://schemas.openxmlformats.org/officeDocument/2006/relationships/hyperlink" Target="#'Claims'!A36" TargetMode="External" Id="rId28" /><Relationship Type="http://schemas.openxmlformats.org/officeDocument/2006/relationships/hyperlink" Target="#'Citations'!A171" TargetMode="External" Id="rId29" /><Relationship Type="http://schemas.openxmlformats.org/officeDocument/2006/relationships/hyperlink" Target="#'Claims'!A37" TargetMode="External" Id="rId30" /><Relationship Type="http://schemas.openxmlformats.org/officeDocument/2006/relationships/hyperlink" Target="#'Citations'!A173" TargetMode="External" Id="rId31" /><Relationship Type="http://schemas.openxmlformats.org/officeDocument/2006/relationships/hyperlink" Target="#'Claims'!A38" TargetMode="External" Id="rId32" /><Relationship Type="http://schemas.openxmlformats.org/officeDocument/2006/relationships/hyperlink" Target="#'Citations'!A174" TargetMode="External" Id="rId33" /><Relationship Type="http://schemas.openxmlformats.org/officeDocument/2006/relationships/hyperlink" Target="#'Claims'!A40" TargetMode="External" Id="rId34" /><Relationship Type="http://schemas.openxmlformats.org/officeDocument/2006/relationships/hyperlink" Target="#'Citations'!A175" TargetMode="External" Id="rId35" /><Relationship Type="http://schemas.openxmlformats.org/officeDocument/2006/relationships/hyperlink" Target="#'Claims'!A42" TargetMode="External" Id="rId36" /><Relationship Type="http://schemas.openxmlformats.org/officeDocument/2006/relationships/hyperlink" Target="#'Citations'!A176" TargetMode="External" Id="rId37" /><Relationship Type="http://schemas.openxmlformats.org/officeDocument/2006/relationships/hyperlink" Target="#'Claims'!A43" TargetMode="External" Id="rId38" /><Relationship Type="http://schemas.openxmlformats.org/officeDocument/2006/relationships/hyperlink" Target="#'Citations'!A178" TargetMode="External" Id="rId39" /><Relationship Type="http://schemas.openxmlformats.org/officeDocument/2006/relationships/hyperlink" Target="#'Claims'!A44" TargetMode="External" Id="rId40" /><Relationship Type="http://schemas.openxmlformats.org/officeDocument/2006/relationships/hyperlink" Target="#'Citations'!A179" TargetMode="External" Id="rId41" /><Relationship Type="http://schemas.openxmlformats.org/officeDocument/2006/relationships/hyperlink" Target="#'Claims'!A45" TargetMode="External" Id="rId42" /><Relationship Type="http://schemas.openxmlformats.org/officeDocument/2006/relationships/hyperlink" Target="#'Citations'!A181" TargetMode="External" Id="rId43" /><Relationship Type="http://schemas.openxmlformats.org/officeDocument/2006/relationships/hyperlink" Target="#'Claims'!A46" TargetMode="External" Id="rId44" /><Relationship Type="http://schemas.openxmlformats.org/officeDocument/2006/relationships/hyperlink" Target="#'Citations'!A182" TargetMode="External" Id="rId45" /><Relationship Type="http://schemas.openxmlformats.org/officeDocument/2006/relationships/hyperlink" Target="#'Claims'!A48" TargetMode="External" Id="rId46" /><Relationship Type="http://schemas.openxmlformats.org/officeDocument/2006/relationships/hyperlink" Target="#'Citations'!A184" TargetMode="External" Id="rId47" /><Relationship Type="http://schemas.openxmlformats.org/officeDocument/2006/relationships/hyperlink" Target="#'Claims'!A50" TargetMode="External" Id="rId48" /><Relationship Type="http://schemas.openxmlformats.org/officeDocument/2006/relationships/hyperlink" Target="#'Citations'!A186" TargetMode="External" Id="rId49" /><Relationship Type="http://schemas.openxmlformats.org/officeDocument/2006/relationships/hyperlink" Target="#'Claims'!A51" TargetMode="External" Id="rId50" /><Relationship Type="http://schemas.openxmlformats.org/officeDocument/2006/relationships/table" Target="/xl/tables/table3.xml" Id="rId51" /></Relationships>
</file>

<file path=xl/worksheets/_rels/sheet4.xml.rels><Relationships xmlns="http://schemas.openxmlformats.org/package/2006/relationships"><Relationship Type="http://schemas.openxmlformats.org/officeDocument/2006/relationships/hyperlink" Target="#'Citations'!A188" TargetMode="External" Id="rId1" /><Relationship Type="http://schemas.openxmlformats.org/officeDocument/2006/relationships/hyperlink" Target="#'Claims'!A52" TargetMode="External" Id="rId2" /><Relationship Type="http://schemas.openxmlformats.org/officeDocument/2006/relationships/hyperlink" Target="#'Citations'!A189" TargetMode="External" Id="rId3" /><Relationship Type="http://schemas.openxmlformats.org/officeDocument/2006/relationships/hyperlink" Target="#'Claims'!A57" TargetMode="External" Id="rId4" /><Relationship Type="http://schemas.openxmlformats.org/officeDocument/2006/relationships/hyperlink" Target="#'Citations'!A190" TargetMode="External" Id="rId5" /><Relationship Type="http://schemas.openxmlformats.org/officeDocument/2006/relationships/hyperlink" Target="#'Claims'!A63" TargetMode="External" Id="rId6" /><Relationship Type="http://schemas.openxmlformats.org/officeDocument/2006/relationships/hyperlink" Target="#'Citations'!A191" TargetMode="External" Id="rId7" /><Relationship Type="http://schemas.openxmlformats.org/officeDocument/2006/relationships/hyperlink" Target="#'Claims'!A68" TargetMode="External" Id="rId8" /><Relationship Type="http://schemas.openxmlformats.org/officeDocument/2006/relationships/hyperlink" Target="#'Citations'!A192" TargetMode="External" Id="rId9" /><Relationship Type="http://schemas.openxmlformats.org/officeDocument/2006/relationships/hyperlink" Target="#'Claims'!A74" TargetMode="External" Id="rId10" /><Relationship Type="http://schemas.openxmlformats.org/officeDocument/2006/relationships/hyperlink" Target="#'Citations'!A194" TargetMode="External" Id="rId11" /><Relationship Type="http://schemas.openxmlformats.org/officeDocument/2006/relationships/hyperlink" Target="#'Claims'!A80" TargetMode="External" Id="rId12" /><Relationship Type="http://schemas.openxmlformats.org/officeDocument/2006/relationships/hyperlink" Target="#'Citations'!A195" TargetMode="External" Id="rId13" /><Relationship Type="http://schemas.openxmlformats.org/officeDocument/2006/relationships/hyperlink" Target="#'Claims'!A86" TargetMode="External" Id="rId14" /><Relationship Type="http://schemas.openxmlformats.org/officeDocument/2006/relationships/table" Target="/xl/tables/table4.xml" Id="rId15" /></Relationships>
</file>

<file path=xl/worksheets/_rels/sheet5.xml.rels><Relationships xmlns="http://schemas.openxmlformats.org/package/2006/relationships"><Relationship Type="http://schemas.openxmlformats.org/officeDocument/2006/relationships/hyperlink" Target="#'Citations'!A197" TargetMode="External" Id="rId1" /><Relationship Type="http://schemas.openxmlformats.org/officeDocument/2006/relationships/hyperlink" Target="#'Claims'!A92" TargetMode="External" Id="rId2" /><Relationship Type="http://schemas.openxmlformats.org/officeDocument/2006/relationships/hyperlink" Target="#'Citations'!A199" TargetMode="External" Id="rId3" /><Relationship Type="http://schemas.openxmlformats.org/officeDocument/2006/relationships/hyperlink" Target="#'Claims'!A93" TargetMode="External" Id="rId4" /><Relationship Type="http://schemas.openxmlformats.org/officeDocument/2006/relationships/hyperlink" Target="#'Citations'!A201" TargetMode="External" Id="rId5" /><Relationship Type="http://schemas.openxmlformats.org/officeDocument/2006/relationships/hyperlink" Target="#'Claims'!A94" TargetMode="External" Id="rId6" /><Relationship Type="http://schemas.openxmlformats.org/officeDocument/2006/relationships/hyperlink" Target="#'Citations'!A204" TargetMode="External" Id="rId7" /><Relationship Type="http://schemas.openxmlformats.org/officeDocument/2006/relationships/hyperlink" Target="#'Claims'!A95" TargetMode="External" Id="rId8" /><Relationship Type="http://schemas.openxmlformats.org/officeDocument/2006/relationships/hyperlink" Target="#'Citations'!A206" TargetMode="External" Id="rId9" /><Relationship Type="http://schemas.openxmlformats.org/officeDocument/2006/relationships/hyperlink" Target="#'Claims'!A98" TargetMode="External" Id="rId10" /><Relationship Type="http://schemas.openxmlformats.org/officeDocument/2006/relationships/hyperlink" Target="#'Citations'!A208" TargetMode="External" Id="rId11" /><Relationship Type="http://schemas.openxmlformats.org/officeDocument/2006/relationships/hyperlink" Target="#'Claims'!A101" TargetMode="External" Id="rId12" /><Relationship Type="http://schemas.openxmlformats.org/officeDocument/2006/relationships/hyperlink" Target="#'Citations'!A210" TargetMode="External" Id="rId13" /><Relationship Type="http://schemas.openxmlformats.org/officeDocument/2006/relationships/hyperlink" Target="#'Claims'!A103" TargetMode="External" Id="rId14" /><Relationship Type="http://schemas.openxmlformats.org/officeDocument/2006/relationships/hyperlink" Target="#'Citations'!A212" TargetMode="External" Id="rId15" /><Relationship Type="http://schemas.openxmlformats.org/officeDocument/2006/relationships/hyperlink" Target="#'Claims'!A105" TargetMode="External" Id="rId16" /><Relationship Type="http://schemas.openxmlformats.org/officeDocument/2006/relationships/hyperlink" Target="#'Citations'!A214" TargetMode="External" Id="rId17" /><Relationship Type="http://schemas.openxmlformats.org/officeDocument/2006/relationships/hyperlink" Target="#'Claims'!A107" TargetMode="External" Id="rId18" /><Relationship Type="http://schemas.openxmlformats.org/officeDocument/2006/relationships/hyperlink" Target="#'Citations'!A215" TargetMode="External" Id="rId19" /><Relationship Type="http://schemas.openxmlformats.org/officeDocument/2006/relationships/hyperlink" Target="#'Claims'!A109" TargetMode="External" Id="rId20" /><Relationship Type="http://schemas.openxmlformats.org/officeDocument/2006/relationships/hyperlink" Target="#'Citations'!A216" TargetMode="External" Id="rId21" /><Relationship Type="http://schemas.openxmlformats.org/officeDocument/2006/relationships/hyperlink" Target="#'Claims'!A110" TargetMode="External" Id="rId22" /><Relationship Type="http://schemas.openxmlformats.org/officeDocument/2006/relationships/hyperlink" Target="#'Citations'!A218" TargetMode="External" Id="rId23" /><Relationship Type="http://schemas.openxmlformats.org/officeDocument/2006/relationships/hyperlink" Target="#'Claims'!A112" TargetMode="External" Id="rId24" /><Relationship Type="http://schemas.openxmlformats.org/officeDocument/2006/relationships/hyperlink" Target="#'Citations'!A219" TargetMode="External" Id="rId25" /><Relationship Type="http://schemas.openxmlformats.org/officeDocument/2006/relationships/hyperlink" Target="#'Claims'!A113" TargetMode="External" Id="rId26" /><Relationship Type="http://schemas.openxmlformats.org/officeDocument/2006/relationships/table" Target="/xl/tables/table5.xml" Id="rId27" /></Relationships>
</file>

<file path=xl/worksheets/_rels/sheet6.xml.rels><Relationships xmlns="http://schemas.openxmlformats.org/package/2006/relationships"><Relationship Type="http://schemas.openxmlformats.org/officeDocument/2006/relationships/hyperlink" Target="#'Policy &amp; Governance'!A6" TargetMode="External" Id="rId1" /><Relationship Type="http://schemas.openxmlformats.org/officeDocument/2006/relationships/hyperlink" Target="#'Citations'!A221" TargetMode="External" Id="rId2" /><Relationship Type="http://schemas.openxmlformats.org/officeDocument/2006/relationships/hyperlink" Target="#'Claims'!A114" TargetMode="External" Id="rId3" /><Relationship Type="http://schemas.openxmlformats.org/officeDocument/2006/relationships/hyperlink" Target="#'Policy &amp; Governance'!A7" TargetMode="External" Id="rId4" /><Relationship Type="http://schemas.openxmlformats.org/officeDocument/2006/relationships/hyperlink" Target="#'Citations'!A223" TargetMode="External" Id="rId5" /><Relationship Type="http://schemas.openxmlformats.org/officeDocument/2006/relationships/hyperlink" Target="#'Claims'!A115" TargetMode="External" Id="rId6" /><Relationship Type="http://schemas.openxmlformats.org/officeDocument/2006/relationships/hyperlink" Target="#'Policy &amp; Governance'!A8" TargetMode="External" Id="rId7" /><Relationship Type="http://schemas.openxmlformats.org/officeDocument/2006/relationships/hyperlink" Target="#'Citations'!A225" TargetMode="External" Id="rId8" /><Relationship Type="http://schemas.openxmlformats.org/officeDocument/2006/relationships/hyperlink" Target="#'Claims'!A116" TargetMode="External" Id="rId9" /><Relationship Type="http://schemas.openxmlformats.org/officeDocument/2006/relationships/hyperlink" Target="#'Policy &amp; Governance'!A9" TargetMode="External" Id="rId10" /><Relationship Type="http://schemas.openxmlformats.org/officeDocument/2006/relationships/hyperlink" Target="#'Citations'!A227" TargetMode="External" Id="rId11" /><Relationship Type="http://schemas.openxmlformats.org/officeDocument/2006/relationships/hyperlink" Target="#'Claims'!A117" TargetMode="External" Id="rId12" /><Relationship Type="http://schemas.openxmlformats.org/officeDocument/2006/relationships/hyperlink" Target="#'Policy &amp; Governance'!A10" TargetMode="External" Id="rId13" /><Relationship Type="http://schemas.openxmlformats.org/officeDocument/2006/relationships/hyperlink" Target="#'Citations'!A229" TargetMode="External" Id="rId14" /><Relationship Type="http://schemas.openxmlformats.org/officeDocument/2006/relationships/hyperlink" Target="#'Claims'!A118" TargetMode="External" Id="rId15" /><Relationship Type="http://schemas.openxmlformats.org/officeDocument/2006/relationships/hyperlink" Target="#'Policy &amp; Governance'!A11" TargetMode="External" Id="rId16" /><Relationship Type="http://schemas.openxmlformats.org/officeDocument/2006/relationships/hyperlink" Target="#'Citations'!A232" TargetMode="External" Id="rId17" /><Relationship Type="http://schemas.openxmlformats.org/officeDocument/2006/relationships/hyperlink" Target="#'Claims'!A119" TargetMode="External" Id="rId18" /><Relationship Type="http://schemas.openxmlformats.org/officeDocument/2006/relationships/hyperlink" Target="#'Policy &amp; Governance'!A12" TargetMode="External" Id="rId19" /><Relationship Type="http://schemas.openxmlformats.org/officeDocument/2006/relationships/hyperlink" Target="#'Citations'!A233" TargetMode="External" Id="rId20" /><Relationship Type="http://schemas.openxmlformats.org/officeDocument/2006/relationships/hyperlink" Target="#'Claims'!A120" TargetMode="External" Id="rId21" /><Relationship Type="http://schemas.openxmlformats.org/officeDocument/2006/relationships/hyperlink" Target="#'Policy &amp; Governance'!A13" TargetMode="External" Id="rId22" /><Relationship Type="http://schemas.openxmlformats.org/officeDocument/2006/relationships/hyperlink" Target="#'Citations'!A234" TargetMode="External" Id="rId23" /><Relationship Type="http://schemas.openxmlformats.org/officeDocument/2006/relationships/hyperlink" Target="#'Claims'!A121" TargetMode="External" Id="rId24" /><Relationship Type="http://schemas.openxmlformats.org/officeDocument/2006/relationships/hyperlink" Target="#'Policy &amp; Governance'!A14" TargetMode="External" Id="rId25" /><Relationship Type="http://schemas.openxmlformats.org/officeDocument/2006/relationships/hyperlink" Target="#'Citations'!A235" TargetMode="External" Id="rId26" /><Relationship Type="http://schemas.openxmlformats.org/officeDocument/2006/relationships/hyperlink" Target="#'Claims'!A122" TargetMode="External" Id="rId27" /><Relationship Type="http://schemas.openxmlformats.org/officeDocument/2006/relationships/hyperlink" Target="#'Policy &amp; Governance'!A15" TargetMode="External" Id="rId28" /><Relationship Type="http://schemas.openxmlformats.org/officeDocument/2006/relationships/hyperlink" Target="#'Citations'!A236" TargetMode="External" Id="rId29" /><Relationship Type="http://schemas.openxmlformats.org/officeDocument/2006/relationships/hyperlink" Target="#'Claims'!A123" TargetMode="External" Id="rId30" /><Relationship Type="http://schemas.openxmlformats.org/officeDocument/2006/relationships/hyperlink" Target="#'Policy &amp; Governance'!A16" TargetMode="External" Id="rId31" /><Relationship Type="http://schemas.openxmlformats.org/officeDocument/2006/relationships/hyperlink" Target="#'Citations'!A237" TargetMode="External" Id="rId32" /><Relationship Type="http://schemas.openxmlformats.org/officeDocument/2006/relationships/hyperlink" Target="#'Claims'!A124" TargetMode="External" Id="rId33" /><Relationship Type="http://schemas.openxmlformats.org/officeDocument/2006/relationships/hyperlink" Target="#'Policy &amp; Governance'!A17" TargetMode="External" Id="rId34" /><Relationship Type="http://schemas.openxmlformats.org/officeDocument/2006/relationships/hyperlink" Target="#'Citations'!A239" TargetMode="External" Id="rId35" /><Relationship Type="http://schemas.openxmlformats.org/officeDocument/2006/relationships/hyperlink" Target="#'Claims'!A125" TargetMode="External" Id="rId36" /><Relationship Type="http://schemas.openxmlformats.org/officeDocument/2006/relationships/hyperlink" Target="#'Policy &amp; Governance'!A18" TargetMode="External" Id="rId37" /><Relationship Type="http://schemas.openxmlformats.org/officeDocument/2006/relationships/hyperlink" Target="#'Citations'!A240" TargetMode="External" Id="rId38" /><Relationship Type="http://schemas.openxmlformats.org/officeDocument/2006/relationships/hyperlink" Target="#'Claims'!A126" TargetMode="External" Id="rId39" /><Relationship Type="http://schemas.openxmlformats.org/officeDocument/2006/relationships/table" Target="/xl/tables/table6.xml" Id="rId40" /></Relationships>
</file>

<file path=xl/worksheets/_rels/sheet7.xml.rels><Relationships xmlns="http://schemas.openxmlformats.org/package/2006/relationships"><Relationship Type="http://schemas.openxmlformats.org/officeDocument/2006/relationships/hyperlink" Target="#'Ideas &amp; Political Method'!A6" TargetMode="External" Id="rId1" /><Relationship Type="http://schemas.openxmlformats.org/officeDocument/2006/relationships/hyperlink" Target="#'Citations'!A241" TargetMode="External" Id="rId2" /><Relationship Type="http://schemas.openxmlformats.org/officeDocument/2006/relationships/hyperlink" Target="#'Claims'!A127" TargetMode="External" Id="rId3" /><Relationship Type="http://schemas.openxmlformats.org/officeDocument/2006/relationships/hyperlink" Target="#'Ideas &amp; Political Method'!A7" TargetMode="External" Id="rId4" /><Relationship Type="http://schemas.openxmlformats.org/officeDocument/2006/relationships/hyperlink" Target="#'Citations'!A243" TargetMode="External" Id="rId5" /><Relationship Type="http://schemas.openxmlformats.org/officeDocument/2006/relationships/hyperlink" Target="#'Claims'!A128" TargetMode="External" Id="rId6" /><Relationship Type="http://schemas.openxmlformats.org/officeDocument/2006/relationships/hyperlink" Target="#'Ideas &amp; Political Method'!A8" TargetMode="External" Id="rId7" /><Relationship Type="http://schemas.openxmlformats.org/officeDocument/2006/relationships/hyperlink" Target="#'Citations'!A245" TargetMode="External" Id="rId8" /><Relationship Type="http://schemas.openxmlformats.org/officeDocument/2006/relationships/hyperlink" Target="#'Claims'!A129" TargetMode="External" Id="rId9" /><Relationship Type="http://schemas.openxmlformats.org/officeDocument/2006/relationships/hyperlink" Target="#'Ideas &amp; Political Method'!A9" TargetMode="External" Id="rId10" /><Relationship Type="http://schemas.openxmlformats.org/officeDocument/2006/relationships/hyperlink" Target="#'Citations'!A247" TargetMode="External" Id="rId11" /><Relationship Type="http://schemas.openxmlformats.org/officeDocument/2006/relationships/hyperlink" Target="#'Claims'!A130" TargetMode="External" Id="rId12" /><Relationship Type="http://schemas.openxmlformats.org/officeDocument/2006/relationships/hyperlink" Target="#'Ideas &amp; Political Method'!A10" TargetMode="External" Id="rId13" /><Relationship Type="http://schemas.openxmlformats.org/officeDocument/2006/relationships/hyperlink" Target="#'Citations'!A249" TargetMode="External" Id="rId14" /><Relationship Type="http://schemas.openxmlformats.org/officeDocument/2006/relationships/hyperlink" Target="#'Claims'!A131" TargetMode="External" Id="rId15" /><Relationship Type="http://schemas.openxmlformats.org/officeDocument/2006/relationships/hyperlink" Target="#'Ideas &amp; Political Method'!A11" TargetMode="External" Id="rId16" /><Relationship Type="http://schemas.openxmlformats.org/officeDocument/2006/relationships/hyperlink" Target="#'Citations'!A250" TargetMode="External" Id="rId17" /><Relationship Type="http://schemas.openxmlformats.org/officeDocument/2006/relationships/hyperlink" Target="#'Claims'!A132" TargetMode="External" Id="rId18" /><Relationship Type="http://schemas.openxmlformats.org/officeDocument/2006/relationships/hyperlink" Target="#'Ideas &amp; Political Method'!A12" TargetMode="External" Id="rId19" /><Relationship Type="http://schemas.openxmlformats.org/officeDocument/2006/relationships/hyperlink" Target="#'Citations'!A252" TargetMode="External" Id="rId20" /><Relationship Type="http://schemas.openxmlformats.org/officeDocument/2006/relationships/hyperlink" Target="#'Claims'!A133" TargetMode="External" Id="rId21" /><Relationship Type="http://schemas.openxmlformats.org/officeDocument/2006/relationships/hyperlink" Target="#'Ideas &amp; Political Method'!A13" TargetMode="External" Id="rId22" /><Relationship Type="http://schemas.openxmlformats.org/officeDocument/2006/relationships/hyperlink" Target="#'Citations'!A254" TargetMode="External" Id="rId23" /><Relationship Type="http://schemas.openxmlformats.org/officeDocument/2006/relationships/hyperlink" Target="#'Claims'!A134" TargetMode="External" Id="rId24" /><Relationship Type="http://schemas.openxmlformats.org/officeDocument/2006/relationships/hyperlink" Target="#'Ideas &amp; Political Method'!A14" TargetMode="External" Id="rId25" /><Relationship Type="http://schemas.openxmlformats.org/officeDocument/2006/relationships/hyperlink" Target="#'Citations'!A256" TargetMode="External" Id="rId26" /><Relationship Type="http://schemas.openxmlformats.org/officeDocument/2006/relationships/hyperlink" Target="#'Claims'!A135" TargetMode="External" Id="rId27" /><Relationship Type="http://schemas.openxmlformats.org/officeDocument/2006/relationships/hyperlink" Target="#'Ideas &amp; Political Method'!A15" TargetMode="External" Id="rId28" /><Relationship Type="http://schemas.openxmlformats.org/officeDocument/2006/relationships/hyperlink" Target="#'Citations'!A258" TargetMode="External" Id="rId29" /><Relationship Type="http://schemas.openxmlformats.org/officeDocument/2006/relationships/hyperlink" Target="#'Claims'!A136" TargetMode="External" Id="rId30" /><Relationship Type="http://schemas.openxmlformats.org/officeDocument/2006/relationships/hyperlink" Target="#'Ideas &amp; Political Method'!A16" TargetMode="External" Id="rId31" /><Relationship Type="http://schemas.openxmlformats.org/officeDocument/2006/relationships/hyperlink" Target="#'Citations'!A259" TargetMode="External" Id="rId32" /><Relationship Type="http://schemas.openxmlformats.org/officeDocument/2006/relationships/hyperlink" Target="#'Claims'!A137" TargetMode="External" Id="rId33" /><Relationship Type="http://schemas.openxmlformats.org/officeDocument/2006/relationships/hyperlink" Target="#'Ideas &amp; Political Method'!A17" TargetMode="External" Id="rId34" /><Relationship Type="http://schemas.openxmlformats.org/officeDocument/2006/relationships/hyperlink" Target="#'Citations'!A261" TargetMode="External" Id="rId35" /><Relationship Type="http://schemas.openxmlformats.org/officeDocument/2006/relationships/hyperlink" Target="#'Claims'!A138" TargetMode="External" Id="rId36" /><Relationship Type="http://schemas.openxmlformats.org/officeDocument/2006/relationships/table" Target="/xl/tables/table7.xml" Id="rId37" /></Relationships>
</file>

<file path=xl/worksheets/_rels/sheet8.xml.rels><Relationships xmlns="http://schemas.openxmlformats.org/package/2006/relationships"><Relationship Type="http://schemas.openxmlformats.org/officeDocument/2006/relationships/hyperlink" Target="#'Citations'!A262" TargetMode="External" Id="rId1" /><Relationship Type="http://schemas.openxmlformats.org/officeDocument/2006/relationships/hyperlink" Target="#'Claims'!A139" TargetMode="External" Id="rId2" /><Relationship Type="http://schemas.openxmlformats.org/officeDocument/2006/relationships/hyperlink" Target="#'Citations'!A264" TargetMode="External" Id="rId3" /><Relationship Type="http://schemas.openxmlformats.org/officeDocument/2006/relationships/hyperlink" Target="#'Claims'!A142" TargetMode="External" Id="rId4" /><Relationship Type="http://schemas.openxmlformats.org/officeDocument/2006/relationships/hyperlink" Target="#'Citations'!A266" TargetMode="External" Id="rId5" /><Relationship Type="http://schemas.openxmlformats.org/officeDocument/2006/relationships/hyperlink" Target="#'Claims'!A145" TargetMode="External" Id="rId6" /><Relationship Type="http://schemas.openxmlformats.org/officeDocument/2006/relationships/hyperlink" Target="#'Citations'!A268" TargetMode="External" Id="rId7" /><Relationship Type="http://schemas.openxmlformats.org/officeDocument/2006/relationships/hyperlink" Target="#'Claims'!A148" TargetMode="External" Id="rId8" /><Relationship Type="http://schemas.openxmlformats.org/officeDocument/2006/relationships/hyperlink" Target="#'Citations'!A270" TargetMode="External" Id="rId9" /><Relationship Type="http://schemas.openxmlformats.org/officeDocument/2006/relationships/hyperlink" Target="#'Claims'!A151" TargetMode="External" Id="rId10" /><Relationship Type="http://schemas.openxmlformats.org/officeDocument/2006/relationships/hyperlink" Target="#'Citations'!A273" TargetMode="External" Id="rId11" /><Relationship Type="http://schemas.openxmlformats.org/officeDocument/2006/relationships/hyperlink" Target="#'Claims'!A154" TargetMode="External" Id="rId12" /><Relationship Type="http://schemas.openxmlformats.org/officeDocument/2006/relationships/hyperlink" Target="#'Citations'!A275" TargetMode="External" Id="rId13" /><Relationship Type="http://schemas.openxmlformats.org/officeDocument/2006/relationships/hyperlink" Target="#'Claims'!A157" TargetMode="External" Id="rId14" /><Relationship Type="http://schemas.openxmlformats.org/officeDocument/2006/relationships/table" Target="/xl/tables/table8.xml" Id="rId15" /></Relationships>
</file>

<file path=xl/worksheets/_rels/sheet9.xml.rels><Relationships xmlns="http://schemas.openxmlformats.org/package/2006/relationships"><Relationship Type="http://schemas.openxmlformats.org/officeDocument/2006/relationships/hyperlink" Target="#'Citations'!A279" TargetMode="External" Id="rId1" /><Relationship Type="http://schemas.openxmlformats.org/officeDocument/2006/relationships/hyperlink" Target="#'Claims'!A160" TargetMode="External" Id="rId2" /><Relationship Type="http://schemas.openxmlformats.org/officeDocument/2006/relationships/hyperlink" Target="#'Citations'!A280" TargetMode="External" Id="rId3" /><Relationship Type="http://schemas.openxmlformats.org/officeDocument/2006/relationships/hyperlink" Target="#'Claims'!A161" TargetMode="External" Id="rId4" /><Relationship Type="http://schemas.openxmlformats.org/officeDocument/2006/relationships/hyperlink" Target="#'Citations'!A281" TargetMode="External" Id="rId5" /><Relationship Type="http://schemas.openxmlformats.org/officeDocument/2006/relationships/hyperlink" Target="#'Claims'!A162" TargetMode="External" Id="rId6" /><Relationship Type="http://schemas.openxmlformats.org/officeDocument/2006/relationships/hyperlink" Target="#'Citations'!A283" TargetMode="External" Id="rId7" /><Relationship Type="http://schemas.openxmlformats.org/officeDocument/2006/relationships/hyperlink" Target="#'Claims'!A163" TargetMode="External" Id="rId8" /><Relationship Type="http://schemas.openxmlformats.org/officeDocument/2006/relationships/hyperlink" Target="#'Citations'!A285" TargetMode="External" Id="rId9" /><Relationship Type="http://schemas.openxmlformats.org/officeDocument/2006/relationships/hyperlink" Target="#'Claims'!A164" TargetMode="External" Id="rId10" /><Relationship Type="http://schemas.openxmlformats.org/officeDocument/2006/relationships/hyperlink" Target="#'Citations'!A287" TargetMode="External" Id="rId11" /><Relationship Type="http://schemas.openxmlformats.org/officeDocument/2006/relationships/hyperlink" Target="#'Claims'!A165" TargetMode="External" Id="rId12" /><Relationship Type="http://schemas.openxmlformats.org/officeDocument/2006/relationships/table" Target="/xl/tables/table9.xml" Id="rId13" /></Relationships>
</file>

<file path=xl/worksheets/_rels/sheet10.xml.rels><Relationships xmlns="http://schemas.openxmlformats.org/package/2006/relationships"><Relationship Type="http://schemas.openxmlformats.org/officeDocument/2006/relationships/hyperlink" Target="https://sansad.in/ls/members/biography/4074?from=members" TargetMode="External" Id="rId1" /><Relationship Type="http://schemas.openxmlformats.org/officeDocument/2006/relationships/hyperlink" Target="https://sansad.in/ls/about/leader-of-opposition" TargetMode="External" Id="rId2" /><Relationship Type="http://schemas.openxmlformats.org/officeDocument/2006/relationships/hyperlink" Target="https://prsindia.org/mptrack/18-lok-sabha/rahul-gandhi" TargetMode="External" Id="rId3" /><Relationship Type="http://schemas.openxmlformats.org/officeDocument/2006/relationships/hyperlink" Target="https://inc.in/leadership/past-party-presidents/shri-rahul-gandhi" TargetMode="External" Id="rId4" /><Relationship Type="http://schemas.openxmlformats.org/officeDocument/2006/relationships/hyperlink" Target="https://indianexpress.com/article/explained/explained-politics/rahul-gandhi-turns-53-what-he-was-doing-before-politics-8672843/lite/" TargetMode="External" Id="rId5" /><Relationship Type="http://schemas.openxmlformats.org/officeDocument/2006/relationships/hyperlink" Target="https://www.eci.gov.in/eci-backend/public/all_files/GE-2024-statistical-report/33-Constituency-Wise-Detailed-Result.pdf" TargetMode="External" Id="rId6" /><Relationship Type="http://schemas.openxmlformats.org/officeDocument/2006/relationships/hyperlink" Target="https://adrindia.org/sites/default/files/Analysis_of_Vote_Share_Margin_Of_Victory_Lok_Sabha__2019.pdf" TargetMode="External" Id="rId7" /><Relationship Type="http://schemas.openxmlformats.org/officeDocument/2006/relationships/hyperlink" Target="https://www.moneycontrol.com/elections/lok-sabha-election/uttar-pradesh/constituencies/amethi-constituency-s24led2008p037/" TargetMode="External" Id="rId8" /><Relationship Type="http://schemas.openxmlformats.org/officeDocument/2006/relationships/hyperlink" Target="https://www.elections.in/parliamentary-constituencies/2004-election-results.html" TargetMode="External" Id="rId9" /><Relationship Type="http://schemas.openxmlformats.org/officeDocument/2006/relationships/hyperlink" Target="https://api.sci.gov.in/supremecourt/2023/27941/27941_2023_4_55_45901_Order_04-Aug-2023.pdf" TargetMode="External" Id="rId10" /><Relationship Type="http://schemas.openxmlformats.org/officeDocument/2006/relationships/hyperlink" Target="https://indianexpress.com/article/political-pulse/rahul-gandhi-returns-mp-lok-sabha-supreme-court-8880307/" TargetMode="External" Id="rId11" /><Relationship Type="http://schemas.openxmlformats.org/officeDocument/2006/relationships/hyperlink" Target="https://indianexpress.com/article/legal-news/national-herald-case-gandhis-oppose-ed-plea-private-complaint-10889668/" TargetMode="External" Id="rId12" /><Relationship Type="http://schemas.openxmlformats.org/officeDocument/2006/relationships/hyperlink" Target="https://www.barandbench.com/news/only-case-where-ed-proceeded-on-private-complaint-sonia-and-rahul-gandhi-to-delhi-high-court-on-national-herald-case" TargetMode="External" Id="rId13" /><Relationship Type="http://schemas.openxmlformats.org/officeDocument/2006/relationships/hyperlink" Target="https://www.ndtv.com/india-news/rahul-gandhis-open-letter-full-text-at-times-i-stood-completely-alone-2063455" TargetMode="External" Id="rId14" /><Relationship Type="http://schemas.openxmlformats.org/officeDocument/2006/relationships/hyperlink" Target="https://indianexpress.com/article/political-pulse/rahul-modi-shah-doval-srinagar-bharat-jodo-yatra-8413548/" TargetMode="External" Id="rId15" /><Relationship Type="http://schemas.openxmlformats.org/officeDocument/2006/relationships/hyperlink" Target="https://manifesto.inc.in/en/equity/" TargetMode="External" Id="rId16" /><Relationship Type="http://schemas.openxmlformats.org/officeDocument/2006/relationships/hyperlink" Target="https://manifesto.inc.in/en/women/" TargetMode="External" Id="rId17" /><Relationship Type="http://schemas.openxmlformats.org/officeDocument/2006/relationships/hyperlink" Target="https://manifesto.inc.in/en/youth/" TargetMode="External" Id="rId18" /><Relationship Type="http://schemas.openxmlformats.org/officeDocument/2006/relationships/hyperlink" Target="https://manifesto.inc.in/en/farmers/" TargetMode="External" Id="rId19" /><Relationship Type="http://schemas.openxmlformats.org/officeDocument/2006/relationships/hyperlink" Target="https://manifesto.inc.in/en/national-security/" TargetMode="External" Id="rId20" /><Relationship Type="http://schemas.openxmlformats.org/officeDocument/2006/relationships/hyperlink" Target="https://indianexpress.com/article/political-pulse/in-kerala-youth-cong-dissent-over-rahuls-internal-election-system/" TargetMode="External" Id="rId21" /><Relationship Type="http://schemas.openxmlformats.org/officeDocument/2006/relationships/hyperlink" Target="https://timesofindia.indiatimes.com/india/youth-congress-to-retain-internal-polls/articleshow/36734347.cms" TargetMode="External" Id="rId22" /><Relationship Type="http://schemas.openxmlformats.org/officeDocument/2006/relationships/hyperlink" Target="https://www.marketscreener.com/news/latest/Ridiculed-for-a-decade-India-s-Rahul-Gandhi-slows-Modi-juggernaut-46900641/" TargetMode="External" Id="rId23" /><Relationship Type="http://schemas.openxmlformats.org/officeDocument/2006/relationships/hyperlink" Target="https://carnegieendowment.org/research/2024/09/india-election-bjp-party-politics" TargetMode="External" Id="rId24" /><Relationship Type="http://schemas.openxmlformats.org/officeDocument/2006/relationships/hyperlink" Target="https://m.thewire.in/article/politics/rahul-gandhi-t-shirt" TargetMode="External" Id="rId25" /><Relationship Type="http://schemas.openxmlformats.org/officeDocument/2006/relationships/hyperlink" Target="https://indianexpress.com/article/political-pulse/congress-camps-bihar-post-mortem-rahul-yatra-fiasco-allavaru-problem-weak-structure-10375553/" TargetMode="External" Id="rId26" /><Relationship Type="http://schemas.openxmlformats.org/officeDocument/2006/relationships/hyperlink" Target="https://indianexpress.com/article/political-pulse/rahul-equallyresponsible-bihar-loss-poll-review-10390484/" TargetMode="External" Id="rId27" /><Relationship Type="http://schemas.openxmlformats.org/officeDocument/2006/relationships/hyperlink" Target="https://www.ndtv.com/india-news/rs-72-000-will-be-given-to-beneficiaries-under-nyay-scheme-rahul-gandhi-2031993" TargetMode="External" Id="rId28" /><Relationship Type="http://schemas.openxmlformats.org/officeDocument/2006/relationships/hyperlink" Target="https://indianexpress.com/article/india/rafale-case-sc-closes-defamation-case-against-rahul-gandhi-says-he-needs-to-be-more-careful/" TargetMode="External" Id="rId29" /><Relationship Type="http://schemas.openxmlformats.org/officeDocument/2006/relationships/hyperlink" Target="https://timesofindia.indiatimes.com/india/rahul-gandhi-press-conference-on-ec-gyanesh-kumar-resignation-sir-congress-vote-chori-election-bjp/articleshow/134457370.cms" TargetMode="External" Id="rId30" /><Relationship Type="http://schemas.openxmlformats.org/officeDocument/2006/relationships/hyperlink" Target="https://indianexpress.com/article/india/rahul-gandhi-vote-chori-cec-gyanesh-kumar-protecting-killing-democracy-10257103/" TargetMode="External" Id="rId31" /><Relationship Type="http://schemas.openxmlformats.org/officeDocument/2006/relationships/hyperlink" Target="https://prsindia.org/billtrack/the-right-to-fair-compensation-and-transparency-in-land-acquisition-rehabilitation-and-resettlement-second-amendment-bill-2015" TargetMode="External" Id="rId32" /><Relationship Type="http://schemas.openxmlformats.org/officeDocument/2006/relationships/hyperlink" Target="https://indianexpress.com/article/india/lok-sabha-rahul-gandhi-women-reservation-bill-obc-quota-8948629/" TargetMode="External" Id="rId33" /><Relationship Type="http://schemas.openxmlformats.org/officeDocument/2006/relationships/hyperlink" Target="https://www.ndtv.com/assembly/i-take-responsibility-says-rahul-gandhi-about-up-results-470319" TargetMode="External" Id="rId34" /><Relationship Type="http://schemas.openxmlformats.org/officeDocument/2006/relationships/hyperlink" Target="https://indianexpress.com/article/india/rahul-gandhi-caste-census-population-congress-centre-cabinet-9975117/" TargetMode="External" Id="rId35" /><Relationship Type="http://schemas.openxmlformats.org/officeDocument/2006/relationships/hyperlink" Target="https://www.pib.gov.in/PressReleasePage.aspx?PRID=2125576" TargetMode="External" Id="rId36" /><Relationship Type="http://schemas.openxmlformats.org/officeDocument/2006/relationships/hyperlink" Target="https://economictimes.indiatimes.com/news/politics-and-nation/rahul-gandhi-vows-to-oppose-land-bill-inside-and-outside-parliament/articleshow/47249971.cms" TargetMode="External" Id="rId37" /><Relationship Type="http://schemas.openxmlformats.org/officeDocument/2006/relationships/hyperlink" Target="https://www.ndtv.com/india-news/rahul-gandhi-calls-ordinance-on-convicted-lawmakers-nonsense-huge-embarrassment-for-pm-535906" TargetMode="External" Id="rId38" /><Relationship Type="http://schemas.openxmlformats.org/officeDocument/2006/relationships/hyperlink" Target="https://www.business-standard.com/article/politics/govt-bows-before-rahul-withdraws-ordinance-plan-113100200706_1.html" TargetMode="External" Id="rId39" /><Relationship Type="http://schemas.openxmlformats.org/officeDocument/2006/relationships/hyperlink" Target="https://www.ndtv.com/india-news/election-results-2018-live-rajasthan-madhya-pradesh-telangana-chhattisgarh-mizoram-1960481" TargetMode="External" Id="rId40" /><Relationship Type="http://schemas.openxmlformats.org/officeDocument/2006/relationships/hyperlink" Target="https://www.ceo.kerala.gov.in/electedmembers" TargetMode="External" Id="rId41" /><Relationship Type="http://schemas.openxmlformats.org/officeDocument/2006/relationships/hyperlink" Target="https://prsindia.org/mptrack/17-lok-sabha/rahul-gandhi" TargetMode="External" Id="rId42" /><Relationship Type="http://schemas.openxmlformats.org/officeDocument/2006/relationships/hyperlink" Target="https://www.ndtv.com/india-news/rahul-gandhi-resigns-from-wayanad-seat-retains-raebareli-5918402" TargetMode="External" Id="rId43" /><Relationship Type="http://schemas.openxmlformats.org/officeDocument/2006/relationships/table" Target="/xl/tables/table10.xml" Id="rId44" /></Relationships>
</file>

<file path=xl/worksheets/_rels/sheet11.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Evidence'!A6" TargetMode="External" Id="rId2" /><Relationship Type="http://schemas.openxmlformats.org/officeDocument/2006/relationships/hyperlink" Target="#'Citations'!A6" TargetMode="External" Id="rId3" /><Relationship Type="http://schemas.openxmlformats.org/officeDocument/2006/relationships/hyperlink" Target="#'Overview'!A7" TargetMode="External" Id="rId4" /><Relationship Type="http://schemas.openxmlformats.org/officeDocument/2006/relationships/hyperlink" Target="#'Evidence'!A7" TargetMode="External" Id="rId5" /><Relationship Type="http://schemas.openxmlformats.org/officeDocument/2006/relationships/hyperlink" Target="#'Citations'!A7" TargetMode="External" Id="rId6" /><Relationship Type="http://schemas.openxmlformats.org/officeDocument/2006/relationships/hyperlink" Target="#'Overview'!A8" TargetMode="External" Id="rId7" /><Relationship Type="http://schemas.openxmlformats.org/officeDocument/2006/relationships/hyperlink" Target="#'Evidence'!A9" TargetMode="External" Id="rId8" /><Relationship Type="http://schemas.openxmlformats.org/officeDocument/2006/relationships/hyperlink" Target="#'Citations'!A9" TargetMode="External" Id="rId9" /><Relationship Type="http://schemas.openxmlformats.org/officeDocument/2006/relationships/hyperlink" Target="#'Overview'!A9" TargetMode="External" Id="rId10" /><Relationship Type="http://schemas.openxmlformats.org/officeDocument/2006/relationships/hyperlink" Target="#'Evidence'!A13" TargetMode="External" Id="rId11" /><Relationship Type="http://schemas.openxmlformats.org/officeDocument/2006/relationships/hyperlink" Target="#'Citations'!A13" TargetMode="External" Id="rId12" /><Relationship Type="http://schemas.openxmlformats.org/officeDocument/2006/relationships/hyperlink" Target="#'Overview'!A10" TargetMode="External" Id="rId13" /><Relationship Type="http://schemas.openxmlformats.org/officeDocument/2006/relationships/hyperlink" Target="#'Evidence'!A15" TargetMode="External" Id="rId14" /><Relationship Type="http://schemas.openxmlformats.org/officeDocument/2006/relationships/hyperlink" Target="#'Citations'!A15" TargetMode="External" Id="rId15" /><Relationship Type="http://schemas.openxmlformats.org/officeDocument/2006/relationships/hyperlink" Target="#'Overview'!A11" TargetMode="External" Id="rId16" /><Relationship Type="http://schemas.openxmlformats.org/officeDocument/2006/relationships/hyperlink" Target="#'Evidence'!A17" TargetMode="External" Id="rId17" /><Relationship Type="http://schemas.openxmlformats.org/officeDocument/2006/relationships/hyperlink" Target="#'Citations'!A17" TargetMode="External" Id="rId18" /><Relationship Type="http://schemas.openxmlformats.org/officeDocument/2006/relationships/hyperlink" Target="#'Overview'!A12" TargetMode="External" Id="rId19" /><Relationship Type="http://schemas.openxmlformats.org/officeDocument/2006/relationships/hyperlink" Target="#'Evidence'!A21" TargetMode="External" Id="rId20" /><Relationship Type="http://schemas.openxmlformats.org/officeDocument/2006/relationships/hyperlink" Target="#'Citations'!A21" TargetMode="External" Id="rId21" /><Relationship Type="http://schemas.openxmlformats.org/officeDocument/2006/relationships/hyperlink" Target="#'Overview'!A13" TargetMode="External" Id="rId22" /><Relationship Type="http://schemas.openxmlformats.org/officeDocument/2006/relationships/hyperlink" Target="#'Evidence'!A25" TargetMode="External" Id="rId23" /><Relationship Type="http://schemas.openxmlformats.org/officeDocument/2006/relationships/hyperlink" Target="#'Citations'!A25" TargetMode="External" Id="rId24" /><Relationship Type="http://schemas.openxmlformats.org/officeDocument/2006/relationships/hyperlink" Target="#'Overview'!A14" TargetMode="External" Id="rId25" /><Relationship Type="http://schemas.openxmlformats.org/officeDocument/2006/relationships/hyperlink" Target="#'Evidence'!A30" TargetMode="External" Id="rId26" /><Relationship Type="http://schemas.openxmlformats.org/officeDocument/2006/relationships/hyperlink" Target="#'Citations'!A30" TargetMode="External" Id="rId27" /><Relationship Type="http://schemas.openxmlformats.org/officeDocument/2006/relationships/hyperlink" Target="#'Overview'!A15" TargetMode="External" Id="rId28" /><Relationship Type="http://schemas.openxmlformats.org/officeDocument/2006/relationships/hyperlink" Target="#'Evidence'!A36" TargetMode="External" Id="rId29" /><Relationship Type="http://schemas.openxmlformats.org/officeDocument/2006/relationships/hyperlink" Target="#'Citations'!A36" TargetMode="External" Id="rId30" /><Relationship Type="http://schemas.openxmlformats.org/officeDocument/2006/relationships/hyperlink" Target="#'Overview'!A16" TargetMode="External" Id="rId31" /><Relationship Type="http://schemas.openxmlformats.org/officeDocument/2006/relationships/hyperlink" Target="#'Evidence'!A40" TargetMode="External" Id="rId32" /><Relationship Type="http://schemas.openxmlformats.org/officeDocument/2006/relationships/hyperlink" Target="#'Citations'!A40" TargetMode="External" Id="rId33" /><Relationship Type="http://schemas.openxmlformats.org/officeDocument/2006/relationships/hyperlink" Target="#'Overview'!A17" TargetMode="External" Id="rId34" /><Relationship Type="http://schemas.openxmlformats.org/officeDocument/2006/relationships/hyperlink" Target="#'Evidence'!A43" TargetMode="External" Id="rId35" /><Relationship Type="http://schemas.openxmlformats.org/officeDocument/2006/relationships/hyperlink" Target="#'Citations'!A43" TargetMode="External" Id="rId36" /><Relationship Type="http://schemas.openxmlformats.org/officeDocument/2006/relationships/hyperlink" Target="#'Overview'!A18" TargetMode="External" Id="rId37" /><Relationship Type="http://schemas.openxmlformats.org/officeDocument/2006/relationships/hyperlink" Target="#'Evidence'!A46" TargetMode="External" Id="rId38" /><Relationship Type="http://schemas.openxmlformats.org/officeDocument/2006/relationships/hyperlink" Target="#'Citations'!A46" TargetMode="External" Id="rId39" /><Relationship Type="http://schemas.openxmlformats.org/officeDocument/2006/relationships/hyperlink" Target="#'Career Timeline'!A6" TargetMode="External" Id="rId40" /><Relationship Type="http://schemas.openxmlformats.org/officeDocument/2006/relationships/hyperlink" Target="#'Evidence'!A49" TargetMode="External" Id="rId41" /><Relationship Type="http://schemas.openxmlformats.org/officeDocument/2006/relationships/hyperlink" Target="#'Citations'!A154" TargetMode="External" Id="rId42" /><Relationship Type="http://schemas.openxmlformats.org/officeDocument/2006/relationships/hyperlink" Target="#'Career Timeline'!A6" TargetMode="External" Id="rId43" /><Relationship Type="http://schemas.openxmlformats.org/officeDocument/2006/relationships/hyperlink" Target="#'Evidence'!A50" TargetMode="External" Id="rId44" /><Relationship Type="http://schemas.openxmlformats.org/officeDocument/2006/relationships/hyperlink" Target="#'Citations'!A154" TargetMode="External" Id="rId45" /><Relationship Type="http://schemas.openxmlformats.org/officeDocument/2006/relationships/hyperlink" Target="#'Career Timeline'!A7" TargetMode="External" Id="rId46" /><Relationship Type="http://schemas.openxmlformats.org/officeDocument/2006/relationships/hyperlink" Target="#'Evidence'!A51" TargetMode="External" Id="rId47" /><Relationship Type="http://schemas.openxmlformats.org/officeDocument/2006/relationships/hyperlink" Target="#'Citations'!A155" TargetMode="External" Id="rId48" /><Relationship Type="http://schemas.openxmlformats.org/officeDocument/2006/relationships/hyperlink" Target="#'Career Timeline'!A8" TargetMode="External" Id="rId49" /><Relationship Type="http://schemas.openxmlformats.org/officeDocument/2006/relationships/hyperlink" Target="#'Evidence'!A52" TargetMode="External" Id="rId50" /><Relationship Type="http://schemas.openxmlformats.org/officeDocument/2006/relationships/hyperlink" Target="#'Citations'!A156" TargetMode="External" Id="rId51" /><Relationship Type="http://schemas.openxmlformats.org/officeDocument/2006/relationships/hyperlink" Target="#'Career Timeline'!A9" TargetMode="External" Id="rId52" /><Relationship Type="http://schemas.openxmlformats.org/officeDocument/2006/relationships/hyperlink" Target="#'Evidence'!A53" TargetMode="External" Id="rId53" /><Relationship Type="http://schemas.openxmlformats.org/officeDocument/2006/relationships/hyperlink" Target="#'Citations'!A157" TargetMode="External" Id="rId54" /><Relationship Type="http://schemas.openxmlformats.org/officeDocument/2006/relationships/hyperlink" Target="#'Career Timeline'!A10" TargetMode="External" Id="rId55" /><Relationship Type="http://schemas.openxmlformats.org/officeDocument/2006/relationships/hyperlink" Target="#'Evidence'!A55" TargetMode="External" Id="rId56" /><Relationship Type="http://schemas.openxmlformats.org/officeDocument/2006/relationships/hyperlink" Target="#'Citations'!A159" TargetMode="External" Id="rId57" /><Relationship Type="http://schemas.openxmlformats.org/officeDocument/2006/relationships/hyperlink" Target="#'Career Timeline'!A10" TargetMode="External" Id="rId58" /><Relationship Type="http://schemas.openxmlformats.org/officeDocument/2006/relationships/hyperlink" Target="#'Evidence'!A56" TargetMode="External" Id="rId59" /><Relationship Type="http://schemas.openxmlformats.org/officeDocument/2006/relationships/hyperlink" Target="#'Citations'!A159" TargetMode="External" Id="rId60" /><Relationship Type="http://schemas.openxmlformats.org/officeDocument/2006/relationships/hyperlink" Target="#'Career Timeline'!A11" TargetMode="External" Id="rId61" /><Relationship Type="http://schemas.openxmlformats.org/officeDocument/2006/relationships/hyperlink" Target="#'Evidence'!A57" TargetMode="External" Id="rId62" /><Relationship Type="http://schemas.openxmlformats.org/officeDocument/2006/relationships/hyperlink" Target="#'Citations'!A160" TargetMode="External" Id="rId63" /><Relationship Type="http://schemas.openxmlformats.org/officeDocument/2006/relationships/hyperlink" Target="#'Career Timeline'!A12" TargetMode="External" Id="rId64" /><Relationship Type="http://schemas.openxmlformats.org/officeDocument/2006/relationships/hyperlink" Target="#'Evidence'!A58" TargetMode="External" Id="rId65" /><Relationship Type="http://schemas.openxmlformats.org/officeDocument/2006/relationships/hyperlink" Target="#'Citations'!A161" TargetMode="External" Id="rId66" /><Relationship Type="http://schemas.openxmlformats.org/officeDocument/2006/relationships/hyperlink" Target="#'Career Timeline'!A12" TargetMode="External" Id="rId67" /><Relationship Type="http://schemas.openxmlformats.org/officeDocument/2006/relationships/hyperlink" Target="#'Evidence'!A59" TargetMode="External" Id="rId68" /><Relationship Type="http://schemas.openxmlformats.org/officeDocument/2006/relationships/hyperlink" Target="#'Citations'!A161" TargetMode="External" Id="rId69" /><Relationship Type="http://schemas.openxmlformats.org/officeDocument/2006/relationships/hyperlink" Target="#'Career Timeline'!A13" TargetMode="External" Id="rId70" /><Relationship Type="http://schemas.openxmlformats.org/officeDocument/2006/relationships/hyperlink" Target="#'Evidence'!A60" TargetMode="External" Id="rId71" /><Relationship Type="http://schemas.openxmlformats.org/officeDocument/2006/relationships/hyperlink" Target="#'Citations'!A162" TargetMode="External" Id="rId72" /><Relationship Type="http://schemas.openxmlformats.org/officeDocument/2006/relationships/hyperlink" Target="#'Career Timeline'!A14" TargetMode="External" Id="rId73" /><Relationship Type="http://schemas.openxmlformats.org/officeDocument/2006/relationships/hyperlink" Target="#'Evidence'!A61" TargetMode="External" Id="rId74" /><Relationship Type="http://schemas.openxmlformats.org/officeDocument/2006/relationships/hyperlink" Target="#'Citations'!A163" TargetMode="External" Id="rId75" /><Relationship Type="http://schemas.openxmlformats.org/officeDocument/2006/relationships/hyperlink" Target="#'Career Timeline'!A15" TargetMode="External" Id="rId76" /><Relationship Type="http://schemas.openxmlformats.org/officeDocument/2006/relationships/hyperlink" Target="#'Evidence'!A62" TargetMode="External" Id="rId77" /><Relationship Type="http://schemas.openxmlformats.org/officeDocument/2006/relationships/hyperlink" Target="#'Citations'!A164" TargetMode="External" Id="rId78" /><Relationship Type="http://schemas.openxmlformats.org/officeDocument/2006/relationships/hyperlink" Target="#'Career Timeline'!A16" TargetMode="External" Id="rId79" /><Relationship Type="http://schemas.openxmlformats.org/officeDocument/2006/relationships/hyperlink" Target="#'Evidence'!A64" TargetMode="External" Id="rId80" /><Relationship Type="http://schemas.openxmlformats.org/officeDocument/2006/relationships/hyperlink" Target="#'Citations'!A166" TargetMode="External" Id="rId81" /><Relationship Type="http://schemas.openxmlformats.org/officeDocument/2006/relationships/hyperlink" Target="#'Career Timeline'!A17" TargetMode="External" Id="rId82" /><Relationship Type="http://schemas.openxmlformats.org/officeDocument/2006/relationships/hyperlink" Target="#'Evidence'!A66" TargetMode="External" Id="rId83" /><Relationship Type="http://schemas.openxmlformats.org/officeDocument/2006/relationships/hyperlink" Target="#'Citations'!A168" TargetMode="External" Id="rId84" /><Relationship Type="http://schemas.openxmlformats.org/officeDocument/2006/relationships/hyperlink" Target="#'Career Timeline'!A18" TargetMode="External" Id="rId85" /><Relationship Type="http://schemas.openxmlformats.org/officeDocument/2006/relationships/hyperlink" Target="#'Evidence'!A67" TargetMode="External" Id="rId86" /><Relationship Type="http://schemas.openxmlformats.org/officeDocument/2006/relationships/hyperlink" Target="#'Citations'!A169" TargetMode="External" Id="rId87" /><Relationship Type="http://schemas.openxmlformats.org/officeDocument/2006/relationships/hyperlink" Target="#'Career Timeline'!A18" TargetMode="External" Id="rId88" /><Relationship Type="http://schemas.openxmlformats.org/officeDocument/2006/relationships/hyperlink" Target="#'Evidence'!A68" TargetMode="External" Id="rId89" /><Relationship Type="http://schemas.openxmlformats.org/officeDocument/2006/relationships/hyperlink" Target="#'Citations'!A169" TargetMode="External" Id="rId90" /><Relationship Type="http://schemas.openxmlformats.org/officeDocument/2006/relationships/hyperlink" Target="#'Career Timeline'!A19" TargetMode="External" Id="rId91" /><Relationship Type="http://schemas.openxmlformats.org/officeDocument/2006/relationships/hyperlink" Target="#'Evidence'!A69" TargetMode="External" Id="rId92" /><Relationship Type="http://schemas.openxmlformats.org/officeDocument/2006/relationships/hyperlink" Target="#'Citations'!A170" TargetMode="External" Id="rId93" /><Relationship Type="http://schemas.openxmlformats.org/officeDocument/2006/relationships/hyperlink" Target="#'Career Timeline'!A20" TargetMode="External" Id="rId94" /><Relationship Type="http://schemas.openxmlformats.org/officeDocument/2006/relationships/hyperlink" Target="#'Evidence'!A70" TargetMode="External" Id="rId95" /><Relationship Type="http://schemas.openxmlformats.org/officeDocument/2006/relationships/hyperlink" Target="#'Citations'!A171" TargetMode="External" Id="rId96" /><Relationship Type="http://schemas.openxmlformats.org/officeDocument/2006/relationships/hyperlink" Target="#'Career Timeline'!A21" TargetMode="External" Id="rId97" /><Relationship Type="http://schemas.openxmlformats.org/officeDocument/2006/relationships/hyperlink" Target="#'Evidence'!A72" TargetMode="External" Id="rId98" /><Relationship Type="http://schemas.openxmlformats.org/officeDocument/2006/relationships/hyperlink" Target="#'Citations'!A173" TargetMode="External" Id="rId99" /><Relationship Type="http://schemas.openxmlformats.org/officeDocument/2006/relationships/hyperlink" Target="#'Career Timeline'!A21" TargetMode="External" Id="rId100" /><Relationship Type="http://schemas.openxmlformats.org/officeDocument/2006/relationships/hyperlink" Target="#'Evidence'!A73" TargetMode="External" Id="rId101" /><Relationship Type="http://schemas.openxmlformats.org/officeDocument/2006/relationships/hyperlink" Target="#'Citations'!A173" TargetMode="External" Id="rId102" /><Relationship Type="http://schemas.openxmlformats.org/officeDocument/2006/relationships/hyperlink" Target="#'Career Timeline'!A22" TargetMode="External" Id="rId103" /><Relationship Type="http://schemas.openxmlformats.org/officeDocument/2006/relationships/hyperlink" Target="#'Evidence'!A74" TargetMode="External" Id="rId104" /><Relationship Type="http://schemas.openxmlformats.org/officeDocument/2006/relationships/hyperlink" Target="#'Citations'!A174" TargetMode="External" Id="rId105" /><Relationship Type="http://schemas.openxmlformats.org/officeDocument/2006/relationships/hyperlink" Target="#'Career Timeline'!A22" TargetMode="External" Id="rId106" /><Relationship Type="http://schemas.openxmlformats.org/officeDocument/2006/relationships/hyperlink" Target="#'Evidence'!A75" TargetMode="External" Id="rId107" /><Relationship Type="http://schemas.openxmlformats.org/officeDocument/2006/relationships/hyperlink" Target="#'Citations'!A174" TargetMode="External" Id="rId108" /><Relationship Type="http://schemas.openxmlformats.org/officeDocument/2006/relationships/hyperlink" Target="#'Career Timeline'!A23" TargetMode="External" Id="rId109" /><Relationship Type="http://schemas.openxmlformats.org/officeDocument/2006/relationships/hyperlink" Target="#'Evidence'!A76" TargetMode="External" Id="rId110" /><Relationship Type="http://schemas.openxmlformats.org/officeDocument/2006/relationships/hyperlink" Target="#'Citations'!A175" TargetMode="External" Id="rId111" /><Relationship Type="http://schemas.openxmlformats.org/officeDocument/2006/relationships/hyperlink" Target="#'Career Timeline'!A24" TargetMode="External" Id="rId112" /><Relationship Type="http://schemas.openxmlformats.org/officeDocument/2006/relationships/hyperlink" Target="#'Evidence'!A77" TargetMode="External" Id="rId113" /><Relationship Type="http://schemas.openxmlformats.org/officeDocument/2006/relationships/hyperlink" Target="#'Citations'!A176" TargetMode="External" Id="rId114" /><Relationship Type="http://schemas.openxmlformats.org/officeDocument/2006/relationships/hyperlink" Target="#'Career Timeline'!A25" TargetMode="External" Id="rId115" /><Relationship Type="http://schemas.openxmlformats.org/officeDocument/2006/relationships/hyperlink" Target="#'Evidence'!A79" TargetMode="External" Id="rId116" /><Relationship Type="http://schemas.openxmlformats.org/officeDocument/2006/relationships/hyperlink" Target="#'Citations'!A178" TargetMode="External" Id="rId117" /><Relationship Type="http://schemas.openxmlformats.org/officeDocument/2006/relationships/hyperlink" Target="#'Career Timeline'!A26" TargetMode="External" Id="rId118" /><Relationship Type="http://schemas.openxmlformats.org/officeDocument/2006/relationships/hyperlink" Target="#'Evidence'!A80" TargetMode="External" Id="rId119" /><Relationship Type="http://schemas.openxmlformats.org/officeDocument/2006/relationships/hyperlink" Target="#'Citations'!A179" TargetMode="External" Id="rId120" /><Relationship Type="http://schemas.openxmlformats.org/officeDocument/2006/relationships/hyperlink" Target="#'Career Timeline'!A27" TargetMode="External" Id="rId121" /><Relationship Type="http://schemas.openxmlformats.org/officeDocument/2006/relationships/hyperlink" Target="#'Evidence'!A82" TargetMode="External" Id="rId122" /><Relationship Type="http://schemas.openxmlformats.org/officeDocument/2006/relationships/hyperlink" Target="#'Citations'!A181" TargetMode="External" Id="rId123" /><Relationship Type="http://schemas.openxmlformats.org/officeDocument/2006/relationships/hyperlink" Target="#'Career Timeline'!A27" TargetMode="External" Id="rId124" /><Relationship Type="http://schemas.openxmlformats.org/officeDocument/2006/relationships/hyperlink" Target="#'Evidence'!A83" TargetMode="External" Id="rId125" /><Relationship Type="http://schemas.openxmlformats.org/officeDocument/2006/relationships/hyperlink" Target="#'Citations'!A181" TargetMode="External" Id="rId126" /><Relationship Type="http://schemas.openxmlformats.org/officeDocument/2006/relationships/hyperlink" Target="#'Career Timeline'!A28" TargetMode="External" Id="rId127" /><Relationship Type="http://schemas.openxmlformats.org/officeDocument/2006/relationships/hyperlink" Target="#'Evidence'!A84" TargetMode="External" Id="rId128" /><Relationship Type="http://schemas.openxmlformats.org/officeDocument/2006/relationships/hyperlink" Target="#'Citations'!A182" TargetMode="External" Id="rId129" /><Relationship Type="http://schemas.openxmlformats.org/officeDocument/2006/relationships/hyperlink" Target="#'Career Timeline'!A28" TargetMode="External" Id="rId130" /><Relationship Type="http://schemas.openxmlformats.org/officeDocument/2006/relationships/hyperlink" Target="#'Evidence'!A86" TargetMode="External" Id="rId131" /><Relationship Type="http://schemas.openxmlformats.org/officeDocument/2006/relationships/hyperlink" Target="#'Citations'!A182" TargetMode="External" Id="rId132" /><Relationship Type="http://schemas.openxmlformats.org/officeDocument/2006/relationships/hyperlink" Target="#'Career Timeline'!A29" TargetMode="External" Id="rId133" /><Relationship Type="http://schemas.openxmlformats.org/officeDocument/2006/relationships/hyperlink" Target="#'Evidence'!A88" TargetMode="External" Id="rId134" /><Relationship Type="http://schemas.openxmlformats.org/officeDocument/2006/relationships/hyperlink" Target="#'Citations'!A184" TargetMode="External" Id="rId135" /><Relationship Type="http://schemas.openxmlformats.org/officeDocument/2006/relationships/hyperlink" Target="#'Career Timeline'!A30" TargetMode="External" Id="rId136" /><Relationship Type="http://schemas.openxmlformats.org/officeDocument/2006/relationships/hyperlink" Target="#'Evidence'!A90" TargetMode="External" Id="rId137" /><Relationship Type="http://schemas.openxmlformats.org/officeDocument/2006/relationships/hyperlink" Target="#'Citations'!A186" TargetMode="External" Id="rId138" /><Relationship Type="http://schemas.openxmlformats.org/officeDocument/2006/relationships/hyperlink" Target="#'Elections'!A6" TargetMode="External" Id="rId139" /><Relationship Type="http://schemas.openxmlformats.org/officeDocument/2006/relationships/hyperlink" Target="#'Evidence'!A92" TargetMode="External" Id="rId140" /><Relationship Type="http://schemas.openxmlformats.org/officeDocument/2006/relationships/hyperlink" Target="#'Citations'!A188" TargetMode="External" Id="rId141" /><Relationship Type="http://schemas.openxmlformats.org/officeDocument/2006/relationships/hyperlink" Target="#'Elections'!A6" TargetMode="External" Id="rId142" /><Relationship Type="http://schemas.openxmlformats.org/officeDocument/2006/relationships/hyperlink" Target="#'Evidence'!A93" TargetMode="External" Id="rId143" /><Relationship Type="http://schemas.openxmlformats.org/officeDocument/2006/relationships/hyperlink" Target="#'Citations'!A188" TargetMode="External" Id="rId144" /><Relationship Type="http://schemas.openxmlformats.org/officeDocument/2006/relationships/hyperlink" Target="#'Elections'!A6" TargetMode="External" Id="rId145" /><Relationship Type="http://schemas.openxmlformats.org/officeDocument/2006/relationships/hyperlink" Target="#'Evidence'!A94" TargetMode="External" Id="rId146" /><Relationship Type="http://schemas.openxmlformats.org/officeDocument/2006/relationships/hyperlink" Target="#'Citations'!A188" TargetMode="External" Id="rId147" /><Relationship Type="http://schemas.openxmlformats.org/officeDocument/2006/relationships/hyperlink" Target="#'Elections'!A6" TargetMode="External" Id="rId148" /><Relationship Type="http://schemas.openxmlformats.org/officeDocument/2006/relationships/hyperlink" Target="#'Evidence'!A95" TargetMode="External" Id="rId149" /><Relationship Type="http://schemas.openxmlformats.org/officeDocument/2006/relationships/hyperlink" Target="#'Citations'!A188" TargetMode="External" Id="rId150" /><Relationship Type="http://schemas.openxmlformats.org/officeDocument/2006/relationships/hyperlink" Target="#'Elections'!A6" TargetMode="External" Id="rId151" /><Relationship Type="http://schemas.openxmlformats.org/officeDocument/2006/relationships/hyperlink" Target="#'Evidence'!A96" TargetMode="External" Id="rId152" /><Relationship Type="http://schemas.openxmlformats.org/officeDocument/2006/relationships/hyperlink" Target="#'Citations'!A188" TargetMode="External" Id="rId153" /><Relationship Type="http://schemas.openxmlformats.org/officeDocument/2006/relationships/hyperlink" Target="#'Elections'!A7" TargetMode="External" Id="rId154" /><Relationship Type="http://schemas.openxmlformats.org/officeDocument/2006/relationships/hyperlink" Target="#'Evidence'!A97" TargetMode="External" Id="rId155" /><Relationship Type="http://schemas.openxmlformats.org/officeDocument/2006/relationships/hyperlink" Target="#'Citations'!A189" TargetMode="External" Id="rId156" /><Relationship Type="http://schemas.openxmlformats.org/officeDocument/2006/relationships/hyperlink" Target="#'Elections'!A7" TargetMode="External" Id="rId157" /><Relationship Type="http://schemas.openxmlformats.org/officeDocument/2006/relationships/hyperlink" Target="#'Evidence'!A98" TargetMode="External" Id="rId158" /><Relationship Type="http://schemas.openxmlformats.org/officeDocument/2006/relationships/hyperlink" Target="#'Citations'!A189" TargetMode="External" Id="rId159" /><Relationship Type="http://schemas.openxmlformats.org/officeDocument/2006/relationships/hyperlink" Target="#'Elections'!A7" TargetMode="External" Id="rId160" /><Relationship Type="http://schemas.openxmlformats.org/officeDocument/2006/relationships/hyperlink" Target="#'Evidence'!A99" TargetMode="External" Id="rId161" /><Relationship Type="http://schemas.openxmlformats.org/officeDocument/2006/relationships/hyperlink" Target="#'Citations'!A189" TargetMode="External" Id="rId162" /><Relationship Type="http://schemas.openxmlformats.org/officeDocument/2006/relationships/hyperlink" Target="#'Elections'!A7" TargetMode="External" Id="rId163" /><Relationship Type="http://schemas.openxmlformats.org/officeDocument/2006/relationships/hyperlink" Target="#'Evidence'!A100" TargetMode="External" Id="rId164" /><Relationship Type="http://schemas.openxmlformats.org/officeDocument/2006/relationships/hyperlink" Target="#'Citations'!A189" TargetMode="External" Id="rId165" /><Relationship Type="http://schemas.openxmlformats.org/officeDocument/2006/relationships/hyperlink" Target="#'Elections'!A7" TargetMode="External" Id="rId166" /><Relationship Type="http://schemas.openxmlformats.org/officeDocument/2006/relationships/hyperlink" Target="#'Evidence'!A101" TargetMode="External" Id="rId167" /><Relationship Type="http://schemas.openxmlformats.org/officeDocument/2006/relationships/hyperlink" Target="#'Citations'!A189" TargetMode="External" Id="rId168" /><Relationship Type="http://schemas.openxmlformats.org/officeDocument/2006/relationships/hyperlink" Target="#'Elections'!A7" TargetMode="External" Id="rId169" /><Relationship Type="http://schemas.openxmlformats.org/officeDocument/2006/relationships/hyperlink" Target="#'Evidence'!A102" TargetMode="External" Id="rId170" /><Relationship Type="http://schemas.openxmlformats.org/officeDocument/2006/relationships/hyperlink" Target="#'Citations'!A189" TargetMode="External" Id="rId171" /><Relationship Type="http://schemas.openxmlformats.org/officeDocument/2006/relationships/hyperlink" Target="#'Elections'!A8" TargetMode="External" Id="rId172" /><Relationship Type="http://schemas.openxmlformats.org/officeDocument/2006/relationships/hyperlink" Target="#'Evidence'!A103" TargetMode="External" Id="rId173" /><Relationship Type="http://schemas.openxmlformats.org/officeDocument/2006/relationships/hyperlink" Target="#'Citations'!A190" TargetMode="External" Id="rId174" /><Relationship Type="http://schemas.openxmlformats.org/officeDocument/2006/relationships/hyperlink" Target="#'Elections'!A8" TargetMode="External" Id="rId175" /><Relationship Type="http://schemas.openxmlformats.org/officeDocument/2006/relationships/hyperlink" Target="#'Evidence'!A104" TargetMode="External" Id="rId176" /><Relationship Type="http://schemas.openxmlformats.org/officeDocument/2006/relationships/hyperlink" Target="#'Citations'!A190" TargetMode="External" Id="rId177" /><Relationship Type="http://schemas.openxmlformats.org/officeDocument/2006/relationships/hyperlink" Target="#'Elections'!A8" TargetMode="External" Id="rId178" /><Relationship Type="http://schemas.openxmlformats.org/officeDocument/2006/relationships/hyperlink" Target="#'Evidence'!A105" TargetMode="External" Id="rId179" /><Relationship Type="http://schemas.openxmlformats.org/officeDocument/2006/relationships/hyperlink" Target="#'Citations'!A190" TargetMode="External" Id="rId180" /><Relationship Type="http://schemas.openxmlformats.org/officeDocument/2006/relationships/hyperlink" Target="#'Elections'!A8" TargetMode="External" Id="rId181" /><Relationship Type="http://schemas.openxmlformats.org/officeDocument/2006/relationships/hyperlink" Target="#'Evidence'!A106" TargetMode="External" Id="rId182" /><Relationship Type="http://schemas.openxmlformats.org/officeDocument/2006/relationships/hyperlink" Target="#'Citations'!A190" TargetMode="External" Id="rId183" /><Relationship Type="http://schemas.openxmlformats.org/officeDocument/2006/relationships/hyperlink" Target="#'Elections'!A8" TargetMode="External" Id="rId184" /><Relationship Type="http://schemas.openxmlformats.org/officeDocument/2006/relationships/hyperlink" Target="#'Evidence'!A107" TargetMode="External" Id="rId185" /><Relationship Type="http://schemas.openxmlformats.org/officeDocument/2006/relationships/hyperlink" Target="#'Citations'!A190" TargetMode="External" Id="rId186" /><Relationship Type="http://schemas.openxmlformats.org/officeDocument/2006/relationships/hyperlink" Target="#'Elections'!A9" TargetMode="External" Id="rId187" /><Relationship Type="http://schemas.openxmlformats.org/officeDocument/2006/relationships/hyperlink" Target="#'Evidence'!A108" TargetMode="External" Id="rId188" /><Relationship Type="http://schemas.openxmlformats.org/officeDocument/2006/relationships/hyperlink" Target="#'Citations'!A191" TargetMode="External" Id="rId189" /><Relationship Type="http://schemas.openxmlformats.org/officeDocument/2006/relationships/hyperlink" Target="#'Elections'!A9" TargetMode="External" Id="rId190" /><Relationship Type="http://schemas.openxmlformats.org/officeDocument/2006/relationships/hyperlink" Target="#'Evidence'!A109" TargetMode="External" Id="rId191" /><Relationship Type="http://schemas.openxmlformats.org/officeDocument/2006/relationships/hyperlink" Target="#'Citations'!A191" TargetMode="External" Id="rId192" /><Relationship Type="http://schemas.openxmlformats.org/officeDocument/2006/relationships/hyperlink" Target="#'Elections'!A9" TargetMode="External" Id="rId193" /><Relationship Type="http://schemas.openxmlformats.org/officeDocument/2006/relationships/hyperlink" Target="#'Evidence'!A110" TargetMode="External" Id="rId194" /><Relationship Type="http://schemas.openxmlformats.org/officeDocument/2006/relationships/hyperlink" Target="#'Citations'!A191" TargetMode="External" Id="rId195" /><Relationship Type="http://schemas.openxmlformats.org/officeDocument/2006/relationships/hyperlink" Target="#'Elections'!A9" TargetMode="External" Id="rId196" /><Relationship Type="http://schemas.openxmlformats.org/officeDocument/2006/relationships/hyperlink" Target="#'Evidence'!A111" TargetMode="External" Id="rId197" /><Relationship Type="http://schemas.openxmlformats.org/officeDocument/2006/relationships/hyperlink" Target="#'Citations'!A191" TargetMode="External" Id="rId198" /><Relationship Type="http://schemas.openxmlformats.org/officeDocument/2006/relationships/hyperlink" Target="#'Elections'!A9" TargetMode="External" Id="rId199" /><Relationship Type="http://schemas.openxmlformats.org/officeDocument/2006/relationships/hyperlink" Target="#'Evidence'!A112" TargetMode="External" Id="rId200" /><Relationship Type="http://schemas.openxmlformats.org/officeDocument/2006/relationships/hyperlink" Target="#'Citations'!A191" TargetMode="External" Id="rId201" /><Relationship Type="http://schemas.openxmlformats.org/officeDocument/2006/relationships/hyperlink" Target="#'Elections'!A9" TargetMode="External" Id="rId202" /><Relationship Type="http://schemas.openxmlformats.org/officeDocument/2006/relationships/hyperlink" Target="#'Evidence'!A113" TargetMode="External" Id="rId203" /><Relationship Type="http://schemas.openxmlformats.org/officeDocument/2006/relationships/hyperlink" Target="#'Citations'!A191" TargetMode="External" Id="rId204" /><Relationship Type="http://schemas.openxmlformats.org/officeDocument/2006/relationships/hyperlink" Target="#'Elections'!A10" TargetMode="External" Id="rId205" /><Relationship Type="http://schemas.openxmlformats.org/officeDocument/2006/relationships/hyperlink" Target="#'Evidence'!A114" TargetMode="External" Id="rId206" /><Relationship Type="http://schemas.openxmlformats.org/officeDocument/2006/relationships/hyperlink" Target="#'Citations'!A192" TargetMode="External" Id="rId207" /><Relationship Type="http://schemas.openxmlformats.org/officeDocument/2006/relationships/hyperlink" Target="#'Elections'!A10" TargetMode="External" Id="rId208" /><Relationship Type="http://schemas.openxmlformats.org/officeDocument/2006/relationships/hyperlink" Target="#'Evidence'!A116" TargetMode="External" Id="rId209" /><Relationship Type="http://schemas.openxmlformats.org/officeDocument/2006/relationships/hyperlink" Target="#'Citations'!A192" TargetMode="External" Id="rId210" /><Relationship Type="http://schemas.openxmlformats.org/officeDocument/2006/relationships/hyperlink" Target="#'Elections'!A10" TargetMode="External" Id="rId211" /><Relationship Type="http://schemas.openxmlformats.org/officeDocument/2006/relationships/hyperlink" Target="#'Evidence'!A118" TargetMode="External" Id="rId212" /><Relationship Type="http://schemas.openxmlformats.org/officeDocument/2006/relationships/hyperlink" Target="#'Citations'!A192" TargetMode="External" Id="rId213" /><Relationship Type="http://schemas.openxmlformats.org/officeDocument/2006/relationships/hyperlink" Target="#'Elections'!A10" TargetMode="External" Id="rId214" /><Relationship Type="http://schemas.openxmlformats.org/officeDocument/2006/relationships/hyperlink" Target="#'Evidence'!A120" TargetMode="External" Id="rId215" /><Relationship Type="http://schemas.openxmlformats.org/officeDocument/2006/relationships/hyperlink" Target="#'Citations'!A192" TargetMode="External" Id="rId216" /><Relationship Type="http://schemas.openxmlformats.org/officeDocument/2006/relationships/hyperlink" Target="#'Elections'!A10" TargetMode="External" Id="rId217" /><Relationship Type="http://schemas.openxmlformats.org/officeDocument/2006/relationships/hyperlink" Target="#'Evidence'!A122" TargetMode="External" Id="rId218" /><Relationship Type="http://schemas.openxmlformats.org/officeDocument/2006/relationships/hyperlink" Target="#'Citations'!A192" TargetMode="External" Id="rId219" /><Relationship Type="http://schemas.openxmlformats.org/officeDocument/2006/relationships/hyperlink" Target="#'Elections'!A10" TargetMode="External" Id="rId220" /><Relationship Type="http://schemas.openxmlformats.org/officeDocument/2006/relationships/hyperlink" Target="#'Evidence'!A124" TargetMode="External" Id="rId221" /><Relationship Type="http://schemas.openxmlformats.org/officeDocument/2006/relationships/hyperlink" Target="#'Citations'!A192" TargetMode="External" Id="rId222" /><Relationship Type="http://schemas.openxmlformats.org/officeDocument/2006/relationships/hyperlink" Target="#'Elections'!A11" TargetMode="External" Id="rId223" /><Relationship Type="http://schemas.openxmlformats.org/officeDocument/2006/relationships/hyperlink" Target="#'Evidence'!A126" TargetMode="External" Id="rId224" /><Relationship Type="http://schemas.openxmlformats.org/officeDocument/2006/relationships/hyperlink" Target="#'Citations'!A194" TargetMode="External" Id="rId225" /><Relationship Type="http://schemas.openxmlformats.org/officeDocument/2006/relationships/hyperlink" Target="#'Elections'!A11" TargetMode="External" Id="rId226" /><Relationship Type="http://schemas.openxmlformats.org/officeDocument/2006/relationships/hyperlink" Target="#'Evidence'!A127" TargetMode="External" Id="rId227" /><Relationship Type="http://schemas.openxmlformats.org/officeDocument/2006/relationships/hyperlink" Target="#'Citations'!A194" TargetMode="External" Id="rId228" /><Relationship Type="http://schemas.openxmlformats.org/officeDocument/2006/relationships/hyperlink" Target="#'Elections'!A11" TargetMode="External" Id="rId229" /><Relationship Type="http://schemas.openxmlformats.org/officeDocument/2006/relationships/hyperlink" Target="#'Evidence'!A128" TargetMode="External" Id="rId230" /><Relationship Type="http://schemas.openxmlformats.org/officeDocument/2006/relationships/hyperlink" Target="#'Citations'!A194" TargetMode="External" Id="rId231" /><Relationship Type="http://schemas.openxmlformats.org/officeDocument/2006/relationships/hyperlink" Target="#'Elections'!A11" TargetMode="External" Id="rId232" /><Relationship Type="http://schemas.openxmlformats.org/officeDocument/2006/relationships/hyperlink" Target="#'Evidence'!A129" TargetMode="External" Id="rId233" /><Relationship Type="http://schemas.openxmlformats.org/officeDocument/2006/relationships/hyperlink" Target="#'Citations'!A194" TargetMode="External" Id="rId234" /><Relationship Type="http://schemas.openxmlformats.org/officeDocument/2006/relationships/hyperlink" Target="#'Elections'!A11" TargetMode="External" Id="rId235" /><Relationship Type="http://schemas.openxmlformats.org/officeDocument/2006/relationships/hyperlink" Target="#'Evidence'!A130" TargetMode="External" Id="rId236" /><Relationship Type="http://schemas.openxmlformats.org/officeDocument/2006/relationships/hyperlink" Target="#'Citations'!A194" TargetMode="External" Id="rId237" /><Relationship Type="http://schemas.openxmlformats.org/officeDocument/2006/relationships/hyperlink" Target="#'Elections'!A11" TargetMode="External" Id="rId238" /><Relationship Type="http://schemas.openxmlformats.org/officeDocument/2006/relationships/hyperlink" Target="#'Evidence'!A131" TargetMode="External" Id="rId239" /><Relationship Type="http://schemas.openxmlformats.org/officeDocument/2006/relationships/hyperlink" Target="#'Citations'!A194" TargetMode="External" Id="rId240" /><Relationship Type="http://schemas.openxmlformats.org/officeDocument/2006/relationships/hyperlink" Target="#'Elections'!A12" TargetMode="External" Id="rId241" /><Relationship Type="http://schemas.openxmlformats.org/officeDocument/2006/relationships/hyperlink" Target="#'Evidence'!A132" TargetMode="External" Id="rId242" /><Relationship Type="http://schemas.openxmlformats.org/officeDocument/2006/relationships/hyperlink" Target="#'Citations'!A195" TargetMode="External" Id="rId243" /><Relationship Type="http://schemas.openxmlformats.org/officeDocument/2006/relationships/hyperlink" Target="#'Elections'!A12" TargetMode="External" Id="rId244" /><Relationship Type="http://schemas.openxmlformats.org/officeDocument/2006/relationships/hyperlink" Target="#'Evidence'!A134" TargetMode="External" Id="rId245" /><Relationship Type="http://schemas.openxmlformats.org/officeDocument/2006/relationships/hyperlink" Target="#'Citations'!A195" TargetMode="External" Id="rId246" /><Relationship Type="http://schemas.openxmlformats.org/officeDocument/2006/relationships/hyperlink" Target="#'Elections'!A12" TargetMode="External" Id="rId247" /><Relationship Type="http://schemas.openxmlformats.org/officeDocument/2006/relationships/hyperlink" Target="#'Evidence'!A136" TargetMode="External" Id="rId248" /><Relationship Type="http://schemas.openxmlformats.org/officeDocument/2006/relationships/hyperlink" Target="#'Citations'!A195" TargetMode="External" Id="rId249" /><Relationship Type="http://schemas.openxmlformats.org/officeDocument/2006/relationships/hyperlink" Target="#'Elections'!A12" TargetMode="External" Id="rId250" /><Relationship Type="http://schemas.openxmlformats.org/officeDocument/2006/relationships/hyperlink" Target="#'Evidence'!A138" TargetMode="External" Id="rId251" /><Relationship Type="http://schemas.openxmlformats.org/officeDocument/2006/relationships/hyperlink" Target="#'Citations'!A195" TargetMode="External" Id="rId252" /><Relationship Type="http://schemas.openxmlformats.org/officeDocument/2006/relationships/hyperlink" Target="#'Elections'!A12" TargetMode="External" Id="rId253" /><Relationship Type="http://schemas.openxmlformats.org/officeDocument/2006/relationships/hyperlink" Target="#'Evidence'!A140" TargetMode="External" Id="rId254" /><Relationship Type="http://schemas.openxmlformats.org/officeDocument/2006/relationships/hyperlink" Target="#'Citations'!A195" TargetMode="External" Id="rId255" /><Relationship Type="http://schemas.openxmlformats.org/officeDocument/2006/relationships/hyperlink" Target="#'Elections'!A12" TargetMode="External" Id="rId256" /><Relationship Type="http://schemas.openxmlformats.org/officeDocument/2006/relationships/hyperlink" Target="#'Evidence'!A142" TargetMode="External" Id="rId257" /><Relationship Type="http://schemas.openxmlformats.org/officeDocument/2006/relationships/hyperlink" Target="#'Citations'!A195" TargetMode="External" Id="rId258" /><Relationship Type="http://schemas.openxmlformats.org/officeDocument/2006/relationships/hyperlink" Target="#'Offices &amp; Party'!A6" TargetMode="External" Id="rId259" /><Relationship Type="http://schemas.openxmlformats.org/officeDocument/2006/relationships/hyperlink" Target="#'Evidence'!A144" TargetMode="External" Id="rId260" /><Relationship Type="http://schemas.openxmlformats.org/officeDocument/2006/relationships/hyperlink" Target="#'Citations'!A197" TargetMode="External" Id="rId261" /><Relationship Type="http://schemas.openxmlformats.org/officeDocument/2006/relationships/hyperlink" Target="#'Offices &amp; Party'!A7" TargetMode="External" Id="rId262" /><Relationship Type="http://schemas.openxmlformats.org/officeDocument/2006/relationships/hyperlink" Target="#'Evidence'!A146" TargetMode="External" Id="rId263" /><Relationship Type="http://schemas.openxmlformats.org/officeDocument/2006/relationships/hyperlink" Target="#'Citations'!A199" TargetMode="External" Id="rId264" /><Relationship Type="http://schemas.openxmlformats.org/officeDocument/2006/relationships/hyperlink" Target="#'Offices &amp; Party'!A8" TargetMode="External" Id="rId265" /><Relationship Type="http://schemas.openxmlformats.org/officeDocument/2006/relationships/hyperlink" Target="#'Evidence'!A148" TargetMode="External" Id="rId266" /><Relationship Type="http://schemas.openxmlformats.org/officeDocument/2006/relationships/hyperlink" Target="#'Citations'!A201" TargetMode="External" Id="rId267" /><Relationship Type="http://schemas.openxmlformats.org/officeDocument/2006/relationships/hyperlink" Target="#'Offices &amp; Party'!A9" TargetMode="External" Id="rId268" /><Relationship Type="http://schemas.openxmlformats.org/officeDocument/2006/relationships/hyperlink" Target="#'Evidence'!A151" TargetMode="External" Id="rId269" /><Relationship Type="http://schemas.openxmlformats.org/officeDocument/2006/relationships/hyperlink" Target="#'Citations'!A204" TargetMode="External" Id="rId270" /><Relationship Type="http://schemas.openxmlformats.org/officeDocument/2006/relationships/hyperlink" Target="#'Offices &amp; Party'!A9" TargetMode="External" Id="rId271" /><Relationship Type="http://schemas.openxmlformats.org/officeDocument/2006/relationships/hyperlink" Target="#'Evidence'!A153" TargetMode="External" Id="rId272" /><Relationship Type="http://schemas.openxmlformats.org/officeDocument/2006/relationships/hyperlink" Target="#'Citations'!A204" TargetMode="External" Id="rId273" /><Relationship Type="http://schemas.openxmlformats.org/officeDocument/2006/relationships/hyperlink" Target="#'Offices &amp; Party'!A9" TargetMode="External" Id="rId274" /><Relationship Type="http://schemas.openxmlformats.org/officeDocument/2006/relationships/hyperlink" Target="#'Evidence'!A155" TargetMode="External" Id="rId275" /><Relationship Type="http://schemas.openxmlformats.org/officeDocument/2006/relationships/hyperlink" Target="#'Citations'!A204" TargetMode="External" Id="rId276" /><Relationship Type="http://schemas.openxmlformats.org/officeDocument/2006/relationships/hyperlink" Target="#'Offices &amp; Party'!A10" TargetMode="External" Id="rId277" /><Relationship Type="http://schemas.openxmlformats.org/officeDocument/2006/relationships/hyperlink" Target="#'Evidence'!A157" TargetMode="External" Id="rId278" /><Relationship Type="http://schemas.openxmlformats.org/officeDocument/2006/relationships/hyperlink" Target="#'Citations'!A206" TargetMode="External" Id="rId279" /><Relationship Type="http://schemas.openxmlformats.org/officeDocument/2006/relationships/hyperlink" Target="#'Offices &amp; Party'!A10" TargetMode="External" Id="rId280" /><Relationship Type="http://schemas.openxmlformats.org/officeDocument/2006/relationships/hyperlink" Target="#'Evidence'!A159" TargetMode="External" Id="rId281" /><Relationship Type="http://schemas.openxmlformats.org/officeDocument/2006/relationships/hyperlink" Target="#'Citations'!A206" TargetMode="External" Id="rId282" /><Relationship Type="http://schemas.openxmlformats.org/officeDocument/2006/relationships/hyperlink" Target="#'Offices &amp; Party'!A10" TargetMode="External" Id="rId283" /><Relationship Type="http://schemas.openxmlformats.org/officeDocument/2006/relationships/hyperlink" Target="#'Evidence'!A161" TargetMode="External" Id="rId284" /><Relationship Type="http://schemas.openxmlformats.org/officeDocument/2006/relationships/hyperlink" Target="#'Citations'!A206" TargetMode="External" Id="rId285" /><Relationship Type="http://schemas.openxmlformats.org/officeDocument/2006/relationships/hyperlink" Target="#'Offices &amp; Party'!A11" TargetMode="External" Id="rId286" /><Relationship Type="http://schemas.openxmlformats.org/officeDocument/2006/relationships/hyperlink" Target="#'Evidence'!A163" TargetMode="External" Id="rId287" /><Relationship Type="http://schemas.openxmlformats.org/officeDocument/2006/relationships/hyperlink" Target="#'Citations'!A208" TargetMode="External" Id="rId288" /><Relationship Type="http://schemas.openxmlformats.org/officeDocument/2006/relationships/hyperlink" Target="#'Offices &amp; Party'!A11" TargetMode="External" Id="rId289" /><Relationship Type="http://schemas.openxmlformats.org/officeDocument/2006/relationships/hyperlink" Target="#'Evidence'!A165" TargetMode="External" Id="rId290" /><Relationship Type="http://schemas.openxmlformats.org/officeDocument/2006/relationships/hyperlink" Target="#'Citations'!A208" TargetMode="External" Id="rId291" /><Relationship Type="http://schemas.openxmlformats.org/officeDocument/2006/relationships/hyperlink" Target="#'Offices &amp; Party'!A12" TargetMode="External" Id="rId292" /><Relationship Type="http://schemas.openxmlformats.org/officeDocument/2006/relationships/hyperlink" Target="#'Evidence'!A167" TargetMode="External" Id="rId293" /><Relationship Type="http://schemas.openxmlformats.org/officeDocument/2006/relationships/hyperlink" Target="#'Citations'!A210" TargetMode="External" Id="rId294" /><Relationship Type="http://schemas.openxmlformats.org/officeDocument/2006/relationships/hyperlink" Target="#'Offices &amp; Party'!A12" TargetMode="External" Id="rId295" /><Relationship Type="http://schemas.openxmlformats.org/officeDocument/2006/relationships/hyperlink" Target="#'Evidence'!A169" TargetMode="External" Id="rId296" /><Relationship Type="http://schemas.openxmlformats.org/officeDocument/2006/relationships/hyperlink" Target="#'Citations'!A210" TargetMode="External" Id="rId297" /><Relationship Type="http://schemas.openxmlformats.org/officeDocument/2006/relationships/hyperlink" Target="#'Offices &amp; Party'!A13" TargetMode="External" Id="rId298" /><Relationship Type="http://schemas.openxmlformats.org/officeDocument/2006/relationships/hyperlink" Target="#'Evidence'!A171" TargetMode="External" Id="rId299" /><Relationship Type="http://schemas.openxmlformats.org/officeDocument/2006/relationships/hyperlink" Target="#'Citations'!A212" TargetMode="External" Id="rId300" /><Relationship Type="http://schemas.openxmlformats.org/officeDocument/2006/relationships/hyperlink" Target="#'Offices &amp; Party'!A13" TargetMode="External" Id="rId301" /><Relationship Type="http://schemas.openxmlformats.org/officeDocument/2006/relationships/hyperlink" Target="#'Evidence'!A173" TargetMode="External" Id="rId302" /><Relationship Type="http://schemas.openxmlformats.org/officeDocument/2006/relationships/hyperlink" Target="#'Citations'!A212" TargetMode="External" Id="rId303" /><Relationship Type="http://schemas.openxmlformats.org/officeDocument/2006/relationships/hyperlink" Target="#'Offices &amp; Party'!A14" TargetMode="External" Id="rId304" /><Relationship Type="http://schemas.openxmlformats.org/officeDocument/2006/relationships/hyperlink" Target="#'Evidence'!A175" TargetMode="External" Id="rId305" /><Relationship Type="http://schemas.openxmlformats.org/officeDocument/2006/relationships/hyperlink" Target="#'Citations'!A214" TargetMode="External" Id="rId306" /><Relationship Type="http://schemas.openxmlformats.org/officeDocument/2006/relationships/hyperlink" Target="#'Offices &amp; Party'!A14" TargetMode="External" Id="rId307" /><Relationship Type="http://schemas.openxmlformats.org/officeDocument/2006/relationships/hyperlink" Target="#'Evidence'!A176" TargetMode="External" Id="rId308" /><Relationship Type="http://schemas.openxmlformats.org/officeDocument/2006/relationships/hyperlink" Target="#'Citations'!A214" TargetMode="External" Id="rId309" /><Relationship Type="http://schemas.openxmlformats.org/officeDocument/2006/relationships/hyperlink" Target="#'Offices &amp; Party'!A15" TargetMode="External" Id="rId310" /><Relationship Type="http://schemas.openxmlformats.org/officeDocument/2006/relationships/hyperlink" Target="#'Evidence'!A177" TargetMode="External" Id="rId311" /><Relationship Type="http://schemas.openxmlformats.org/officeDocument/2006/relationships/hyperlink" Target="#'Citations'!A215" TargetMode="External" Id="rId312" /><Relationship Type="http://schemas.openxmlformats.org/officeDocument/2006/relationships/hyperlink" Target="#'Offices &amp; Party'!A16" TargetMode="External" Id="rId313" /><Relationship Type="http://schemas.openxmlformats.org/officeDocument/2006/relationships/hyperlink" Target="#'Evidence'!A178" TargetMode="External" Id="rId314" /><Relationship Type="http://schemas.openxmlformats.org/officeDocument/2006/relationships/hyperlink" Target="#'Citations'!A216" TargetMode="External" Id="rId315" /><Relationship Type="http://schemas.openxmlformats.org/officeDocument/2006/relationships/hyperlink" Target="#'Offices &amp; Party'!A16" TargetMode="External" Id="rId316" /><Relationship Type="http://schemas.openxmlformats.org/officeDocument/2006/relationships/hyperlink" Target="#'Evidence'!A180" TargetMode="External" Id="rId317" /><Relationship Type="http://schemas.openxmlformats.org/officeDocument/2006/relationships/hyperlink" Target="#'Citations'!A216" TargetMode="External" Id="rId318" /><Relationship Type="http://schemas.openxmlformats.org/officeDocument/2006/relationships/hyperlink" Target="#'Offices &amp; Party'!A17" TargetMode="External" Id="rId319" /><Relationship Type="http://schemas.openxmlformats.org/officeDocument/2006/relationships/hyperlink" Target="#'Evidence'!A182" TargetMode="External" Id="rId320" /><Relationship Type="http://schemas.openxmlformats.org/officeDocument/2006/relationships/hyperlink" Target="#'Citations'!A218" TargetMode="External" Id="rId321" /><Relationship Type="http://schemas.openxmlformats.org/officeDocument/2006/relationships/hyperlink" Target="#'Offices &amp; Party'!A18" TargetMode="External" Id="rId322" /><Relationship Type="http://schemas.openxmlformats.org/officeDocument/2006/relationships/hyperlink" Target="#'Evidence'!A183" TargetMode="External" Id="rId323" /><Relationship Type="http://schemas.openxmlformats.org/officeDocument/2006/relationships/hyperlink" Target="#'Citations'!A219" TargetMode="External" Id="rId324" /><Relationship Type="http://schemas.openxmlformats.org/officeDocument/2006/relationships/hyperlink" Target="#'Policy &amp; Governance'!A6" TargetMode="External" Id="rId325" /><Relationship Type="http://schemas.openxmlformats.org/officeDocument/2006/relationships/hyperlink" Target="#'Evidence'!A185" TargetMode="External" Id="rId326" /><Relationship Type="http://schemas.openxmlformats.org/officeDocument/2006/relationships/hyperlink" Target="#'Citations'!A221" TargetMode="External" Id="rId327" /><Relationship Type="http://schemas.openxmlformats.org/officeDocument/2006/relationships/hyperlink" Target="#'Policy &amp; Governance'!A7" TargetMode="External" Id="rId328" /><Relationship Type="http://schemas.openxmlformats.org/officeDocument/2006/relationships/hyperlink" Target="#'Evidence'!A187" TargetMode="External" Id="rId329" /><Relationship Type="http://schemas.openxmlformats.org/officeDocument/2006/relationships/hyperlink" Target="#'Citations'!A223" TargetMode="External" Id="rId330" /><Relationship Type="http://schemas.openxmlformats.org/officeDocument/2006/relationships/hyperlink" Target="#'Policy &amp; Governance'!A8" TargetMode="External" Id="rId331" /><Relationship Type="http://schemas.openxmlformats.org/officeDocument/2006/relationships/hyperlink" Target="#'Evidence'!A189" TargetMode="External" Id="rId332" /><Relationship Type="http://schemas.openxmlformats.org/officeDocument/2006/relationships/hyperlink" Target="#'Citations'!A225" TargetMode="External" Id="rId333" /><Relationship Type="http://schemas.openxmlformats.org/officeDocument/2006/relationships/hyperlink" Target="#'Policy &amp; Governance'!A9" TargetMode="External" Id="rId334" /><Relationship Type="http://schemas.openxmlformats.org/officeDocument/2006/relationships/hyperlink" Target="#'Evidence'!A191" TargetMode="External" Id="rId335" /><Relationship Type="http://schemas.openxmlformats.org/officeDocument/2006/relationships/hyperlink" Target="#'Citations'!A227" TargetMode="External" Id="rId336" /><Relationship Type="http://schemas.openxmlformats.org/officeDocument/2006/relationships/hyperlink" Target="#'Policy &amp; Governance'!A10" TargetMode="External" Id="rId337" /><Relationship Type="http://schemas.openxmlformats.org/officeDocument/2006/relationships/hyperlink" Target="#'Evidence'!A193" TargetMode="External" Id="rId338" /><Relationship Type="http://schemas.openxmlformats.org/officeDocument/2006/relationships/hyperlink" Target="#'Citations'!A229" TargetMode="External" Id="rId339" /><Relationship Type="http://schemas.openxmlformats.org/officeDocument/2006/relationships/hyperlink" Target="#'Policy &amp; Governance'!A11" TargetMode="External" Id="rId340" /><Relationship Type="http://schemas.openxmlformats.org/officeDocument/2006/relationships/hyperlink" Target="#'Evidence'!A196" TargetMode="External" Id="rId341" /><Relationship Type="http://schemas.openxmlformats.org/officeDocument/2006/relationships/hyperlink" Target="#'Citations'!A232" TargetMode="External" Id="rId342" /><Relationship Type="http://schemas.openxmlformats.org/officeDocument/2006/relationships/hyperlink" Target="#'Policy &amp; Governance'!A12" TargetMode="External" Id="rId343" /><Relationship Type="http://schemas.openxmlformats.org/officeDocument/2006/relationships/hyperlink" Target="#'Evidence'!A197" TargetMode="External" Id="rId344" /><Relationship Type="http://schemas.openxmlformats.org/officeDocument/2006/relationships/hyperlink" Target="#'Citations'!A233" TargetMode="External" Id="rId345" /><Relationship Type="http://schemas.openxmlformats.org/officeDocument/2006/relationships/hyperlink" Target="#'Policy &amp; Governance'!A13" TargetMode="External" Id="rId346" /><Relationship Type="http://schemas.openxmlformats.org/officeDocument/2006/relationships/hyperlink" Target="#'Evidence'!A198" TargetMode="External" Id="rId347" /><Relationship Type="http://schemas.openxmlformats.org/officeDocument/2006/relationships/hyperlink" Target="#'Citations'!A234" TargetMode="External" Id="rId348" /><Relationship Type="http://schemas.openxmlformats.org/officeDocument/2006/relationships/hyperlink" Target="#'Policy &amp; Governance'!A14" TargetMode="External" Id="rId349" /><Relationship Type="http://schemas.openxmlformats.org/officeDocument/2006/relationships/hyperlink" Target="#'Evidence'!A199" TargetMode="External" Id="rId350" /><Relationship Type="http://schemas.openxmlformats.org/officeDocument/2006/relationships/hyperlink" Target="#'Citations'!A235" TargetMode="External" Id="rId351" /><Relationship Type="http://schemas.openxmlformats.org/officeDocument/2006/relationships/hyperlink" Target="#'Policy &amp; Governance'!A15" TargetMode="External" Id="rId352" /><Relationship Type="http://schemas.openxmlformats.org/officeDocument/2006/relationships/hyperlink" Target="#'Evidence'!A200" TargetMode="External" Id="rId353" /><Relationship Type="http://schemas.openxmlformats.org/officeDocument/2006/relationships/hyperlink" Target="#'Citations'!A236" TargetMode="External" Id="rId354" /><Relationship Type="http://schemas.openxmlformats.org/officeDocument/2006/relationships/hyperlink" Target="#'Policy &amp; Governance'!A16" TargetMode="External" Id="rId355" /><Relationship Type="http://schemas.openxmlformats.org/officeDocument/2006/relationships/hyperlink" Target="#'Evidence'!A201" TargetMode="External" Id="rId356" /><Relationship Type="http://schemas.openxmlformats.org/officeDocument/2006/relationships/hyperlink" Target="#'Citations'!A237" TargetMode="External" Id="rId357" /><Relationship Type="http://schemas.openxmlformats.org/officeDocument/2006/relationships/hyperlink" Target="#'Policy &amp; Governance'!A17" TargetMode="External" Id="rId358" /><Relationship Type="http://schemas.openxmlformats.org/officeDocument/2006/relationships/hyperlink" Target="#'Evidence'!A203" TargetMode="External" Id="rId359" /><Relationship Type="http://schemas.openxmlformats.org/officeDocument/2006/relationships/hyperlink" Target="#'Citations'!A239" TargetMode="External" Id="rId360" /><Relationship Type="http://schemas.openxmlformats.org/officeDocument/2006/relationships/hyperlink" Target="#'Policy &amp; Governance'!A18" TargetMode="External" Id="rId361" /><Relationship Type="http://schemas.openxmlformats.org/officeDocument/2006/relationships/hyperlink" Target="#'Evidence'!A204" TargetMode="External" Id="rId362" /><Relationship Type="http://schemas.openxmlformats.org/officeDocument/2006/relationships/hyperlink" Target="#'Citations'!A240" TargetMode="External" Id="rId363" /><Relationship Type="http://schemas.openxmlformats.org/officeDocument/2006/relationships/hyperlink" Target="#'Ideas &amp; Political Method'!A6" TargetMode="External" Id="rId364" /><Relationship Type="http://schemas.openxmlformats.org/officeDocument/2006/relationships/hyperlink" Target="#'Evidence'!A205" TargetMode="External" Id="rId365" /><Relationship Type="http://schemas.openxmlformats.org/officeDocument/2006/relationships/hyperlink" Target="#'Citations'!A241" TargetMode="External" Id="rId366" /><Relationship Type="http://schemas.openxmlformats.org/officeDocument/2006/relationships/hyperlink" Target="#'Ideas &amp; Political Method'!A7" TargetMode="External" Id="rId367" /><Relationship Type="http://schemas.openxmlformats.org/officeDocument/2006/relationships/hyperlink" Target="#'Evidence'!A207" TargetMode="External" Id="rId368" /><Relationship Type="http://schemas.openxmlformats.org/officeDocument/2006/relationships/hyperlink" Target="#'Citations'!A243" TargetMode="External" Id="rId369" /><Relationship Type="http://schemas.openxmlformats.org/officeDocument/2006/relationships/hyperlink" Target="#'Ideas &amp; Political Method'!A8" TargetMode="External" Id="rId370" /><Relationship Type="http://schemas.openxmlformats.org/officeDocument/2006/relationships/hyperlink" Target="#'Evidence'!A209" TargetMode="External" Id="rId371" /><Relationship Type="http://schemas.openxmlformats.org/officeDocument/2006/relationships/hyperlink" Target="#'Citations'!A245" TargetMode="External" Id="rId372" /><Relationship Type="http://schemas.openxmlformats.org/officeDocument/2006/relationships/hyperlink" Target="#'Ideas &amp; Political Method'!A9" TargetMode="External" Id="rId373" /><Relationship Type="http://schemas.openxmlformats.org/officeDocument/2006/relationships/hyperlink" Target="#'Evidence'!A211" TargetMode="External" Id="rId374" /><Relationship Type="http://schemas.openxmlformats.org/officeDocument/2006/relationships/hyperlink" Target="#'Citations'!A247" TargetMode="External" Id="rId375" /><Relationship Type="http://schemas.openxmlformats.org/officeDocument/2006/relationships/hyperlink" Target="#'Ideas &amp; Political Method'!A10" TargetMode="External" Id="rId376" /><Relationship Type="http://schemas.openxmlformats.org/officeDocument/2006/relationships/hyperlink" Target="#'Evidence'!A213" TargetMode="External" Id="rId377" /><Relationship Type="http://schemas.openxmlformats.org/officeDocument/2006/relationships/hyperlink" Target="#'Citations'!A249" TargetMode="External" Id="rId378" /><Relationship Type="http://schemas.openxmlformats.org/officeDocument/2006/relationships/hyperlink" Target="#'Ideas &amp; Political Method'!A11" TargetMode="External" Id="rId379" /><Relationship Type="http://schemas.openxmlformats.org/officeDocument/2006/relationships/hyperlink" Target="#'Evidence'!A214" TargetMode="External" Id="rId380" /><Relationship Type="http://schemas.openxmlformats.org/officeDocument/2006/relationships/hyperlink" Target="#'Citations'!A250" TargetMode="External" Id="rId381" /><Relationship Type="http://schemas.openxmlformats.org/officeDocument/2006/relationships/hyperlink" Target="#'Ideas &amp; Political Method'!A12" TargetMode="External" Id="rId382" /><Relationship Type="http://schemas.openxmlformats.org/officeDocument/2006/relationships/hyperlink" Target="#'Evidence'!A216" TargetMode="External" Id="rId383" /><Relationship Type="http://schemas.openxmlformats.org/officeDocument/2006/relationships/hyperlink" Target="#'Citations'!A252" TargetMode="External" Id="rId384" /><Relationship Type="http://schemas.openxmlformats.org/officeDocument/2006/relationships/hyperlink" Target="#'Ideas &amp; Political Method'!A13" TargetMode="External" Id="rId385" /><Relationship Type="http://schemas.openxmlformats.org/officeDocument/2006/relationships/hyperlink" Target="#'Evidence'!A218" TargetMode="External" Id="rId386" /><Relationship Type="http://schemas.openxmlformats.org/officeDocument/2006/relationships/hyperlink" Target="#'Citations'!A254" TargetMode="External" Id="rId387" /><Relationship Type="http://schemas.openxmlformats.org/officeDocument/2006/relationships/hyperlink" Target="#'Ideas &amp; Political Method'!A14" TargetMode="External" Id="rId388" /><Relationship Type="http://schemas.openxmlformats.org/officeDocument/2006/relationships/hyperlink" Target="#'Evidence'!A220" TargetMode="External" Id="rId389" /><Relationship Type="http://schemas.openxmlformats.org/officeDocument/2006/relationships/hyperlink" Target="#'Citations'!A256" TargetMode="External" Id="rId390" /><Relationship Type="http://schemas.openxmlformats.org/officeDocument/2006/relationships/hyperlink" Target="#'Ideas &amp; Political Method'!A15" TargetMode="External" Id="rId391" /><Relationship Type="http://schemas.openxmlformats.org/officeDocument/2006/relationships/hyperlink" Target="#'Evidence'!A222" TargetMode="External" Id="rId392" /><Relationship Type="http://schemas.openxmlformats.org/officeDocument/2006/relationships/hyperlink" Target="#'Citations'!A258" TargetMode="External" Id="rId393" /><Relationship Type="http://schemas.openxmlformats.org/officeDocument/2006/relationships/hyperlink" Target="#'Ideas &amp; Political Method'!A16" TargetMode="External" Id="rId394" /><Relationship Type="http://schemas.openxmlformats.org/officeDocument/2006/relationships/hyperlink" Target="#'Evidence'!A223" TargetMode="External" Id="rId395" /><Relationship Type="http://schemas.openxmlformats.org/officeDocument/2006/relationships/hyperlink" Target="#'Citations'!A259" TargetMode="External" Id="rId396" /><Relationship Type="http://schemas.openxmlformats.org/officeDocument/2006/relationships/hyperlink" Target="#'Ideas &amp; Political Method'!A17" TargetMode="External" Id="rId397" /><Relationship Type="http://schemas.openxmlformats.org/officeDocument/2006/relationships/hyperlink" Target="#'Evidence'!A225" TargetMode="External" Id="rId398" /><Relationship Type="http://schemas.openxmlformats.org/officeDocument/2006/relationships/hyperlink" Target="#'Citations'!A261" TargetMode="External" Id="rId399" /><Relationship Type="http://schemas.openxmlformats.org/officeDocument/2006/relationships/hyperlink" Target="#'Controversies'!A6" TargetMode="External" Id="rId400" /><Relationship Type="http://schemas.openxmlformats.org/officeDocument/2006/relationships/hyperlink" Target="#'Evidence'!A226" TargetMode="External" Id="rId401" /><Relationship Type="http://schemas.openxmlformats.org/officeDocument/2006/relationships/hyperlink" Target="#'Citations'!A262" TargetMode="External" Id="rId402" /><Relationship Type="http://schemas.openxmlformats.org/officeDocument/2006/relationships/hyperlink" Target="#'Controversies'!A6" TargetMode="External" Id="rId403" /><Relationship Type="http://schemas.openxmlformats.org/officeDocument/2006/relationships/hyperlink" Target="#'Evidence'!A228" TargetMode="External" Id="rId404" /><Relationship Type="http://schemas.openxmlformats.org/officeDocument/2006/relationships/hyperlink" Target="#'Citations'!A262" TargetMode="External" Id="rId405" /><Relationship Type="http://schemas.openxmlformats.org/officeDocument/2006/relationships/hyperlink" Target="#'Controversies'!A6" TargetMode="External" Id="rId406" /><Relationship Type="http://schemas.openxmlformats.org/officeDocument/2006/relationships/hyperlink" Target="#'Evidence'!A230" TargetMode="External" Id="rId407" /><Relationship Type="http://schemas.openxmlformats.org/officeDocument/2006/relationships/hyperlink" Target="#'Citations'!A262" TargetMode="External" Id="rId408" /><Relationship Type="http://schemas.openxmlformats.org/officeDocument/2006/relationships/hyperlink" Target="#'Controversies'!A7" TargetMode="External" Id="rId409" /><Relationship Type="http://schemas.openxmlformats.org/officeDocument/2006/relationships/hyperlink" Target="#'Evidence'!A232" TargetMode="External" Id="rId410" /><Relationship Type="http://schemas.openxmlformats.org/officeDocument/2006/relationships/hyperlink" Target="#'Citations'!A264" TargetMode="External" Id="rId411" /><Relationship Type="http://schemas.openxmlformats.org/officeDocument/2006/relationships/hyperlink" Target="#'Controversies'!A7" TargetMode="External" Id="rId412" /><Relationship Type="http://schemas.openxmlformats.org/officeDocument/2006/relationships/hyperlink" Target="#'Evidence'!A234" TargetMode="External" Id="rId413" /><Relationship Type="http://schemas.openxmlformats.org/officeDocument/2006/relationships/hyperlink" Target="#'Citations'!A264" TargetMode="External" Id="rId414" /><Relationship Type="http://schemas.openxmlformats.org/officeDocument/2006/relationships/hyperlink" Target="#'Controversies'!A7" TargetMode="External" Id="rId415" /><Relationship Type="http://schemas.openxmlformats.org/officeDocument/2006/relationships/hyperlink" Target="#'Evidence'!A236" TargetMode="External" Id="rId416" /><Relationship Type="http://schemas.openxmlformats.org/officeDocument/2006/relationships/hyperlink" Target="#'Citations'!A264" TargetMode="External" Id="rId417" /><Relationship Type="http://schemas.openxmlformats.org/officeDocument/2006/relationships/hyperlink" Target="#'Controversies'!A8" TargetMode="External" Id="rId418" /><Relationship Type="http://schemas.openxmlformats.org/officeDocument/2006/relationships/hyperlink" Target="#'Evidence'!A238" TargetMode="External" Id="rId419" /><Relationship Type="http://schemas.openxmlformats.org/officeDocument/2006/relationships/hyperlink" Target="#'Citations'!A266" TargetMode="External" Id="rId420" /><Relationship Type="http://schemas.openxmlformats.org/officeDocument/2006/relationships/hyperlink" Target="#'Controversies'!A8" TargetMode="External" Id="rId421" /><Relationship Type="http://schemas.openxmlformats.org/officeDocument/2006/relationships/hyperlink" Target="#'Evidence'!A240" TargetMode="External" Id="rId422" /><Relationship Type="http://schemas.openxmlformats.org/officeDocument/2006/relationships/hyperlink" Target="#'Citations'!A266" TargetMode="External" Id="rId423" /><Relationship Type="http://schemas.openxmlformats.org/officeDocument/2006/relationships/hyperlink" Target="#'Controversies'!A8" TargetMode="External" Id="rId424" /><Relationship Type="http://schemas.openxmlformats.org/officeDocument/2006/relationships/hyperlink" Target="#'Evidence'!A242" TargetMode="External" Id="rId425" /><Relationship Type="http://schemas.openxmlformats.org/officeDocument/2006/relationships/hyperlink" Target="#'Citations'!A266" TargetMode="External" Id="rId426" /><Relationship Type="http://schemas.openxmlformats.org/officeDocument/2006/relationships/hyperlink" Target="#'Controversies'!A9" TargetMode="External" Id="rId427" /><Relationship Type="http://schemas.openxmlformats.org/officeDocument/2006/relationships/hyperlink" Target="#'Evidence'!A244" TargetMode="External" Id="rId428" /><Relationship Type="http://schemas.openxmlformats.org/officeDocument/2006/relationships/hyperlink" Target="#'Citations'!A268" TargetMode="External" Id="rId429" /><Relationship Type="http://schemas.openxmlformats.org/officeDocument/2006/relationships/hyperlink" Target="#'Controversies'!A9" TargetMode="External" Id="rId430" /><Relationship Type="http://schemas.openxmlformats.org/officeDocument/2006/relationships/hyperlink" Target="#'Evidence'!A246" TargetMode="External" Id="rId431" /><Relationship Type="http://schemas.openxmlformats.org/officeDocument/2006/relationships/hyperlink" Target="#'Citations'!A268" TargetMode="External" Id="rId432" /><Relationship Type="http://schemas.openxmlformats.org/officeDocument/2006/relationships/hyperlink" Target="#'Controversies'!A9" TargetMode="External" Id="rId433" /><Relationship Type="http://schemas.openxmlformats.org/officeDocument/2006/relationships/hyperlink" Target="#'Evidence'!A248" TargetMode="External" Id="rId434" /><Relationship Type="http://schemas.openxmlformats.org/officeDocument/2006/relationships/hyperlink" Target="#'Citations'!A268" TargetMode="External" Id="rId435" /><Relationship Type="http://schemas.openxmlformats.org/officeDocument/2006/relationships/hyperlink" Target="#'Controversies'!A10" TargetMode="External" Id="rId436" /><Relationship Type="http://schemas.openxmlformats.org/officeDocument/2006/relationships/hyperlink" Target="#'Evidence'!A250" TargetMode="External" Id="rId437" /><Relationship Type="http://schemas.openxmlformats.org/officeDocument/2006/relationships/hyperlink" Target="#'Citations'!A270" TargetMode="External" Id="rId438" /><Relationship Type="http://schemas.openxmlformats.org/officeDocument/2006/relationships/hyperlink" Target="#'Controversies'!A10" TargetMode="External" Id="rId439" /><Relationship Type="http://schemas.openxmlformats.org/officeDocument/2006/relationships/hyperlink" Target="#'Evidence'!A253" TargetMode="External" Id="rId440" /><Relationship Type="http://schemas.openxmlformats.org/officeDocument/2006/relationships/hyperlink" Target="#'Citations'!A270" TargetMode="External" Id="rId441" /><Relationship Type="http://schemas.openxmlformats.org/officeDocument/2006/relationships/hyperlink" Target="#'Controversies'!A10" TargetMode="External" Id="rId442" /><Relationship Type="http://schemas.openxmlformats.org/officeDocument/2006/relationships/hyperlink" Target="#'Evidence'!A256" TargetMode="External" Id="rId443" /><Relationship Type="http://schemas.openxmlformats.org/officeDocument/2006/relationships/hyperlink" Target="#'Citations'!A270" TargetMode="External" Id="rId444" /><Relationship Type="http://schemas.openxmlformats.org/officeDocument/2006/relationships/hyperlink" Target="#'Controversies'!A11" TargetMode="External" Id="rId445" /><Relationship Type="http://schemas.openxmlformats.org/officeDocument/2006/relationships/hyperlink" Target="#'Evidence'!A259" TargetMode="External" Id="rId446" /><Relationship Type="http://schemas.openxmlformats.org/officeDocument/2006/relationships/hyperlink" Target="#'Citations'!A273" TargetMode="External" Id="rId447" /><Relationship Type="http://schemas.openxmlformats.org/officeDocument/2006/relationships/hyperlink" Target="#'Controversies'!A11" TargetMode="External" Id="rId448" /><Relationship Type="http://schemas.openxmlformats.org/officeDocument/2006/relationships/hyperlink" Target="#'Evidence'!A261" TargetMode="External" Id="rId449" /><Relationship Type="http://schemas.openxmlformats.org/officeDocument/2006/relationships/hyperlink" Target="#'Citations'!A273" TargetMode="External" Id="rId450" /><Relationship Type="http://schemas.openxmlformats.org/officeDocument/2006/relationships/hyperlink" Target="#'Controversies'!A11" TargetMode="External" Id="rId451" /><Relationship Type="http://schemas.openxmlformats.org/officeDocument/2006/relationships/hyperlink" Target="#'Evidence'!A263" TargetMode="External" Id="rId452" /><Relationship Type="http://schemas.openxmlformats.org/officeDocument/2006/relationships/hyperlink" Target="#'Citations'!A273" TargetMode="External" Id="rId453" /><Relationship Type="http://schemas.openxmlformats.org/officeDocument/2006/relationships/hyperlink" Target="#'Controversies'!A12" TargetMode="External" Id="rId454" /><Relationship Type="http://schemas.openxmlformats.org/officeDocument/2006/relationships/hyperlink" Target="#'Evidence'!A265" TargetMode="External" Id="rId455" /><Relationship Type="http://schemas.openxmlformats.org/officeDocument/2006/relationships/hyperlink" Target="#'Citations'!A275" TargetMode="External" Id="rId456" /><Relationship Type="http://schemas.openxmlformats.org/officeDocument/2006/relationships/hyperlink" Target="#'Controversies'!A12" TargetMode="External" Id="rId457" /><Relationship Type="http://schemas.openxmlformats.org/officeDocument/2006/relationships/hyperlink" Target="#'Evidence'!A269" TargetMode="External" Id="rId458" /><Relationship Type="http://schemas.openxmlformats.org/officeDocument/2006/relationships/hyperlink" Target="#'Citations'!A275" TargetMode="External" Id="rId459" /><Relationship Type="http://schemas.openxmlformats.org/officeDocument/2006/relationships/hyperlink" Target="#'Controversies'!A12" TargetMode="External" Id="rId460" /><Relationship Type="http://schemas.openxmlformats.org/officeDocument/2006/relationships/hyperlink" Target="#'Evidence'!A273" TargetMode="External" Id="rId461" /><Relationship Type="http://schemas.openxmlformats.org/officeDocument/2006/relationships/hyperlink" Target="#'Citations'!A275" TargetMode="External" Id="rId462" /><Relationship Type="http://schemas.openxmlformats.org/officeDocument/2006/relationships/hyperlink" Target="#'Legacy &amp; Assessments'!A6" TargetMode="External" Id="rId463" /><Relationship Type="http://schemas.openxmlformats.org/officeDocument/2006/relationships/hyperlink" Target="#'Evidence'!A277" TargetMode="External" Id="rId464" /><Relationship Type="http://schemas.openxmlformats.org/officeDocument/2006/relationships/hyperlink" Target="#'Citations'!A279" TargetMode="External" Id="rId465" /><Relationship Type="http://schemas.openxmlformats.org/officeDocument/2006/relationships/hyperlink" Target="#'Legacy &amp; Assessments'!A7" TargetMode="External" Id="rId466" /><Relationship Type="http://schemas.openxmlformats.org/officeDocument/2006/relationships/hyperlink" Target="#'Evidence'!A278" TargetMode="External" Id="rId467" /><Relationship Type="http://schemas.openxmlformats.org/officeDocument/2006/relationships/hyperlink" Target="#'Citations'!A280" TargetMode="External" Id="rId468" /><Relationship Type="http://schemas.openxmlformats.org/officeDocument/2006/relationships/hyperlink" Target="#'Legacy &amp; Assessments'!A8" TargetMode="External" Id="rId469" /><Relationship Type="http://schemas.openxmlformats.org/officeDocument/2006/relationships/hyperlink" Target="#'Evidence'!A279" TargetMode="External" Id="rId470" /><Relationship Type="http://schemas.openxmlformats.org/officeDocument/2006/relationships/hyperlink" Target="#'Citations'!A281" TargetMode="External" Id="rId471" /><Relationship Type="http://schemas.openxmlformats.org/officeDocument/2006/relationships/hyperlink" Target="#'Legacy &amp; Assessments'!A9" TargetMode="External" Id="rId472" /><Relationship Type="http://schemas.openxmlformats.org/officeDocument/2006/relationships/hyperlink" Target="#'Evidence'!A281" TargetMode="External" Id="rId473" /><Relationship Type="http://schemas.openxmlformats.org/officeDocument/2006/relationships/hyperlink" Target="#'Citations'!A283" TargetMode="External" Id="rId474" /><Relationship Type="http://schemas.openxmlformats.org/officeDocument/2006/relationships/hyperlink" Target="#'Legacy &amp; Assessments'!A10" TargetMode="External" Id="rId475" /><Relationship Type="http://schemas.openxmlformats.org/officeDocument/2006/relationships/hyperlink" Target="#'Evidence'!A283" TargetMode="External" Id="rId476" /><Relationship Type="http://schemas.openxmlformats.org/officeDocument/2006/relationships/hyperlink" Target="#'Citations'!A285" TargetMode="External" Id="rId477" /><Relationship Type="http://schemas.openxmlformats.org/officeDocument/2006/relationships/hyperlink" Target="#'Legacy &amp; Assessments'!A11" TargetMode="External" Id="rId478" /><Relationship Type="http://schemas.openxmlformats.org/officeDocument/2006/relationships/hyperlink" Target="#'Evidence'!A285" TargetMode="External" Id="rId479" /><Relationship Type="http://schemas.openxmlformats.org/officeDocument/2006/relationships/hyperlink" Target="#'Citations'!A287" TargetMode="External" Id="rId480" /><Relationship Type="http://schemas.openxmlformats.org/officeDocument/2006/relationships/hyperlink" Target="#'Context &amp; Constraints'!A6" TargetMode="External" Id="rId481" /><Relationship Type="http://schemas.openxmlformats.org/officeDocument/2006/relationships/hyperlink" Target="#'Evidence'!A289" TargetMode="External" Id="rId482" /><Relationship Type="http://schemas.openxmlformats.org/officeDocument/2006/relationships/hyperlink" Target="#'Citations'!A49" TargetMode="External" Id="rId483" /><Relationship Type="http://schemas.openxmlformats.org/officeDocument/2006/relationships/hyperlink" Target="#'Context &amp; Constraints'!A7" TargetMode="External" Id="rId484" /><Relationship Type="http://schemas.openxmlformats.org/officeDocument/2006/relationships/hyperlink" Target="#'Evidence'!A291" TargetMode="External" Id="rId485" /><Relationship Type="http://schemas.openxmlformats.org/officeDocument/2006/relationships/hyperlink" Target="#'Citations'!A51" TargetMode="External" Id="rId486" /><Relationship Type="http://schemas.openxmlformats.org/officeDocument/2006/relationships/hyperlink" Target="#'Context &amp; Constraints'!A8" TargetMode="External" Id="rId487" /><Relationship Type="http://schemas.openxmlformats.org/officeDocument/2006/relationships/hyperlink" Target="#'Evidence'!A293" TargetMode="External" Id="rId488" /><Relationship Type="http://schemas.openxmlformats.org/officeDocument/2006/relationships/hyperlink" Target="#'Citations'!A53" TargetMode="External" Id="rId489" /><Relationship Type="http://schemas.openxmlformats.org/officeDocument/2006/relationships/hyperlink" Target="#'Context &amp; Constraints'!A9" TargetMode="External" Id="rId490" /><Relationship Type="http://schemas.openxmlformats.org/officeDocument/2006/relationships/hyperlink" Target="#'Citations'!A55" TargetMode="External" Id="rId491" /><Relationship Type="http://schemas.openxmlformats.org/officeDocument/2006/relationships/hyperlink" Target="#'Context &amp; Constraints'!A10" TargetMode="External" Id="rId492" /><Relationship Type="http://schemas.openxmlformats.org/officeDocument/2006/relationships/hyperlink" Target="#'Citations'!A56" TargetMode="External" Id="rId493" /><Relationship Type="http://schemas.openxmlformats.org/officeDocument/2006/relationships/hyperlink" Target="#'Context &amp; Constraints'!A11" TargetMode="External" Id="rId494" /><Relationship Type="http://schemas.openxmlformats.org/officeDocument/2006/relationships/hyperlink" Target="#'Evidence'!A295" TargetMode="External" Id="rId495" /><Relationship Type="http://schemas.openxmlformats.org/officeDocument/2006/relationships/hyperlink" Target="#'Citations'!A57" TargetMode="External" Id="rId496" /><Relationship Type="http://schemas.openxmlformats.org/officeDocument/2006/relationships/hyperlink" Target="#'Context &amp; Constraints'!A12" TargetMode="External" Id="rId497" /><Relationship Type="http://schemas.openxmlformats.org/officeDocument/2006/relationships/hyperlink" Target="#'Evidence'!A296" TargetMode="External" Id="rId498" /><Relationship Type="http://schemas.openxmlformats.org/officeDocument/2006/relationships/hyperlink" Target="#'Citations'!A58" TargetMode="External" Id="rId499" /><Relationship Type="http://schemas.openxmlformats.org/officeDocument/2006/relationships/hyperlink" Target="#'Context &amp; Constraints'!A13" TargetMode="External" Id="rId500" /><Relationship Type="http://schemas.openxmlformats.org/officeDocument/2006/relationships/hyperlink" Target="#'Evidence'!A298" TargetMode="External" Id="rId501" /><Relationship Type="http://schemas.openxmlformats.org/officeDocument/2006/relationships/hyperlink" Target="#'Citations'!A60" TargetMode="External" Id="rId502" /><Relationship Type="http://schemas.openxmlformats.org/officeDocument/2006/relationships/hyperlink" Target="#'Context &amp; Constraints'!A14" TargetMode="External" Id="rId503" /><Relationship Type="http://schemas.openxmlformats.org/officeDocument/2006/relationships/hyperlink" Target="#'Evidence'!A300" TargetMode="External" Id="rId504" /><Relationship Type="http://schemas.openxmlformats.org/officeDocument/2006/relationships/hyperlink" Target="#'Citations'!A62" TargetMode="External" Id="rId505" /><Relationship Type="http://schemas.openxmlformats.org/officeDocument/2006/relationships/hyperlink" Target="#'Context &amp; Constraints'!A15" TargetMode="External" Id="rId506" /><Relationship Type="http://schemas.openxmlformats.org/officeDocument/2006/relationships/hyperlink" Target="#'Evidence'!A303" TargetMode="External" Id="rId507" /><Relationship Type="http://schemas.openxmlformats.org/officeDocument/2006/relationships/hyperlink" Target="#'Citations'!A65" TargetMode="External" Id="rId508" /><Relationship Type="http://schemas.openxmlformats.org/officeDocument/2006/relationships/hyperlink" Target="#'Context &amp; Constraints'!A16" TargetMode="External" Id="rId509" /><Relationship Type="http://schemas.openxmlformats.org/officeDocument/2006/relationships/hyperlink" Target="#'Evidence'!A306" TargetMode="External" Id="rId510" /><Relationship Type="http://schemas.openxmlformats.org/officeDocument/2006/relationships/hyperlink" Target="#'Citations'!A68" TargetMode="External" Id="rId511" /><Relationship Type="http://schemas.openxmlformats.org/officeDocument/2006/relationships/hyperlink" Target="#'Context &amp; Constraints'!A17" TargetMode="External" Id="rId512" /><Relationship Type="http://schemas.openxmlformats.org/officeDocument/2006/relationships/hyperlink" Target="#'Evidence'!A308" TargetMode="External" Id="rId513" /><Relationship Type="http://schemas.openxmlformats.org/officeDocument/2006/relationships/hyperlink" Target="#'Citations'!A70" TargetMode="External" Id="rId514" /><Relationship Type="http://schemas.openxmlformats.org/officeDocument/2006/relationships/hyperlink" Target="#'Context &amp; Constraints'!A18" TargetMode="External" Id="rId515" /><Relationship Type="http://schemas.openxmlformats.org/officeDocument/2006/relationships/hyperlink" Target="#'Evidence'!A310" TargetMode="External" Id="rId516" /><Relationship Type="http://schemas.openxmlformats.org/officeDocument/2006/relationships/hyperlink" Target="#'Citations'!A72" TargetMode="External" Id="rId517" /><Relationship Type="http://schemas.openxmlformats.org/officeDocument/2006/relationships/hyperlink" Target="#'Context &amp; Constraints'!A19" TargetMode="External" Id="rId518" /><Relationship Type="http://schemas.openxmlformats.org/officeDocument/2006/relationships/hyperlink" Target="#'Evidence'!A313" TargetMode="External" Id="rId519" /><Relationship Type="http://schemas.openxmlformats.org/officeDocument/2006/relationships/hyperlink" Target="#'Citations'!A75" TargetMode="External" Id="rId520" /><Relationship Type="http://schemas.openxmlformats.org/officeDocument/2006/relationships/hyperlink" Target="#'Context &amp; Constraints'!A20" TargetMode="External" Id="rId521" /><Relationship Type="http://schemas.openxmlformats.org/officeDocument/2006/relationships/hyperlink" Target="#'Citations'!A78" TargetMode="External" Id="rId522" /><Relationship Type="http://schemas.openxmlformats.org/officeDocument/2006/relationships/hyperlink" Target="#'Context &amp; Constraints'!A21" TargetMode="External" Id="rId523" /><Relationship Type="http://schemas.openxmlformats.org/officeDocument/2006/relationships/hyperlink" Target="#'Evidence'!A316" TargetMode="External" Id="rId524" /><Relationship Type="http://schemas.openxmlformats.org/officeDocument/2006/relationships/hyperlink" Target="#'Citations'!A79" TargetMode="External" Id="rId525" /><Relationship Type="http://schemas.openxmlformats.org/officeDocument/2006/relationships/hyperlink" Target="#'Context &amp; Constraints'!A22" TargetMode="External" Id="rId526" /><Relationship Type="http://schemas.openxmlformats.org/officeDocument/2006/relationships/hyperlink" Target="#'Evidence'!A317" TargetMode="External" Id="rId527" /><Relationship Type="http://schemas.openxmlformats.org/officeDocument/2006/relationships/hyperlink" Target="#'Citations'!A80" TargetMode="External" Id="rId528" /><Relationship Type="http://schemas.openxmlformats.org/officeDocument/2006/relationships/hyperlink" Target="#'Context &amp; Constraints'!A23" TargetMode="External" Id="rId529" /><Relationship Type="http://schemas.openxmlformats.org/officeDocument/2006/relationships/hyperlink" Target="#'Evidence'!A321" TargetMode="External" Id="rId530" /><Relationship Type="http://schemas.openxmlformats.org/officeDocument/2006/relationships/hyperlink" Target="#'Citations'!A84" TargetMode="External" Id="rId531" /><Relationship Type="http://schemas.openxmlformats.org/officeDocument/2006/relationships/hyperlink" Target="#'Context &amp; Constraints'!A24" TargetMode="External" Id="rId532" /><Relationship Type="http://schemas.openxmlformats.org/officeDocument/2006/relationships/hyperlink" Target="#'Evidence'!A323" TargetMode="External" Id="rId533" /><Relationship Type="http://schemas.openxmlformats.org/officeDocument/2006/relationships/hyperlink" Target="#'Citations'!A86" TargetMode="External" Id="rId534" /><Relationship Type="http://schemas.openxmlformats.org/officeDocument/2006/relationships/hyperlink" Target="#'Context &amp; Constraints'!A25" TargetMode="External" Id="rId535" /><Relationship Type="http://schemas.openxmlformats.org/officeDocument/2006/relationships/hyperlink" Target="#'Evidence'!A325" TargetMode="External" Id="rId536" /><Relationship Type="http://schemas.openxmlformats.org/officeDocument/2006/relationships/hyperlink" Target="#'Citations'!A88" TargetMode="External" Id="rId537" /><Relationship Type="http://schemas.openxmlformats.org/officeDocument/2006/relationships/hyperlink" Target="#'Context &amp; Constraints'!A26" TargetMode="External" Id="rId538" /><Relationship Type="http://schemas.openxmlformats.org/officeDocument/2006/relationships/hyperlink" Target="#'Evidence'!A328" TargetMode="External" Id="rId539" /><Relationship Type="http://schemas.openxmlformats.org/officeDocument/2006/relationships/hyperlink" Target="#'Citations'!A91" TargetMode="External" Id="rId540" /><Relationship Type="http://schemas.openxmlformats.org/officeDocument/2006/relationships/hyperlink" Target="#'Context &amp; Constraints'!A27" TargetMode="External" Id="rId541" /><Relationship Type="http://schemas.openxmlformats.org/officeDocument/2006/relationships/hyperlink" Target="#'Evidence'!A330" TargetMode="External" Id="rId542" /><Relationship Type="http://schemas.openxmlformats.org/officeDocument/2006/relationships/hyperlink" Target="#'Citations'!A93" TargetMode="External" Id="rId543" /><Relationship Type="http://schemas.openxmlformats.org/officeDocument/2006/relationships/hyperlink" Target="#'Context &amp; Constraints'!A28" TargetMode="External" Id="rId544" /><Relationship Type="http://schemas.openxmlformats.org/officeDocument/2006/relationships/hyperlink" Target="#'Evidence'!A332" TargetMode="External" Id="rId545" /><Relationship Type="http://schemas.openxmlformats.org/officeDocument/2006/relationships/hyperlink" Target="#'Citations'!A95" TargetMode="External" Id="rId546" /><Relationship Type="http://schemas.openxmlformats.org/officeDocument/2006/relationships/hyperlink" Target="#'Context &amp; Constraints'!A29" TargetMode="External" Id="rId547" /><Relationship Type="http://schemas.openxmlformats.org/officeDocument/2006/relationships/hyperlink" Target="#'Evidence'!A334" TargetMode="External" Id="rId548" /><Relationship Type="http://schemas.openxmlformats.org/officeDocument/2006/relationships/hyperlink" Target="#'Citations'!A97" TargetMode="External" Id="rId549" /><Relationship Type="http://schemas.openxmlformats.org/officeDocument/2006/relationships/hyperlink" Target="#'Context &amp; Constraints'!A30" TargetMode="External" Id="rId550" /><Relationship Type="http://schemas.openxmlformats.org/officeDocument/2006/relationships/hyperlink" Target="#'Evidence'!A337" TargetMode="External" Id="rId551" /><Relationship Type="http://schemas.openxmlformats.org/officeDocument/2006/relationships/hyperlink" Target="#'Citations'!A100" TargetMode="External" Id="rId552" /><Relationship Type="http://schemas.openxmlformats.org/officeDocument/2006/relationships/hyperlink" Target="#'Context &amp; Constraints'!A31" TargetMode="External" Id="rId553" /><Relationship Type="http://schemas.openxmlformats.org/officeDocument/2006/relationships/hyperlink" Target="#'Evidence'!A338" TargetMode="External" Id="rId554" /><Relationship Type="http://schemas.openxmlformats.org/officeDocument/2006/relationships/hyperlink" Target="#'Citations'!A101" TargetMode="External" Id="rId555" /><Relationship Type="http://schemas.openxmlformats.org/officeDocument/2006/relationships/hyperlink" Target="#'Context &amp; Constraints'!A32" TargetMode="External" Id="rId556" /><Relationship Type="http://schemas.openxmlformats.org/officeDocument/2006/relationships/hyperlink" Target="#'Evidence'!A341" TargetMode="External" Id="rId557" /><Relationship Type="http://schemas.openxmlformats.org/officeDocument/2006/relationships/hyperlink" Target="#'Citations'!A104" TargetMode="External" Id="rId558" /><Relationship Type="http://schemas.openxmlformats.org/officeDocument/2006/relationships/hyperlink" Target="#'Context &amp; Constraints'!A33" TargetMode="External" Id="rId559" /><Relationship Type="http://schemas.openxmlformats.org/officeDocument/2006/relationships/hyperlink" Target="#'Evidence'!A344" TargetMode="External" Id="rId560" /><Relationship Type="http://schemas.openxmlformats.org/officeDocument/2006/relationships/hyperlink" Target="#'Citations'!A107" TargetMode="External" Id="rId561" /><Relationship Type="http://schemas.openxmlformats.org/officeDocument/2006/relationships/hyperlink" Target="#'Context &amp; Constraints'!A34" TargetMode="External" Id="rId562" /><Relationship Type="http://schemas.openxmlformats.org/officeDocument/2006/relationships/hyperlink" Target="#'Evidence'!A346" TargetMode="External" Id="rId563" /><Relationship Type="http://schemas.openxmlformats.org/officeDocument/2006/relationships/hyperlink" Target="#'Citations'!A109" TargetMode="External" Id="rId564" /><Relationship Type="http://schemas.openxmlformats.org/officeDocument/2006/relationships/hyperlink" Target="#'Context &amp; Constraints'!A35" TargetMode="External" Id="rId565" /><Relationship Type="http://schemas.openxmlformats.org/officeDocument/2006/relationships/hyperlink" Target="#'Evidence'!A348" TargetMode="External" Id="rId566" /><Relationship Type="http://schemas.openxmlformats.org/officeDocument/2006/relationships/hyperlink" Target="#'Citations'!A111" TargetMode="External" Id="rId567" /><Relationship Type="http://schemas.openxmlformats.org/officeDocument/2006/relationships/hyperlink" Target="#'Context &amp; Constraints'!A36" TargetMode="External" Id="rId568" /><Relationship Type="http://schemas.openxmlformats.org/officeDocument/2006/relationships/hyperlink" Target="#'Evidence'!A350" TargetMode="External" Id="rId569" /><Relationship Type="http://schemas.openxmlformats.org/officeDocument/2006/relationships/hyperlink" Target="#'Citations'!A113" TargetMode="External" Id="rId570" /><Relationship Type="http://schemas.openxmlformats.org/officeDocument/2006/relationships/hyperlink" Target="#'Context &amp; Constraints'!A37" TargetMode="External" Id="rId571" /><Relationship Type="http://schemas.openxmlformats.org/officeDocument/2006/relationships/hyperlink" Target="#'Evidence'!A352" TargetMode="External" Id="rId572" /><Relationship Type="http://schemas.openxmlformats.org/officeDocument/2006/relationships/hyperlink" Target="#'Citations'!A115" TargetMode="External" Id="rId573" /><Relationship Type="http://schemas.openxmlformats.org/officeDocument/2006/relationships/hyperlink" Target="#'Context &amp; Constraints'!A38" TargetMode="External" Id="rId574" /><Relationship Type="http://schemas.openxmlformats.org/officeDocument/2006/relationships/hyperlink" Target="#'Evidence'!A354" TargetMode="External" Id="rId575" /><Relationship Type="http://schemas.openxmlformats.org/officeDocument/2006/relationships/hyperlink" Target="#'Citations'!A117" TargetMode="External" Id="rId576" /><Relationship Type="http://schemas.openxmlformats.org/officeDocument/2006/relationships/hyperlink" Target="#'Context &amp; Constraints'!A39" TargetMode="External" Id="rId577" /><Relationship Type="http://schemas.openxmlformats.org/officeDocument/2006/relationships/hyperlink" Target="#'Citations'!A120" TargetMode="External" Id="rId578" /><Relationship Type="http://schemas.openxmlformats.org/officeDocument/2006/relationships/hyperlink" Target="#'Context &amp; Constraints'!A40" TargetMode="External" Id="rId579" /><Relationship Type="http://schemas.openxmlformats.org/officeDocument/2006/relationships/hyperlink" Target="#'Citations'!A123" TargetMode="External" Id="rId580" /><Relationship Type="http://schemas.openxmlformats.org/officeDocument/2006/relationships/hyperlink" Target="#'Context &amp; Constraints'!A41" TargetMode="External" Id="rId581" /><Relationship Type="http://schemas.openxmlformats.org/officeDocument/2006/relationships/hyperlink" Target="#'Evidence'!A357" TargetMode="External" Id="rId582" /><Relationship Type="http://schemas.openxmlformats.org/officeDocument/2006/relationships/hyperlink" Target="#'Citations'!A125" TargetMode="External" Id="rId583" /><Relationship Type="http://schemas.openxmlformats.org/officeDocument/2006/relationships/hyperlink" Target="#'Context &amp; Constraints'!A42" TargetMode="External" Id="rId584" /><Relationship Type="http://schemas.openxmlformats.org/officeDocument/2006/relationships/hyperlink" Target="#'Evidence'!A359" TargetMode="External" Id="rId585" /><Relationship Type="http://schemas.openxmlformats.org/officeDocument/2006/relationships/hyperlink" Target="#'Citations'!A127" TargetMode="External" Id="rId586" /><Relationship Type="http://schemas.openxmlformats.org/officeDocument/2006/relationships/hyperlink" Target="#'Context &amp; Constraints'!A43" TargetMode="External" Id="rId587" /><Relationship Type="http://schemas.openxmlformats.org/officeDocument/2006/relationships/hyperlink" Target="#'Evidence'!A361" TargetMode="External" Id="rId588" /><Relationship Type="http://schemas.openxmlformats.org/officeDocument/2006/relationships/hyperlink" Target="#'Citations'!A129" TargetMode="External" Id="rId589" /><Relationship Type="http://schemas.openxmlformats.org/officeDocument/2006/relationships/hyperlink" Target="#'Context &amp; Constraints'!A44" TargetMode="External" Id="rId590" /><Relationship Type="http://schemas.openxmlformats.org/officeDocument/2006/relationships/hyperlink" Target="#'Evidence'!A363" TargetMode="External" Id="rId591" /><Relationship Type="http://schemas.openxmlformats.org/officeDocument/2006/relationships/hyperlink" Target="#'Citations'!A131" TargetMode="External" Id="rId592" /><Relationship Type="http://schemas.openxmlformats.org/officeDocument/2006/relationships/hyperlink" Target="#'Context &amp; Constraints'!A45" TargetMode="External" Id="rId593" /><Relationship Type="http://schemas.openxmlformats.org/officeDocument/2006/relationships/hyperlink" Target="#'Evidence'!A365" TargetMode="External" Id="rId594" /><Relationship Type="http://schemas.openxmlformats.org/officeDocument/2006/relationships/hyperlink" Target="#'Citations'!A133" TargetMode="External" Id="rId595" /><Relationship Type="http://schemas.openxmlformats.org/officeDocument/2006/relationships/hyperlink" Target="#'Context &amp; Constraints'!A46" TargetMode="External" Id="rId596" /><Relationship Type="http://schemas.openxmlformats.org/officeDocument/2006/relationships/hyperlink" Target="#'Citations'!A136" TargetMode="External" Id="rId597" /><Relationship Type="http://schemas.openxmlformats.org/officeDocument/2006/relationships/hyperlink" Target="#'Context &amp; Constraints'!A47" TargetMode="External" Id="rId598" /><Relationship Type="http://schemas.openxmlformats.org/officeDocument/2006/relationships/hyperlink" Target="#'Citations'!A139" TargetMode="External" Id="rId599" /><Relationship Type="http://schemas.openxmlformats.org/officeDocument/2006/relationships/hyperlink" Target="#'Context &amp; Constraints'!A48" TargetMode="External" Id="rId600" /><Relationship Type="http://schemas.openxmlformats.org/officeDocument/2006/relationships/hyperlink" Target="#'Evidence'!A368" TargetMode="External" Id="rId601" /><Relationship Type="http://schemas.openxmlformats.org/officeDocument/2006/relationships/hyperlink" Target="#'Citations'!A141" TargetMode="External" Id="rId602" /><Relationship Type="http://schemas.openxmlformats.org/officeDocument/2006/relationships/hyperlink" Target="#'Context &amp; Constraints'!A49" TargetMode="External" Id="rId603" /><Relationship Type="http://schemas.openxmlformats.org/officeDocument/2006/relationships/hyperlink" Target="#'Citations'!A143" TargetMode="External" Id="rId604" /><Relationship Type="http://schemas.openxmlformats.org/officeDocument/2006/relationships/hyperlink" Target="#'Context &amp; Constraints'!A50" TargetMode="External" Id="rId605" /><Relationship Type="http://schemas.openxmlformats.org/officeDocument/2006/relationships/hyperlink" Target="#'Evidence'!A370" TargetMode="External" Id="rId606" /><Relationship Type="http://schemas.openxmlformats.org/officeDocument/2006/relationships/hyperlink" Target="#'Citations'!A144" TargetMode="External" Id="rId607" /><Relationship Type="http://schemas.openxmlformats.org/officeDocument/2006/relationships/hyperlink" Target="#'Context &amp; Constraints'!A51" TargetMode="External" Id="rId608" /><Relationship Type="http://schemas.openxmlformats.org/officeDocument/2006/relationships/hyperlink" Target="#'Evidence'!A371" TargetMode="External" Id="rId609" /><Relationship Type="http://schemas.openxmlformats.org/officeDocument/2006/relationships/hyperlink" Target="#'Citations'!A145" TargetMode="External" Id="rId610" /><Relationship Type="http://schemas.openxmlformats.org/officeDocument/2006/relationships/hyperlink" Target="#'Context &amp; Constraints'!A52" TargetMode="External" Id="rId611" /><Relationship Type="http://schemas.openxmlformats.org/officeDocument/2006/relationships/hyperlink" Target="#'Evidence'!A372" TargetMode="External" Id="rId612" /><Relationship Type="http://schemas.openxmlformats.org/officeDocument/2006/relationships/hyperlink" Target="#'Citations'!A146" TargetMode="External" Id="rId613" /><Relationship Type="http://schemas.openxmlformats.org/officeDocument/2006/relationships/hyperlink" Target="#'Context &amp; Constraints'!A53" TargetMode="External" Id="rId614" /><Relationship Type="http://schemas.openxmlformats.org/officeDocument/2006/relationships/hyperlink" Target="#'Evidence'!A374" TargetMode="External" Id="rId615" /><Relationship Type="http://schemas.openxmlformats.org/officeDocument/2006/relationships/hyperlink" Target="#'Citations'!A148" TargetMode="External" Id="rId616" /><Relationship Type="http://schemas.openxmlformats.org/officeDocument/2006/relationships/hyperlink" Target="#'Context &amp; Constraints'!A54" TargetMode="External" Id="rId617" /><Relationship Type="http://schemas.openxmlformats.org/officeDocument/2006/relationships/hyperlink" Target="#'Evidence'!A375" TargetMode="External" Id="rId618" /><Relationship Type="http://schemas.openxmlformats.org/officeDocument/2006/relationships/hyperlink" Target="#'Citations'!A149" TargetMode="External" Id="rId619" /><Relationship Type="http://schemas.openxmlformats.org/officeDocument/2006/relationships/hyperlink" Target="#'Context &amp; Constraints'!A55" TargetMode="External" Id="rId620" /><Relationship Type="http://schemas.openxmlformats.org/officeDocument/2006/relationships/hyperlink" Target="#'Citations'!A151" TargetMode="External" Id="rId621" /><Relationship Type="http://schemas.openxmlformats.org/officeDocument/2006/relationships/table" Target="/xl/tables/table11.xml" Id="rId622" /></Relationships>
</file>

<file path=xl/worksheets/_rels/sheet12.xml.rels><Relationships xmlns="http://schemas.openxmlformats.org/package/2006/relationships"><Relationship Type="http://schemas.openxmlformats.org/officeDocument/2006/relationships/hyperlink" Target="#'Claims'!A6" TargetMode="External" Id="rId1" /><Relationship Type="http://schemas.openxmlformats.org/officeDocument/2006/relationships/hyperlink" Target="#'Sources'!A9" TargetMode="External" Id="rId2" /><Relationship Type="http://schemas.openxmlformats.org/officeDocument/2006/relationships/hyperlink" Target="https://inc.in/leadership/past-party-presidents/shri-rahul-gandhi" TargetMode="External" Id="rId3" /><Relationship Type="http://schemas.openxmlformats.org/officeDocument/2006/relationships/hyperlink" Target="#'Claims'!A7" TargetMode="External" Id="rId4" /><Relationship Type="http://schemas.openxmlformats.org/officeDocument/2006/relationships/hyperlink" Target="#'Sources'!A7" TargetMode="External" Id="rId5" /><Relationship Type="http://schemas.openxmlformats.org/officeDocument/2006/relationships/hyperlink" Target="https://sansad.in/ls/about/leader-of-opposition" TargetMode="External" Id="rId6" /><Relationship Type="http://schemas.openxmlformats.org/officeDocument/2006/relationships/hyperlink" Target="#'Claims'!A7" TargetMode="External" Id="rId7" /><Relationship Type="http://schemas.openxmlformats.org/officeDocument/2006/relationships/hyperlink" Target="#'Sources'!A8" TargetMode="External" Id="rId8" /><Relationship Type="http://schemas.openxmlformats.org/officeDocument/2006/relationships/hyperlink" Target="https://prsindia.org/mptrack/18-lok-sabha/rahul-gandhi" TargetMode="External" Id="rId9" /><Relationship Type="http://schemas.openxmlformats.org/officeDocument/2006/relationships/hyperlink" Target="#'Claims'!A8" TargetMode="External" Id="rId10" /><Relationship Type="http://schemas.openxmlformats.org/officeDocument/2006/relationships/hyperlink" Target="#'Sources'!A9" TargetMode="External" Id="rId11" /><Relationship Type="http://schemas.openxmlformats.org/officeDocument/2006/relationships/hyperlink" Target="https://inc.in/leadership/past-party-presidents/shri-rahul-gandhi" TargetMode="External" Id="rId12" /><Relationship Type="http://schemas.openxmlformats.org/officeDocument/2006/relationships/hyperlink" Target="#'Claims'!A8" TargetMode="External" Id="rId13" /><Relationship Type="http://schemas.openxmlformats.org/officeDocument/2006/relationships/hyperlink" Target="#'Sources'!A16" TargetMode="External" Id="rId14" /><Relationship Type="http://schemas.openxmlformats.org/officeDocument/2006/relationships/hyperlink" Target="https://indianexpress.com/article/political-pulse/rahul-gandhi-returns-mp-lok-sabha-supreme-court-8880307/" TargetMode="External" Id="rId15" /><Relationship Type="http://schemas.openxmlformats.org/officeDocument/2006/relationships/hyperlink" Target="#'Claims'!A8" TargetMode="External" Id="rId16" /><Relationship Type="http://schemas.openxmlformats.org/officeDocument/2006/relationships/hyperlink" Target="#'Sources'!A47" TargetMode="External" Id="rId17" /><Relationship Type="http://schemas.openxmlformats.org/officeDocument/2006/relationships/hyperlink" Target="https://prsindia.org/mptrack/17-lok-sabha/rahul-gandhi" TargetMode="External" Id="rId18" /><Relationship Type="http://schemas.openxmlformats.org/officeDocument/2006/relationships/hyperlink" Target="#'Claims'!A8" TargetMode="External" Id="rId19" /><Relationship Type="http://schemas.openxmlformats.org/officeDocument/2006/relationships/hyperlink" Target="#'Sources'!A48" TargetMode="External" Id="rId20" /><Relationship Type="http://schemas.openxmlformats.org/officeDocument/2006/relationships/hyperlink" Target="https://www.ndtv.com/india-news/rahul-gandhi-resigns-from-wayanad-seat-retains-raebareli-5918402" TargetMode="External" Id="rId21" /><Relationship Type="http://schemas.openxmlformats.org/officeDocument/2006/relationships/hyperlink" Target="#'Claims'!A9" TargetMode="External" Id="rId22" /><Relationship Type="http://schemas.openxmlformats.org/officeDocument/2006/relationships/hyperlink" Target="#'Sources'!A9" TargetMode="External" Id="rId23" /><Relationship Type="http://schemas.openxmlformats.org/officeDocument/2006/relationships/hyperlink" Target="https://inc.in/leadership/past-party-presidents/shri-rahul-gandhi" TargetMode="External" Id="rId24" /><Relationship Type="http://schemas.openxmlformats.org/officeDocument/2006/relationships/hyperlink" Target="#'Claims'!A9" TargetMode="External" Id="rId25" /><Relationship Type="http://schemas.openxmlformats.org/officeDocument/2006/relationships/hyperlink" Target="#'Sources'!A19" TargetMode="External" Id="rId26" /><Relationship Type="http://schemas.openxmlformats.org/officeDocument/2006/relationships/hyperlink" Target="https://www.ndtv.com/india-news/rahul-gandhis-open-letter-full-text-at-times-i-stood-completely-alone-2063455" TargetMode="External" Id="rId27" /><Relationship Type="http://schemas.openxmlformats.org/officeDocument/2006/relationships/hyperlink" Target="#'Claims'!A10" TargetMode="External" Id="rId28" /><Relationship Type="http://schemas.openxmlformats.org/officeDocument/2006/relationships/hyperlink" Target="#'Sources'!A10" TargetMode="External" Id="rId29" /><Relationship Type="http://schemas.openxmlformats.org/officeDocument/2006/relationships/hyperlink" Target="https://indianexpress.com/article/explained/explained-politics/rahul-gandhi-turns-53-what-he-was-doing-before-politics-8672843/lite/" TargetMode="External" Id="rId30" /><Relationship Type="http://schemas.openxmlformats.org/officeDocument/2006/relationships/hyperlink" Target="#'Claims'!A10" TargetMode="External" Id="rId31" /><Relationship Type="http://schemas.openxmlformats.org/officeDocument/2006/relationships/hyperlink" Target="#'Sources'!A9" TargetMode="External" Id="rId32" /><Relationship Type="http://schemas.openxmlformats.org/officeDocument/2006/relationships/hyperlink" Target="https://inc.in/leadership/past-party-presidents/shri-rahul-gandhi" TargetMode="External" Id="rId33" /><Relationship Type="http://schemas.openxmlformats.org/officeDocument/2006/relationships/hyperlink" Target="#'Claims'!A11" TargetMode="External" Id="rId34" /><Relationship Type="http://schemas.openxmlformats.org/officeDocument/2006/relationships/hyperlink" Target="#'Sources'!A11" TargetMode="External" Id="rId35" /><Relationship Type="http://schemas.openxmlformats.org/officeDocument/2006/relationships/hyperlink" Target="https://www.eci.gov.in/eci-backend/public/all_files/GE-2024-statistical-report/33-Constituency-Wise-Detailed-Result.pdf" TargetMode="External" Id="rId36" /><Relationship Type="http://schemas.openxmlformats.org/officeDocument/2006/relationships/hyperlink" Target="#'Claims'!A11" TargetMode="External" Id="rId37" /><Relationship Type="http://schemas.openxmlformats.org/officeDocument/2006/relationships/hyperlink" Target="#'Sources'!A12" TargetMode="External" Id="rId38" /><Relationship Type="http://schemas.openxmlformats.org/officeDocument/2006/relationships/hyperlink" Target="https://adrindia.org/sites/default/files/Analysis_of_Vote_Share_Margin_Of_Victory_Lok_Sabha__2019.pdf" TargetMode="External" Id="rId39" /><Relationship Type="http://schemas.openxmlformats.org/officeDocument/2006/relationships/hyperlink" Target="#'Claims'!A11" TargetMode="External" Id="rId40" /><Relationship Type="http://schemas.openxmlformats.org/officeDocument/2006/relationships/hyperlink" Target="#'Sources'!A13" TargetMode="External" Id="rId41" /><Relationship Type="http://schemas.openxmlformats.org/officeDocument/2006/relationships/hyperlink" Target="https://www.moneycontrol.com/elections/lok-sabha-election/uttar-pradesh/constituencies/amethi-constituency-s24led2008p037/" TargetMode="External" Id="rId42" /><Relationship Type="http://schemas.openxmlformats.org/officeDocument/2006/relationships/hyperlink" Target="#'Claims'!A11" TargetMode="External" Id="rId43" /><Relationship Type="http://schemas.openxmlformats.org/officeDocument/2006/relationships/hyperlink" Target="#'Sources'!A14" TargetMode="External" Id="rId44" /><Relationship Type="http://schemas.openxmlformats.org/officeDocument/2006/relationships/hyperlink" Target="https://www.elections.in/parliamentary-constituencies/2004-election-results.html" TargetMode="External" Id="rId45" /><Relationship Type="http://schemas.openxmlformats.org/officeDocument/2006/relationships/hyperlink" Target="#'Claims'!A12" TargetMode="External" Id="rId46" /><Relationship Type="http://schemas.openxmlformats.org/officeDocument/2006/relationships/hyperlink" Target="#'Sources'!A9" TargetMode="External" Id="rId47" /><Relationship Type="http://schemas.openxmlformats.org/officeDocument/2006/relationships/hyperlink" Target="https://inc.in/leadership/past-party-presidents/shri-rahul-gandhi" TargetMode="External" Id="rId48" /><Relationship Type="http://schemas.openxmlformats.org/officeDocument/2006/relationships/hyperlink" Target="#'Claims'!A12" TargetMode="External" Id="rId49" /><Relationship Type="http://schemas.openxmlformats.org/officeDocument/2006/relationships/hyperlink" Target="#'Sources'!A27" TargetMode="External" Id="rId50" /><Relationship Type="http://schemas.openxmlformats.org/officeDocument/2006/relationships/hyperlink" Target="https://timesofindia.indiatimes.com/india/youth-congress-to-retain-internal-polls/articleshow/36734347.cms" TargetMode="External" Id="rId51" /><Relationship Type="http://schemas.openxmlformats.org/officeDocument/2006/relationships/hyperlink" Target="#'Claims'!A12" TargetMode="External" Id="rId52" /><Relationship Type="http://schemas.openxmlformats.org/officeDocument/2006/relationships/hyperlink" Target="#'Sources'!A20" TargetMode="External" Id="rId53" /><Relationship Type="http://schemas.openxmlformats.org/officeDocument/2006/relationships/hyperlink" Target="https://indianexpress.com/article/political-pulse/rahul-modi-shah-doval-srinagar-bharat-jodo-yatra-8413548/" TargetMode="External" Id="rId54" /><Relationship Type="http://schemas.openxmlformats.org/officeDocument/2006/relationships/hyperlink" Target="#'Claims'!A12" TargetMode="External" Id="rId55" /><Relationship Type="http://schemas.openxmlformats.org/officeDocument/2006/relationships/hyperlink" Target="#'Sources'!A7" TargetMode="External" Id="rId56" /><Relationship Type="http://schemas.openxmlformats.org/officeDocument/2006/relationships/hyperlink" Target="https://sansad.in/ls/about/leader-of-opposition" TargetMode="External" Id="rId57" /><Relationship Type="http://schemas.openxmlformats.org/officeDocument/2006/relationships/hyperlink" Target="#'Claims'!A13" TargetMode="External" Id="rId58" /><Relationship Type="http://schemas.openxmlformats.org/officeDocument/2006/relationships/hyperlink" Target="#'Sources'!A26" TargetMode="External" Id="rId59" /><Relationship Type="http://schemas.openxmlformats.org/officeDocument/2006/relationships/hyperlink" Target="https://indianexpress.com/article/political-pulse/in-kerala-youth-cong-dissent-over-rahuls-internal-election-system/" TargetMode="External" Id="rId60" /><Relationship Type="http://schemas.openxmlformats.org/officeDocument/2006/relationships/hyperlink" Target="#'Claims'!A13" TargetMode="External" Id="rId61" /><Relationship Type="http://schemas.openxmlformats.org/officeDocument/2006/relationships/hyperlink" Target="#'Sources'!A27" TargetMode="External" Id="rId62" /><Relationship Type="http://schemas.openxmlformats.org/officeDocument/2006/relationships/hyperlink" Target="https://timesofindia.indiatimes.com/india/youth-congress-to-retain-internal-polls/articleshow/36734347.cms" TargetMode="External" Id="rId63" /><Relationship Type="http://schemas.openxmlformats.org/officeDocument/2006/relationships/hyperlink" Target="#'Claims'!A13" TargetMode="External" Id="rId64" /><Relationship Type="http://schemas.openxmlformats.org/officeDocument/2006/relationships/hyperlink" Target="#'Sources'!A28" TargetMode="External" Id="rId65" /><Relationship Type="http://schemas.openxmlformats.org/officeDocument/2006/relationships/hyperlink" Target="https://www.marketscreener.com/news/latest/Ridiculed-for-a-decade-India-s-Rahul-Gandhi-slows-Modi-juggernaut-46900641/" TargetMode="External" Id="rId66" /><Relationship Type="http://schemas.openxmlformats.org/officeDocument/2006/relationships/hyperlink" Target="#'Claims'!A13" TargetMode="External" Id="rId67" /><Relationship Type="http://schemas.openxmlformats.org/officeDocument/2006/relationships/hyperlink" Target="#'Sources'!A40" TargetMode="External" Id="rId68" /><Relationship Type="http://schemas.openxmlformats.org/officeDocument/2006/relationships/hyperlink" Target="https://indianexpress.com/article/india/rahul-gandhi-caste-census-population-congress-centre-cabinet-9975117/" TargetMode="External" Id="rId69" /><Relationship Type="http://schemas.openxmlformats.org/officeDocument/2006/relationships/hyperlink" Target="#'Claims'!A13" TargetMode="External" Id="rId70" /><Relationship Type="http://schemas.openxmlformats.org/officeDocument/2006/relationships/hyperlink" Target="#'Sources'!A41" TargetMode="External" Id="rId71" /><Relationship Type="http://schemas.openxmlformats.org/officeDocument/2006/relationships/hyperlink" Target="https://www.pib.gov.in/PressReleasePage.aspx?PRID=2125576" TargetMode="External" Id="rId72" /><Relationship Type="http://schemas.openxmlformats.org/officeDocument/2006/relationships/hyperlink" Target="#'Claims'!A14" TargetMode="External" Id="rId73" /><Relationship Type="http://schemas.openxmlformats.org/officeDocument/2006/relationships/hyperlink" Target="#'Sources'!A21" TargetMode="External" Id="rId74" /><Relationship Type="http://schemas.openxmlformats.org/officeDocument/2006/relationships/hyperlink" Target="https://manifesto.inc.in/en/equity/" TargetMode="External" Id="rId75" /><Relationship Type="http://schemas.openxmlformats.org/officeDocument/2006/relationships/hyperlink" Target="#'Claims'!A14" TargetMode="External" Id="rId76" /><Relationship Type="http://schemas.openxmlformats.org/officeDocument/2006/relationships/hyperlink" Target="#'Sources'!A22" TargetMode="External" Id="rId77" /><Relationship Type="http://schemas.openxmlformats.org/officeDocument/2006/relationships/hyperlink" Target="https://manifesto.inc.in/en/women/" TargetMode="External" Id="rId78" /><Relationship Type="http://schemas.openxmlformats.org/officeDocument/2006/relationships/hyperlink" Target="#'Claims'!A14" TargetMode="External" Id="rId79" /><Relationship Type="http://schemas.openxmlformats.org/officeDocument/2006/relationships/hyperlink" Target="#'Sources'!A23" TargetMode="External" Id="rId80" /><Relationship Type="http://schemas.openxmlformats.org/officeDocument/2006/relationships/hyperlink" Target="https://manifesto.inc.in/en/youth/" TargetMode="External" Id="rId81" /><Relationship Type="http://schemas.openxmlformats.org/officeDocument/2006/relationships/hyperlink" Target="#'Claims'!A14" TargetMode="External" Id="rId82" /><Relationship Type="http://schemas.openxmlformats.org/officeDocument/2006/relationships/hyperlink" Target="#'Sources'!A24" TargetMode="External" Id="rId83" /><Relationship Type="http://schemas.openxmlformats.org/officeDocument/2006/relationships/hyperlink" Target="https://manifesto.inc.in/en/farmers/" TargetMode="External" Id="rId84" /><Relationship Type="http://schemas.openxmlformats.org/officeDocument/2006/relationships/hyperlink" Target="#'Claims'!A14" TargetMode="External" Id="rId85" /><Relationship Type="http://schemas.openxmlformats.org/officeDocument/2006/relationships/hyperlink" Target="#'Sources'!A38" TargetMode="External" Id="rId86" /><Relationship Type="http://schemas.openxmlformats.org/officeDocument/2006/relationships/hyperlink" Target="https://indianexpress.com/article/india/lok-sabha-rahul-gandhi-women-reservation-bill-obc-quota-8948629/" TargetMode="External" Id="rId87" /><Relationship Type="http://schemas.openxmlformats.org/officeDocument/2006/relationships/hyperlink" Target="#'Claims'!A14" TargetMode="External" Id="rId88" /><Relationship Type="http://schemas.openxmlformats.org/officeDocument/2006/relationships/hyperlink" Target="#'Sources'!A33" TargetMode="External" Id="rId89" /><Relationship Type="http://schemas.openxmlformats.org/officeDocument/2006/relationships/hyperlink" Target="https://www.ndtv.com/india-news/rs-72-000-will-be-given-to-beneficiaries-under-nyay-scheme-rahul-gandhi-2031993" TargetMode="External" Id="rId90" /><Relationship Type="http://schemas.openxmlformats.org/officeDocument/2006/relationships/hyperlink" Target="#'Claims'!A15" TargetMode="External" Id="rId91" /><Relationship Type="http://schemas.openxmlformats.org/officeDocument/2006/relationships/hyperlink" Target="#'Sources'!A39" TargetMode="External" Id="rId92" /><Relationship Type="http://schemas.openxmlformats.org/officeDocument/2006/relationships/hyperlink" Target="https://www.ndtv.com/assembly/i-take-responsibility-says-rahul-gandhi-about-up-results-470319" TargetMode="External" Id="rId93" /><Relationship Type="http://schemas.openxmlformats.org/officeDocument/2006/relationships/hyperlink" Target="#'Claims'!A15" TargetMode="External" Id="rId94" /><Relationship Type="http://schemas.openxmlformats.org/officeDocument/2006/relationships/hyperlink" Target="#'Sources'!A19" TargetMode="External" Id="rId95" /><Relationship Type="http://schemas.openxmlformats.org/officeDocument/2006/relationships/hyperlink" Target="https://www.ndtv.com/india-news/rahul-gandhis-open-letter-full-text-at-times-i-stood-completely-alone-2063455" TargetMode="External" Id="rId96" /><Relationship Type="http://schemas.openxmlformats.org/officeDocument/2006/relationships/hyperlink" Target="#'Claims'!A15" TargetMode="External" Id="rId97" /><Relationship Type="http://schemas.openxmlformats.org/officeDocument/2006/relationships/hyperlink" Target="#'Sources'!A12" TargetMode="External" Id="rId98" /><Relationship Type="http://schemas.openxmlformats.org/officeDocument/2006/relationships/hyperlink" Target="https://adrindia.org/sites/default/files/Analysis_of_Vote_Share_Margin_Of_Victory_Lok_Sabha__2019.pdf" TargetMode="External" Id="rId99" /><Relationship Type="http://schemas.openxmlformats.org/officeDocument/2006/relationships/hyperlink" Target="#'Claims'!A15" TargetMode="External" Id="rId100" /><Relationship Type="http://schemas.openxmlformats.org/officeDocument/2006/relationships/hyperlink" Target="#'Sources'!A31" TargetMode="External" Id="rId101" /><Relationship Type="http://schemas.openxmlformats.org/officeDocument/2006/relationships/hyperlink" Target="https://indianexpress.com/article/political-pulse/congress-camps-bihar-post-mortem-rahul-yatra-fiasco-allavaru-problem-weak-structure-10375553/" TargetMode="External" Id="rId102" /><Relationship Type="http://schemas.openxmlformats.org/officeDocument/2006/relationships/hyperlink" Target="#'Claims'!A16" TargetMode="External" Id="rId103" /><Relationship Type="http://schemas.openxmlformats.org/officeDocument/2006/relationships/hyperlink" Target="#'Sources'!A15" TargetMode="External" Id="rId104" /><Relationship Type="http://schemas.openxmlformats.org/officeDocument/2006/relationships/hyperlink" Target="https://api.sci.gov.in/supremecourt/2023/27941/27941_2023_4_55_45901_Order_04-Aug-2023.pdf" TargetMode="External" Id="rId105" /><Relationship Type="http://schemas.openxmlformats.org/officeDocument/2006/relationships/hyperlink" Target="#'Claims'!A16" TargetMode="External" Id="rId106" /><Relationship Type="http://schemas.openxmlformats.org/officeDocument/2006/relationships/hyperlink" Target="#'Sources'!A17" TargetMode="External" Id="rId107" /><Relationship Type="http://schemas.openxmlformats.org/officeDocument/2006/relationships/hyperlink" Target="https://indianexpress.com/article/legal-news/national-herald-case-gandhis-oppose-ed-plea-private-complaint-10889668/" TargetMode="External" Id="rId108" /><Relationship Type="http://schemas.openxmlformats.org/officeDocument/2006/relationships/hyperlink" Target="#'Claims'!A16" TargetMode="External" Id="rId109" /><Relationship Type="http://schemas.openxmlformats.org/officeDocument/2006/relationships/hyperlink" Target="#'Sources'!A18" TargetMode="External" Id="rId110" /><Relationship Type="http://schemas.openxmlformats.org/officeDocument/2006/relationships/hyperlink" Target="https://www.barandbench.com/news/only-case-where-ed-proceeded-on-private-complaint-sonia-and-rahul-gandhi-to-delhi-high-court-on-national-herald-case" TargetMode="External" Id="rId111" /><Relationship Type="http://schemas.openxmlformats.org/officeDocument/2006/relationships/hyperlink" Target="#'Claims'!A17" TargetMode="External" Id="rId112" /><Relationship Type="http://schemas.openxmlformats.org/officeDocument/2006/relationships/hyperlink" Target="#'Sources'!A9" TargetMode="External" Id="rId113" /><Relationship Type="http://schemas.openxmlformats.org/officeDocument/2006/relationships/hyperlink" Target="https://inc.in/leadership/past-party-presidents/shri-rahul-gandhi" TargetMode="External" Id="rId114" /><Relationship Type="http://schemas.openxmlformats.org/officeDocument/2006/relationships/hyperlink" Target="#'Claims'!A17" TargetMode="External" Id="rId115" /><Relationship Type="http://schemas.openxmlformats.org/officeDocument/2006/relationships/hyperlink" Target="#'Sources'!A10" TargetMode="External" Id="rId116" /><Relationship Type="http://schemas.openxmlformats.org/officeDocument/2006/relationships/hyperlink" Target="https://indianexpress.com/article/explained/explained-politics/rahul-gandhi-turns-53-what-he-was-doing-before-politics-8672843/lite/" TargetMode="External" Id="rId117" /><Relationship Type="http://schemas.openxmlformats.org/officeDocument/2006/relationships/hyperlink" Target="#'Claims'!A17" TargetMode="External" Id="rId118" /><Relationship Type="http://schemas.openxmlformats.org/officeDocument/2006/relationships/hyperlink" Target="#'Sources'!A30" TargetMode="External" Id="rId119" /><Relationship Type="http://schemas.openxmlformats.org/officeDocument/2006/relationships/hyperlink" Target="https://m.thewire.in/article/politics/rahul-gandhi-t-shirt" TargetMode="External" Id="rId120" /><Relationship Type="http://schemas.openxmlformats.org/officeDocument/2006/relationships/hyperlink" Target="#'Claims'!A18" TargetMode="External" Id="rId121" /><Relationship Type="http://schemas.openxmlformats.org/officeDocument/2006/relationships/hyperlink" Target="#'Sources'!A28" TargetMode="External" Id="rId122" /><Relationship Type="http://schemas.openxmlformats.org/officeDocument/2006/relationships/hyperlink" Target="https://www.marketscreener.com/news/latest/Ridiculed-for-a-decade-India-s-Rahul-Gandhi-slows-Modi-juggernaut-46900641/" TargetMode="External" Id="rId123" /><Relationship Type="http://schemas.openxmlformats.org/officeDocument/2006/relationships/hyperlink" Target="#'Claims'!A18" TargetMode="External" Id="rId124" /><Relationship Type="http://schemas.openxmlformats.org/officeDocument/2006/relationships/hyperlink" Target="#'Sources'!A29" TargetMode="External" Id="rId125" /><Relationship Type="http://schemas.openxmlformats.org/officeDocument/2006/relationships/hyperlink" Target="https://carnegieendowment.org/research/2024/09/india-election-bjp-party-politics" TargetMode="External" Id="rId126" /><Relationship Type="http://schemas.openxmlformats.org/officeDocument/2006/relationships/hyperlink" Target="#'Claims'!A18" TargetMode="External" Id="rId127" /><Relationship Type="http://schemas.openxmlformats.org/officeDocument/2006/relationships/hyperlink" Target="#'Sources'!A31" TargetMode="External" Id="rId128" /><Relationship Type="http://schemas.openxmlformats.org/officeDocument/2006/relationships/hyperlink" Target="https://indianexpress.com/article/political-pulse/congress-camps-bihar-post-mortem-rahul-yatra-fiasco-allavaru-problem-weak-structure-10375553/" TargetMode="External" Id="rId129" /><Relationship Type="http://schemas.openxmlformats.org/officeDocument/2006/relationships/hyperlink" Target="#'Claims'!A19" TargetMode="External" Id="rId130" /><Relationship Type="http://schemas.openxmlformats.org/officeDocument/2006/relationships/hyperlink" Target="#'Sources'!A9" TargetMode="External" Id="rId131" /><Relationship Type="http://schemas.openxmlformats.org/officeDocument/2006/relationships/hyperlink" Target="https://inc.in/leadership/past-party-presidents/shri-rahul-gandhi" TargetMode="External" Id="rId132" /><Relationship Type="http://schemas.openxmlformats.org/officeDocument/2006/relationships/hyperlink" Target="#'Claims'!A20" TargetMode="External" Id="rId133" /><Relationship Type="http://schemas.openxmlformats.org/officeDocument/2006/relationships/hyperlink" Target="#'Sources'!A9" TargetMode="External" Id="rId134" /><Relationship Type="http://schemas.openxmlformats.org/officeDocument/2006/relationships/hyperlink" Target="https://inc.in/leadership/past-party-presidents/shri-rahul-gandhi" TargetMode="External" Id="rId135" /><Relationship Type="http://schemas.openxmlformats.org/officeDocument/2006/relationships/hyperlink" Target="#'Claims'!A21" TargetMode="External" Id="rId136" /><Relationship Type="http://schemas.openxmlformats.org/officeDocument/2006/relationships/hyperlink" Target="#'Sources'!A10" TargetMode="External" Id="rId137" /><Relationship Type="http://schemas.openxmlformats.org/officeDocument/2006/relationships/hyperlink" Target="https://indianexpress.com/article/explained/explained-politics/rahul-gandhi-turns-53-what-he-was-doing-before-politics-8672843/lite/" TargetMode="External" Id="rId138" /><Relationship Type="http://schemas.openxmlformats.org/officeDocument/2006/relationships/hyperlink" Target="#'Claims'!A22" TargetMode="External" Id="rId139" /><Relationship Type="http://schemas.openxmlformats.org/officeDocument/2006/relationships/hyperlink" Target="#'Sources'!A10" TargetMode="External" Id="rId140" /><Relationship Type="http://schemas.openxmlformats.org/officeDocument/2006/relationships/hyperlink" Target="https://indianexpress.com/article/explained/explained-politics/rahul-gandhi-turns-53-what-he-was-doing-before-politics-8672843/lite/" TargetMode="External" Id="rId141" /><Relationship Type="http://schemas.openxmlformats.org/officeDocument/2006/relationships/hyperlink" Target="#'Claims'!A23" TargetMode="External" Id="rId142" /><Relationship Type="http://schemas.openxmlformats.org/officeDocument/2006/relationships/hyperlink" Target="#'Sources'!A14" TargetMode="External" Id="rId143" /><Relationship Type="http://schemas.openxmlformats.org/officeDocument/2006/relationships/hyperlink" Target="https://www.elections.in/parliamentary-constituencies/2004-election-results.html" TargetMode="External" Id="rId144" /><Relationship Type="http://schemas.openxmlformats.org/officeDocument/2006/relationships/hyperlink" Target="#'Claims'!A23" TargetMode="External" Id="rId145" /><Relationship Type="http://schemas.openxmlformats.org/officeDocument/2006/relationships/hyperlink" Target="#'Sources'!A9" TargetMode="External" Id="rId146" /><Relationship Type="http://schemas.openxmlformats.org/officeDocument/2006/relationships/hyperlink" Target="https://inc.in/leadership/past-party-presidents/shri-rahul-gandhi" TargetMode="External" Id="rId147" /><Relationship Type="http://schemas.openxmlformats.org/officeDocument/2006/relationships/hyperlink" Target="#'Claims'!A24" TargetMode="External" Id="rId148" /><Relationship Type="http://schemas.openxmlformats.org/officeDocument/2006/relationships/hyperlink" Target="#'Sources'!A9" TargetMode="External" Id="rId149" /><Relationship Type="http://schemas.openxmlformats.org/officeDocument/2006/relationships/hyperlink" Target="https://inc.in/leadership/past-party-presidents/shri-rahul-gandhi" TargetMode="External" Id="rId150" /><Relationship Type="http://schemas.openxmlformats.org/officeDocument/2006/relationships/hyperlink" Target="#'Claims'!A25" TargetMode="External" Id="rId151" /><Relationship Type="http://schemas.openxmlformats.org/officeDocument/2006/relationships/hyperlink" Target="#'Sources'!A9" TargetMode="External" Id="rId152" /><Relationship Type="http://schemas.openxmlformats.org/officeDocument/2006/relationships/hyperlink" Target="https://inc.in/leadership/past-party-presidents/shri-rahul-gandhi" TargetMode="External" Id="rId153" /><Relationship Type="http://schemas.openxmlformats.org/officeDocument/2006/relationships/hyperlink" Target="#'Claims'!A26" TargetMode="External" Id="rId154" /><Relationship Type="http://schemas.openxmlformats.org/officeDocument/2006/relationships/hyperlink" Target="#'Sources'!A13" TargetMode="External" Id="rId155" /><Relationship Type="http://schemas.openxmlformats.org/officeDocument/2006/relationships/hyperlink" Target="https://www.moneycontrol.com/elections/lok-sabha-election/uttar-pradesh/constituencies/amethi-constituency-s24led2008p037/" TargetMode="External" Id="rId156" /><Relationship Type="http://schemas.openxmlformats.org/officeDocument/2006/relationships/hyperlink" Target="#'Claims'!A27" TargetMode="External" Id="rId157" /><Relationship Type="http://schemas.openxmlformats.org/officeDocument/2006/relationships/hyperlink" Target="#'Sources'!A9" TargetMode="External" Id="rId158" /><Relationship Type="http://schemas.openxmlformats.org/officeDocument/2006/relationships/hyperlink" Target="https://inc.in/leadership/past-party-presidents/shri-rahul-gandhi" TargetMode="External" Id="rId159" /><Relationship Type="http://schemas.openxmlformats.org/officeDocument/2006/relationships/hyperlink" Target="#'Claims'!A28" TargetMode="External" Id="rId160" /><Relationship Type="http://schemas.openxmlformats.org/officeDocument/2006/relationships/hyperlink" Target="#'Sources'!A9" TargetMode="External" Id="rId161" /><Relationship Type="http://schemas.openxmlformats.org/officeDocument/2006/relationships/hyperlink" Target="https://inc.in/leadership/past-party-presidents/shri-rahul-gandhi" TargetMode="External" Id="rId162" /><Relationship Type="http://schemas.openxmlformats.org/officeDocument/2006/relationships/hyperlink" Target="#'Claims'!A29" TargetMode="External" Id="rId163" /><Relationship Type="http://schemas.openxmlformats.org/officeDocument/2006/relationships/hyperlink" Target="#'Sources'!A39" TargetMode="External" Id="rId164" /><Relationship Type="http://schemas.openxmlformats.org/officeDocument/2006/relationships/hyperlink" Target="https://www.ndtv.com/assembly/i-take-responsibility-says-rahul-gandhi-about-up-results-470319" TargetMode="External" Id="rId165" /><Relationship Type="http://schemas.openxmlformats.org/officeDocument/2006/relationships/hyperlink" Target="#'Claims'!A30" TargetMode="External" Id="rId166" /><Relationship Type="http://schemas.openxmlformats.org/officeDocument/2006/relationships/hyperlink" Target="#'Sources'!A9" TargetMode="External" Id="rId167" /><Relationship Type="http://schemas.openxmlformats.org/officeDocument/2006/relationships/hyperlink" Target="https://inc.in/leadership/past-party-presidents/shri-rahul-gandhi" TargetMode="External" Id="rId168" /><Relationship Type="http://schemas.openxmlformats.org/officeDocument/2006/relationships/hyperlink" Target="#'Claims'!A31" TargetMode="External" Id="rId169" /><Relationship Type="http://schemas.openxmlformats.org/officeDocument/2006/relationships/hyperlink" Target="#'Sources'!A43" TargetMode="External" Id="rId170" /><Relationship Type="http://schemas.openxmlformats.org/officeDocument/2006/relationships/hyperlink" Target="https://www.ndtv.com/india-news/rahul-gandhi-calls-ordinance-on-convicted-lawmakers-nonsense-huge-embarrassment-for-pm-535906" TargetMode="External" Id="rId171" /><Relationship Type="http://schemas.openxmlformats.org/officeDocument/2006/relationships/hyperlink" Target="#'Claims'!A31" TargetMode="External" Id="rId172" /><Relationship Type="http://schemas.openxmlformats.org/officeDocument/2006/relationships/hyperlink" Target="#'Sources'!A44" TargetMode="External" Id="rId173" /><Relationship Type="http://schemas.openxmlformats.org/officeDocument/2006/relationships/hyperlink" Target="https://www.business-standard.com/article/politics/govt-bows-before-rahul-withdraws-ordinance-plan-113100200706_1.html" TargetMode="External" Id="rId174" /><Relationship Type="http://schemas.openxmlformats.org/officeDocument/2006/relationships/hyperlink" Target="#'Claims'!A32" TargetMode="External" Id="rId175" /><Relationship Type="http://schemas.openxmlformats.org/officeDocument/2006/relationships/hyperlink" Target="#'Sources'!A13" TargetMode="External" Id="rId176" /><Relationship Type="http://schemas.openxmlformats.org/officeDocument/2006/relationships/hyperlink" Target="https://www.moneycontrol.com/elections/lok-sabha-election/uttar-pradesh/constituencies/amethi-constituency-s24led2008p037/" TargetMode="External" Id="rId177" /><Relationship Type="http://schemas.openxmlformats.org/officeDocument/2006/relationships/hyperlink" Target="#'Claims'!A32" TargetMode="External" Id="rId178" /><Relationship Type="http://schemas.openxmlformats.org/officeDocument/2006/relationships/hyperlink" Target="#'Sources'!A29" TargetMode="External" Id="rId179" /><Relationship Type="http://schemas.openxmlformats.org/officeDocument/2006/relationships/hyperlink" Target="https://carnegieendowment.org/research/2024/09/india-election-bjp-party-politics" TargetMode="External" Id="rId180" /><Relationship Type="http://schemas.openxmlformats.org/officeDocument/2006/relationships/hyperlink" Target="#'Claims'!A33" TargetMode="External" Id="rId181" /><Relationship Type="http://schemas.openxmlformats.org/officeDocument/2006/relationships/hyperlink" Target="#'Sources'!A42" TargetMode="External" Id="rId182" /><Relationship Type="http://schemas.openxmlformats.org/officeDocument/2006/relationships/hyperlink" Target="https://economictimes.indiatimes.com/news/politics-and-nation/rahul-gandhi-vows-to-oppose-land-bill-inside-and-outside-parliament/articleshow/47249971.cms" TargetMode="External" Id="rId183" /><Relationship Type="http://schemas.openxmlformats.org/officeDocument/2006/relationships/hyperlink" Target="#'Claims'!A34" TargetMode="External" Id="rId184" /><Relationship Type="http://schemas.openxmlformats.org/officeDocument/2006/relationships/hyperlink" Target="#'Sources'!A9" TargetMode="External" Id="rId185" /><Relationship Type="http://schemas.openxmlformats.org/officeDocument/2006/relationships/hyperlink" Target="https://inc.in/leadership/past-party-presidents/shri-rahul-gandhi" TargetMode="External" Id="rId186" /><Relationship Type="http://schemas.openxmlformats.org/officeDocument/2006/relationships/hyperlink" Target="#'Claims'!A35" TargetMode="External" Id="rId187" /><Relationship Type="http://schemas.openxmlformats.org/officeDocument/2006/relationships/hyperlink" Target="#'Sources'!A9" TargetMode="External" Id="rId188" /><Relationship Type="http://schemas.openxmlformats.org/officeDocument/2006/relationships/hyperlink" Target="https://inc.in/leadership/past-party-presidents/shri-rahul-gandhi" TargetMode="External" Id="rId189" /><Relationship Type="http://schemas.openxmlformats.org/officeDocument/2006/relationships/hyperlink" Target="#'Claims'!A36" TargetMode="External" Id="rId190" /><Relationship Type="http://schemas.openxmlformats.org/officeDocument/2006/relationships/hyperlink" Target="#'Sources'!A45" TargetMode="External" Id="rId191" /><Relationship Type="http://schemas.openxmlformats.org/officeDocument/2006/relationships/hyperlink" Target="https://www.ndtv.com/india-news/election-results-2018-live-rajasthan-madhya-pradesh-telangana-chhattisgarh-mizoram-1960481" TargetMode="External" Id="rId192" /><Relationship Type="http://schemas.openxmlformats.org/officeDocument/2006/relationships/hyperlink" Target="#'Claims'!A37" TargetMode="External" Id="rId193" /><Relationship Type="http://schemas.openxmlformats.org/officeDocument/2006/relationships/hyperlink" Target="#'Sources'!A12" TargetMode="External" Id="rId194" /><Relationship Type="http://schemas.openxmlformats.org/officeDocument/2006/relationships/hyperlink" Target="https://adrindia.org/sites/default/files/Analysis_of_Vote_Share_Margin_Of_Victory_Lok_Sabha__2019.pdf" TargetMode="External" Id="rId195" /><Relationship Type="http://schemas.openxmlformats.org/officeDocument/2006/relationships/hyperlink" Target="#'Claims'!A37" TargetMode="External" Id="rId196" /><Relationship Type="http://schemas.openxmlformats.org/officeDocument/2006/relationships/hyperlink" Target="#'Sources'!A19" TargetMode="External" Id="rId197" /><Relationship Type="http://schemas.openxmlformats.org/officeDocument/2006/relationships/hyperlink" Target="https://www.ndtv.com/india-news/rahul-gandhis-open-letter-full-text-at-times-i-stood-completely-alone-2063455" TargetMode="External" Id="rId198" /><Relationship Type="http://schemas.openxmlformats.org/officeDocument/2006/relationships/hyperlink" Target="#'Claims'!A38" TargetMode="External" Id="rId199" /><Relationship Type="http://schemas.openxmlformats.org/officeDocument/2006/relationships/hyperlink" Target="#'Sources'!A19" TargetMode="External" Id="rId200" /><Relationship Type="http://schemas.openxmlformats.org/officeDocument/2006/relationships/hyperlink" Target="https://www.ndtv.com/india-news/rahul-gandhis-open-letter-full-text-at-times-i-stood-completely-alone-2063455" TargetMode="External" Id="rId201" /><Relationship Type="http://schemas.openxmlformats.org/officeDocument/2006/relationships/hyperlink" Target="#'Claims'!A39" TargetMode="External" Id="rId202" /><Relationship Type="http://schemas.openxmlformats.org/officeDocument/2006/relationships/hyperlink" Target="#'Sources'!A19" TargetMode="External" Id="rId203" /><Relationship Type="http://schemas.openxmlformats.org/officeDocument/2006/relationships/hyperlink" Target="https://www.ndtv.com/india-news/rahul-gandhis-open-letter-full-text-at-times-i-stood-completely-alone-2063455" TargetMode="External" Id="rId204" /><Relationship Type="http://schemas.openxmlformats.org/officeDocument/2006/relationships/hyperlink" Target="#'Claims'!A40" TargetMode="External" Id="rId205" /><Relationship Type="http://schemas.openxmlformats.org/officeDocument/2006/relationships/hyperlink" Target="#'Sources'!A34" TargetMode="External" Id="rId206" /><Relationship Type="http://schemas.openxmlformats.org/officeDocument/2006/relationships/hyperlink" Target="https://indianexpress.com/article/india/rafale-case-sc-closes-defamation-case-against-rahul-gandhi-says-he-needs-to-be-more-careful/" TargetMode="External" Id="rId207" /><Relationship Type="http://schemas.openxmlformats.org/officeDocument/2006/relationships/hyperlink" Target="#'Claims'!A41" TargetMode="External" Id="rId208" /><Relationship Type="http://schemas.openxmlformats.org/officeDocument/2006/relationships/hyperlink" Target="#'Sources'!A34" TargetMode="External" Id="rId209" /><Relationship Type="http://schemas.openxmlformats.org/officeDocument/2006/relationships/hyperlink" Target="https://indianexpress.com/article/india/rafale-case-sc-closes-defamation-case-against-rahul-gandhi-says-he-needs-to-be-more-careful/" TargetMode="External" Id="rId210" /><Relationship Type="http://schemas.openxmlformats.org/officeDocument/2006/relationships/hyperlink" Target="#'Claims'!A42" TargetMode="External" Id="rId211" /><Relationship Type="http://schemas.openxmlformats.org/officeDocument/2006/relationships/hyperlink" Target="#'Sources'!A20" TargetMode="External" Id="rId212" /><Relationship Type="http://schemas.openxmlformats.org/officeDocument/2006/relationships/hyperlink" Target="https://indianexpress.com/article/political-pulse/rahul-modi-shah-doval-srinagar-bharat-jodo-yatra-8413548/" TargetMode="External" Id="rId213" /><Relationship Type="http://schemas.openxmlformats.org/officeDocument/2006/relationships/hyperlink" Target="#'Claims'!A43" TargetMode="External" Id="rId214" /><Relationship Type="http://schemas.openxmlformats.org/officeDocument/2006/relationships/hyperlink" Target="#'Sources'!A15" TargetMode="External" Id="rId215" /><Relationship Type="http://schemas.openxmlformats.org/officeDocument/2006/relationships/hyperlink" Target="https://api.sci.gov.in/supremecourt/2023/27941/27941_2023_4_55_45901_Order_04-Aug-2023.pdf" TargetMode="External" Id="rId216" /><Relationship Type="http://schemas.openxmlformats.org/officeDocument/2006/relationships/hyperlink" Target="#'Claims'!A43" TargetMode="External" Id="rId217" /><Relationship Type="http://schemas.openxmlformats.org/officeDocument/2006/relationships/hyperlink" Target="#'Sources'!A16" TargetMode="External" Id="rId218" /><Relationship Type="http://schemas.openxmlformats.org/officeDocument/2006/relationships/hyperlink" Target="https://indianexpress.com/article/political-pulse/rahul-gandhi-returns-mp-lok-sabha-supreme-court-8880307/" TargetMode="External" Id="rId219" /><Relationship Type="http://schemas.openxmlformats.org/officeDocument/2006/relationships/hyperlink" Target="#'Claims'!A44" TargetMode="External" Id="rId220" /><Relationship Type="http://schemas.openxmlformats.org/officeDocument/2006/relationships/hyperlink" Target="#'Sources'!A9" TargetMode="External" Id="rId221" /><Relationship Type="http://schemas.openxmlformats.org/officeDocument/2006/relationships/hyperlink" Target="https://inc.in/leadership/past-party-presidents/shri-rahul-gandhi" TargetMode="External" Id="rId222" /><Relationship Type="http://schemas.openxmlformats.org/officeDocument/2006/relationships/hyperlink" Target="#'Claims'!A45" TargetMode="External" Id="rId223" /><Relationship Type="http://schemas.openxmlformats.org/officeDocument/2006/relationships/hyperlink" Target="#'Sources'!A11" TargetMode="External" Id="rId224" /><Relationship Type="http://schemas.openxmlformats.org/officeDocument/2006/relationships/hyperlink" Target="https://www.eci.gov.in/eci-backend/public/all_files/GE-2024-statistical-report/33-Constituency-Wise-Detailed-Result.pdf" TargetMode="External" Id="rId225" /><Relationship Type="http://schemas.openxmlformats.org/officeDocument/2006/relationships/hyperlink" Target="#'Claims'!A45" TargetMode="External" Id="rId226" /><Relationship Type="http://schemas.openxmlformats.org/officeDocument/2006/relationships/hyperlink" Target="#'Sources'!A48" TargetMode="External" Id="rId227" /><Relationship Type="http://schemas.openxmlformats.org/officeDocument/2006/relationships/hyperlink" Target="https://www.ndtv.com/india-news/rahul-gandhi-resigns-from-wayanad-seat-retains-raebareli-5918402" TargetMode="External" Id="rId228" /><Relationship Type="http://schemas.openxmlformats.org/officeDocument/2006/relationships/hyperlink" Target="#'Claims'!A46" TargetMode="External" Id="rId229" /><Relationship Type="http://schemas.openxmlformats.org/officeDocument/2006/relationships/hyperlink" Target="#'Sources'!A7" TargetMode="External" Id="rId230" /><Relationship Type="http://schemas.openxmlformats.org/officeDocument/2006/relationships/hyperlink" Target="https://sansad.in/ls/about/leader-of-opposition" TargetMode="External" Id="rId231" /><Relationship Type="http://schemas.openxmlformats.org/officeDocument/2006/relationships/hyperlink" Target="#'Claims'!A47" TargetMode="External" Id="rId232" /><Relationship Type="http://schemas.openxmlformats.org/officeDocument/2006/relationships/hyperlink" Target="#'Sources'!A7" TargetMode="External" Id="rId233" /><Relationship Type="http://schemas.openxmlformats.org/officeDocument/2006/relationships/hyperlink" Target="https://sansad.in/ls/about/leader-of-opposition" TargetMode="External" Id="rId234" /><Relationship Type="http://schemas.openxmlformats.org/officeDocument/2006/relationships/hyperlink" Target="#'Claims'!A48" TargetMode="External" Id="rId235" /><Relationship Type="http://schemas.openxmlformats.org/officeDocument/2006/relationships/hyperlink" Target="#'Sources'!A40" TargetMode="External" Id="rId236" /><Relationship Type="http://schemas.openxmlformats.org/officeDocument/2006/relationships/hyperlink" Target="https://indianexpress.com/article/india/rahul-gandhi-caste-census-population-congress-centre-cabinet-9975117/" TargetMode="External" Id="rId237" /><Relationship Type="http://schemas.openxmlformats.org/officeDocument/2006/relationships/hyperlink" Target="#'Claims'!A48" TargetMode="External" Id="rId238" /><Relationship Type="http://schemas.openxmlformats.org/officeDocument/2006/relationships/hyperlink" Target="#'Sources'!A41" TargetMode="External" Id="rId239" /><Relationship Type="http://schemas.openxmlformats.org/officeDocument/2006/relationships/hyperlink" Target="https://www.pib.gov.in/PressReleasePage.aspx?PRID=2125576" TargetMode="External" Id="rId240" /><Relationship Type="http://schemas.openxmlformats.org/officeDocument/2006/relationships/hyperlink" Target="#'Claims'!A49" TargetMode="External" Id="rId241" /><Relationship Type="http://schemas.openxmlformats.org/officeDocument/2006/relationships/hyperlink" Target="#'Sources'!A40" TargetMode="External" Id="rId242" /><Relationship Type="http://schemas.openxmlformats.org/officeDocument/2006/relationships/hyperlink" Target="https://indianexpress.com/article/india/rahul-gandhi-caste-census-population-congress-centre-cabinet-9975117/" TargetMode="External" Id="rId243" /><Relationship Type="http://schemas.openxmlformats.org/officeDocument/2006/relationships/hyperlink" Target="#'Claims'!A49" TargetMode="External" Id="rId244" /><Relationship Type="http://schemas.openxmlformats.org/officeDocument/2006/relationships/hyperlink" Target="#'Sources'!A41" TargetMode="External" Id="rId245" /><Relationship Type="http://schemas.openxmlformats.org/officeDocument/2006/relationships/hyperlink" Target="https://www.pib.gov.in/PressReleasePage.aspx?PRID=2125576" TargetMode="External" Id="rId246" /><Relationship Type="http://schemas.openxmlformats.org/officeDocument/2006/relationships/hyperlink" Target="#'Claims'!A50" TargetMode="External" Id="rId247" /><Relationship Type="http://schemas.openxmlformats.org/officeDocument/2006/relationships/hyperlink" Target="#'Sources'!A31" TargetMode="External" Id="rId248" /><Relationship Type="http://schemas.openxmlformats.org/officeDocument/2006/relationships/hyperlink" Target="https://indianexpress.com/article/political-pulse/congress-camps-bihar-post-mortem-rahul-yatra-fiasco-allavaru-problem-weak-structure-10375553/" TargetMode="External" Id="rId249" /><Relationship Type="http://schemas.openxmlformats.org/officeDocument/2006/relationships/hyperlink" Target="#'Claims'!A50" TargetMode="External" Id="rId250" /><Relationship Type="http://schemas.openxmlformats.org/officeDocument/2006/relationships/hyperlink" Target="#'Sources'!A32" TargetMode="External" Id="rId251" /><Relationship Type="http://schemas.openxmlformats.org/officeDocument/2006/relationships/hyperlink" Target="https://indianexpress.com/article/political-pulse/rahul-equallyresponsible-bihar-loss-poll-review-10390484/" TargetMode="External" Id="rId252" /><Relationship Type="http://schemas.openxmlformats.org/officeDocument/2006/relationships/hyperlink" Target="#'Claims'!A51" TargetMode="External" Id="rId253" /><Relationship Type="http://schemas.openxmlformats.org/officeDocument/2006/relationships/hyperlink" Target="#'Sources'!A18" TargetMode="External" Id="rId254" /><Relationship Type="http://schemas.openxmlformats.org/officeDocument/2006/relationships/hyperlink" Target="https://www.barandbench.com/news/only-case-where-ed-proceeded-on-private-complaint-sonia-and-rahul-gandhi-to-delhi-high-court-on-national-herald-case" TargetMode="External" Id="rId255" /><Relationship Type="http://schemas.openxmlformats.org/officeDocument/2006/relationships/hyperlink" Target="#'Claims'!A51" TargetMode="External" Id="rId256" /><Relationship Type="http://schemas.openxmlformats.org/officeDocument/2006/relationships/hyperlink" Target="#'Sources'!A35" TargetMode="External" Id="rId257" /><Relationship Type="http://schemas.openxmlformats.org/officeDocument/2006/relationships/hyperlink" Target="https://timesofindia.indiatimes.com/india/rahul-gandhi-press-conference-on-ec-gyanesh-kumar-resignation-sir-congress-vote-chori-election-bjp/articleshow/134457370.cms" TargetMode="External" Id="rId258" /><Relationship Type="http://schemas.openxmlformats.org/officeDocument/2006/relationships/hyperlink" Target="#'Claims'!A52" TargetMode="External" Id="rId259" /><Relationship Type="http://schemas.openxmlformats.org/officeDocument/2006/relationships/hyperlink" Target="#'Sources'!A14" TargetMode="External" Id="rId260" /><Relationship Type="http://schemas.openxmlformats.org/officeDocument/2006/relationships/hyperlink" Target="https://www.elections.in/parliamentary-constituencies/2004-election-results.html" TargetMode="External" Id="rId261" /><Relationship Type="http://schemas.openxmlformats.org/officeDocument/2006/relationships/hyperlink" Target="#'Claims'!A53" TargetMode="External" Id="rId262" /><Relationship Type="http://schemas.openxmlformats.org/officeDocument/2006/relationships/hyperlink" Target="#'Sources'!A14" TargetMode="External" Id="rId263" /><Relationship Type="http://schemas.openxmlformats.org/officeDocument/2006/relationships/hyperlink" Target="https://www.elections.in/parliamentary-constituencies/2004-election-results.html" TargetMode="External" Id="rId264" /><Relationship Type="http://schemas.openxmlformats.org/officeDocument/2006/relationships/hyperlink" Target="#'Claims'!A54" TargetMode="External" Id="rId265" /><Relationship Type="http://schemas.openxmlformats.org/officeDocument/2006/relationships/hyperlink" Target="#'Sources'!A14" TargetMode="External" Id="rId266" /><Relationship Type="http://schemas.openxmlformats.org/officeDocument/2006/relationships/hyperlink" Target="https://www.elections.in/parliamentary-constituencies/2004-election-results.html" TargetMode="External" Id="rId267" /><Relationship Type="http://schemas.openxmlformats.org/officeDocument/2006/relationships/hyperlink" Target="#'Claims'!A55" TargetMode="External" Id="rId268" /><Relationship Type="http://schemas.openxmlformats.org/officeDocument/2006/relationships/hyperlink" Target="#'Sources'!A14" TargetMode="External" Id="rId269" /><Relationship Type="http://schemas.openxmlformats.org/officeDocument/2006/relationships/hyperlink" Target="https://www.elections.in/parliamentary-constituencies/2004-election-results.html" TargetMode="External" Id="rId270" /><Relationship Type="http://schemas.openxmlformats.org/officeDocument/2006/relationships/hyperlink" Target="#'Claims'!A56" TargetMode="External" Id="rId271" /><Relationship Type="http://schemas.openxmlformats.org/officeDocument/2006/relationships/hyperlink" Target="#'Sources'!A14" TargetMode="External" Id="rId272" /><Relationship Type="http://schemas.openxmlformats.org/officeDocument/2006/relationships/hyperlink" Target="https://www.elections.in/parliamentary-constituencies/2004-election-results.html" TargetMode="External" Id="rId273" /><Relationship Type="http://schemas.openxmlformats.org/officeDocument/2006/relationships/hyperlink" Target="#'Claims'!A57" TargetMode="External" Id="rId274" /><Relationship Type="http://schemas.openxmlformats.org/officeDocument/2006/relationships/hyperlink" Target="#'Sources'!A13" TargetMode="External" Id="rId275" /><Relationship Type="http://schemas.openxmlformats.org/officeDocument/2006/relationships/hyperlink" Target="https://www.moneycontrol.com/elections/lok-sabha-election/uttar-pradesh/constituencies/amethi-constituency-s24led2008p037/" TargetMode="External" Id="rId276" /><Relationship Type="http://schemas.openxmlformats.org/officeDocument/2006/relationships/hyperlink" Target="#'Claims'!A58" TargetMode="External" Id="rId277" /><Relationship Type="http://schemas.openxmlformats.org/officeDocument/2006/relationships/hyperlink" Target="#'Sources'!A13" TargetMode="External" Id="rId278" /><Relationship Type="http://schemas.openxmlformats.org/officeDocument/2006/relationships/hyperlink" Target="https://www.moneycontrol.com/elections/lok-sabha-election/uttar-pradesh/constituencies/amethi-constituency-s24led2008p037/" TargetMode="External" Id="rId279" /><Relationship Type="http://schemas.openxmlformats.org/officeDocument/2006/relationships/hyperlink" Target="#'Claims'!A59" TargetMode="External" Id="rId280" /><Relationship Type="http://schemas.openxmlformats.org/officeDocument/2006/relationships/hyperlink" Target="#'Sources'!A13" TargetMode="External" Id="rId281" /><Relationship Type="http://schemas.openxmlformats.org/officeDocument/2006/relationships/hyperlink" Target="https://www.moneycontrol.com/elections/lok-sabha-election/uttar-pradesh/constituencies/amethi-constituency-s24led2008p037/" TargetMode="External" Id="rId282" /><Relationship Type="http://schemas.openxmlformats.org/officeDocument/2006/relationships/hyperlink" Target="#'Claims'!A60" TargetMode="External" Id="rId283" /><Relationship Type="http://schemas.openxmlformats.org/officeDocument/2006/relationships/hyperlink" Target="#'Sources'!A13" TargetMode="External" Id="rId284" /><Relationship Type="http://schemas.openxmlformats.org/officeDocument/2006/relationships/hyperlink" Target="https://www.moneycontrol.com/elections/lok-sabha-election/uttar-pradesh/constituencies/amethi-constituency-s24led2008p037/" TargetMode="External" Id="rId285" /><Relationship Type="http://schemas.openxmlformats.org/officeDocument/2006/relationships/hyperlink" Target="#'Claims'!A61" TargetMode="External" Id="rId286" /><Relationship Type="http://schemas.openxmlformats.org/officeDocument/2006/relationships/hyperlink" Target="#'Sources'!A13" TargetMode="External" Id="rId287" /><Relationship Type="http://schemas.openxmlformats.org/officeDocument/2006/relationships/hyperlink" Target="https://www.moneycontrol.com/elections/lok-sabha-election/uttar-pradesh/constituencies/amethi-constituency-s24led2008p037/" TargetMode="External" Id="rId288" /><Relationship Type="http://schemas.openxmlformats.org/officeDocument/2006/relationships/hyperlink" Target="#'Claims'!A62" TargetMode="External" Id="rId289" /><Relationship Type="http://schemas.openxmlformats.org/officeDocument/2006/relationships/hyperlink" Target="#'Sources'!A13" TargetMode="External" Id="rId290" /><Relationship Type="http://schemas.openxmlformats.org/officeDocument/2006/relationships/hyperlink" Target="https://www.moneycontrol.com/elections/lok-sabha-election/uttar-pradesh/constituencies/amethi-constituency-s24led2008p037/" TargetMode="External" Id="rId291" /><Relationship Type="http://schemas.openxmlformats.org/officeDocument/2006/relationships/hyperlink" Target="#'Claims'!A63" TargetMode="External" Id="rId292" /><Relationship Type="http://schemas.openxmlformats.org/officeDocument/2006/relationships/hyperlink" Target="#'Sources'!A13" TargetMode="External" Id="rId293" /><Relationship Type="http://schemas.openxmlformats.org/officeDocument/2006/relationships/hyperlink" Target="https://www.moneycontrol.com/elections/lok-sabha-election/uttar-pradesh/constituencies/amethi-constituency-s24led2008p037/" TargetMode="External" Id="rId294" /><Relationship Type="http://schemas.openxmlformats.org/officeDocument/2006/relationships/hyperlink" Target="#'Claims'!A64" TargetMode="External" Id="rId295" /><Relationship Type="http://schemas.openxmlformats.org/officeDocument/2006/relationships/hyperlink" Target="#'Sources'!A13" TargetMode="External" Id="rId296" /><Relationship Type="http://schemas.openxmlformats.org/officeDocument/2006/relationships/hyperlink" Target="https://www.moneycontrol.com/elections/lok-sabha-election/uttar-pradesh/constituencies/amethi-constituency-s24led2008p037/" TargetMode="External" Id="rId297" /><Relationship Type="http://schemas.openxmlformats.org/officeDocument/2006/relationships/hyperlink" Target="#'Claims'!A65" TargetMode="External" Id="rId298" /><Relationship Type="http://schemas.openxmlformats.org/officeDocument/2006/relationships/hyperlink" Target="#'Sources'!A13" TargetMode="External" Id="rId299" /><Relationship Type="http://schemas.openxmlformats.org/officeDocument/2006/relationships/hyperlink" Target="https://www.moneycontrol.com/elections/lok-sabha-election/uttar-pradesh/constituencies/amethi-constituency-s24led2008p037/" TargetMode="External" Id="rId300" /><Relationship Type="http://schemas.openxmlformats.org/officeDocument/2006/relationships/hyperlink" Target="#'Claims'!A66" TargetMode="External" Id="rId301" /><Relationship Type="http://schemas.openxmlformats.org/officeDocument/2006/relationships/hyperlink" Target="#'Sources'!A13" TargetMode="External" Id="rId302" /><Relationship Type="http://schemas.openxmlformats.org/officeDocument/2006/relationships/hyperlink" Target="https://www.moneycontrol.com/elections/lok-sabha-election/uttar-pradesh/constituencies/amethi-constituency-s24led2008p037/" TargetMode="External" Id="rId303" /><Relationship Type="http://schemas.openxmlformats.org/officeDocument/2006/relationships/hyperlink" Target="#'Claims'!A67" TargetMode="External" Id="rId304" /><Relationship Type="http://schemas.openxmlformats.org/officeDocument/2006/relationships/hyperlink" Target="#'Sources'!A13" TargetMode="External" Id="rId305" /><Relationship Type="http://schemas.openxmlformats.org/officeDocument/2006/relationships/hyperlink" Target="https://www.moneycontrol.com/elections/lok-sabha-election/uttar-pradesh/constituencies/amethi-constituency-s24led2008p037/" TargetMode="External" Id="rId306" /><Relationship Type="http://schemas.openxmlformats.org/officeDocument/2006/relationships/hyperlink" Target="#'Claims'!A68" TargetMode="External" Id="rId307" /><Relationship Type="http://schemas.openxmlformats.org/officeDocument/2006/relationships/hyperlink" Target="#'Sources'!A12" TargetMode="External" Id="rId308" /><Relationship Type="http://schemas.openxmlformats.org/officeDocument/2006/relationships/hyperlink" Target="https://adrindia.org/sites/default/files/Analysis_of_Vote_Share_Margin_Of_Victory_Lok_Sabha__2019.pdf" TargetMode="External" Id="rId309" /><Relationship Type="http://schemas.openxmlformats.org/officeDocument/2006/relationships/hyperlink" Target="#'Claims'!A69" TargetMode="External" Id="rId310" /><Relationship Type="http://schemas.openxmlformats.org/officeDocument/2006/relationships/hyperlink" Target="#'Sources'!A12" TargetMode="External" Id="rId311" /><Relationship Type="http://schemas.openxmlformats.org/officeDocument/2006/relationships/hyperlink" Target="https://adrindia.org/sites/default/files/Analysis_of_Vote_Share_Margin_Of_Victory_Lok_Sabha__2019.pdf" TargetMode="External" Id="rId312" /><Relationship Type="http://schemas.openxmlformats.org/officeDocument/2006/relationships/hyperlink" Target="#'Claims'!A70" TargetMode="External" Id="rId313" /><Relationship Type="http://schemas.openxmlformats.org/officeDocument/2006/relationships/hyperlink" Target="#'Sources'!A12" TargetMode="External" Id="rId314" /><Relationship Type="http://schemas.openxmlformats.org/officeDocument/2006/relationships/hyperlink" Target="https://adrindia.org/sites/default/files/Analysis_of_Vote_Share_Margin_Of_Victory_Lok_Sabha__2019.pdf" TargetMode="External" Id="rId315" /><Relationship Type="http://schemas.openxmlformats.org/officeDocument/2006/relationships/hyperlink" Target="#'Claims'!A71" TargetMode="External" Id="rId316" /><Relationship Type="http://schemas.openxmlformats.org/officeDocument/2006/relationships/hyperlink" Target="#'Sources'!A12" TargetMode="External" Id="rId317" /><Relationship Type="http://schemas.openxmlformats.org/officeDocument/2006/relationships/hyperlink" Target="https://adrindia.org/sites/default/files/Analysis_of_Vote_Share_Margin_Of_Victory_Lok_Sabha__2019.pdf" TargetMode="External" Id="rId318" /><Relationship Type="http://schemas.openxmlformats.org/officeDocument/2006/relationships/hyperlink" Target="#'Claims'!A72" TargetMode="External" Id="rId319" /><Relationship Type="http://schemas.openxmlformats.org/officeDocument/2006/relationships/hyperlink" Target="#'Sources'!A12" TargetMode="External" Id="rId320" /><Relationship Type="http://schemas.openxmlformats.org/officeDocument/2006/relationships/hyperlink" Target="https://adrindia.org/sites/default/files/Analysis_of_Vote_Share_Margin_Of_Victory_Lok_Sabha__2019.pdf" TargetMode="External" Id="rId321" /><Relationship Type="http://schemas.openxmlformats.org/officeDocument/2006/relationships/hyperlink" Target="#'Claims'!A73" TargetMode="External" Id="rId322" /><Relationship Type="http://schemas.openxmlformats.org/officeDocument/2006/relationships/hyperlink" Target="#'Sources'!A12" TargetMode="External" Id="rId323" /><Relationship Type="http://schemas.openxmlformats.org/officeDocument/2006/relationships/hyperlink" Target="https://adrindia.org/sites/default/files/Analysis_of_Vote_Share_Margin_Of_Victory_Lok_Sabha__2019.pdf" TargetMode="External" Id="rId324" /><Relationship Type="http://schemas.openxmlformats.org/officeDocument/2006/relationships/hyperlink" Target="#'Claims'!A74" TargetMode="External" Id="rId325" /><Relationship Type="http://schemas.openxmlformats.org/officeDocument/2006/relationships/hyperlink" Target="#'Sources'!A12" TargetMode="External" Id="rId326" /><Relationship Type="http://schemas.openxmlformats.org/officeDocument/2006/relationships/hyperlink" Target="https://adrindia.org/sites/default/files/Analysis_of_Vote_Share_Margin_Of_Victory_Lok_Sabha__2019.pdf" TargetMode="External" Id="rId327" /><Relationship Type="http://schemas.openxmlformats.org/officeDocument/2006/relationships/hyperlink" Target="#'Claims'!A74" TargetMode="External" Id="rId328" /><Relationship Type="http://schemas.openxmlformats.org/officeDocument/2006/relationships/hyperlink" Target="#'Sources'!A46" TargetMode="External" Id="rId329" /><Relationship Type="http://schemas.openxmlformats.org/officeDocument/2006/relationships/hyperlink" Target="https://www.ceo.kerala.gov.in/electedmembers" TargetMode="External" Id="rId330" /><Relationship Type="http://schemas.openxmlformats.org/officeDocument/2006/relationships/hyperlink" Target="#'Claims'!A75" TargetMode="External" Id="rId331" /><Relationship Type="http://schemas.openxmlformats.org/officeDocument/2006/relationships/hyperlink" Target="#'Sources'!A12" TargetMode="External" Id="rId332" /><Relationship Type="http://schemas.openxmlformats.org/officeDocument/2006/relationships/hyperlink" Target="https://adrindia.org/sites/default/files/Analysis_of_Vote_Share_Margin_Of_Victory_Lok_Sabha__2019.pdf" TargetMode="External" Id="rId333" /><Relationship Type="http://schemas.openxmlformats.org/officeDocument/2006/relationships/hyperlink" Target="#'Claims'!A75" TargetMode="External" Id="rId334" /><Relationship Type="http://schemas.openxmlformats.org/officeDocument/2006/relationships/hyperlink" Target="#'Sources'!A46" TargetMode="External" Id="rId335" /><Relationship Type="http://schemas.openxmlformats.org/officeDocument/2006/relationships/hyperlink" Target="https://www.ceo.kerala.gov.in/electedmembers" TargetMode="External" Id="rId336" /><Relationship Type="http://schemas.openxmlformats.org/officeDocument/2006/relationships/hyperlink" Target="#'Claims'!A76" TargetMode="External" Id="rId337" /><Relationship Type="http://schemas.openxmlformats.org/officeDocument/2006/relationships/hyperlink" Target="#'Sources'!A12" TargetMode="External" Id="rId338" /><Relationship Type="http://schemas.openxmlformats.org/officeDocument/2006/relationships/hyperlink" Target="https://adrindia.org/sites/default/files/Analysis_of_Vote_Share_Margin_Of_Victory_Lok_Sabha__2019.pdf" TargetMode="External" Id="rId339" /><Relationship Type="http://schemas.openxmlformats.org/officeDocument/2006/relationships/hyperlink" Target="#'Claims'!A76" TargetMode="External" Id="rId340" /><Relationship Type="http://schemas.openxmlformats.org/officeDocument/2006/relationships/hyperlink" Target="#'Sources'!A46" TargetMode="External" Id="rId341" /><Relationship Type="http://schemas.openxmlformats.org/officeDocument/2006/relationships/hyperlink" Target="https://www.ceo.kerala.gov.in/electedmembers" TargetMode="External" Id="rId342" /><Relationship Type="http://schemas.openxmlformats.org/officeDocument/2006/relationships/hyperlink" Target="#'Claims'!A77" TargetMode="External" Id="rId343" /><Relationship Type="http://schemas.openxmlformats.org/officeDocument/2006/relationships/hyperlink" Target="#'Sources'!A12" TargetMode="External" Id="rId344" /><Relationship Type="http://schemas.openxmlformats.org/officeDocument/2006/relationships/hyperlink" Target="https://adrindia.org/sites/default/files/Analysis_of_Vote_Share_Margin_Of_Victory_Lok_Sabha__2019.pdf" TargetMode="External" Id="rId345" /><Relationship Type="http://schemas.openxmlformats.org/officeDocument/2006/relationships/hyperlink" Target="#'Claims'!A77" TargetMode="External" Id="rId346" /><Relationship Type="http://schemas.openxmlformats.org/officeDocument/2006/relationships/hyperlink" Target="#'Sources'!A46" TargetMode="External" Id="rId347" /><Relationship Type="http://schemas.openxmlformats.org/officeDocument/2006/relationships/hyperlink" Target="https://www.ceo.kerala.gov.in/electedmembers" TargetMode="External" Id="rId348" /><Relationship Type="http://schemas.openxmlformats.org/officeDocument/2006/relationships/hyperlink" Target="#'Claims'!A78" TargetMode="External" Id="rId349" /><Relationship Type="http://schemas.openxmlformats.org/officeDocument/2006/relationships/hyperlink" Target="#'Sources'!A12" TargetMode="External" Id="rId350" /><Relationship Type="http://schemas.openxmlformats.org/officeDocument/2006/relationships/hyperlink" Target="https://adrindia.org/sites/default/files/Analysis_of_Vote_Share_Margin_Of_Victory_Lok_Sabha__2019.pdf" TargetMode="External" Id="rId351" /><Relationship Type="http://schemas.openxmlformats.org/officeDocument/2006/relationships/hyperlink" Target="#'Claims'!A78" TargetMode="External" Id="rId352" /><Relationship Type="http://schemas.openxmlformats.org/officeDocument/2006/relationships/hyperlink" Target="#'Sources'!A46" TargetMode="External" Id="rId353" /><Relationship Type="http://schemas.openxmlformats.org/officeDocument/2006/relationships/hyperlink" Target="https://www.ceo.kerala.gov.in/electedmembers" TargetMode="External" Id="rId354" /><Relationship Type="http://schemas.openxmlformats.org/officeDocument/2006/relationships/hyperlink" Target="#'Claims'!A79" TargetMode="External" Id="rId355" /><Relationship Type="http://schemas.openxmlformats.org/officeDocument/2006/relationships/hyperlink" Target="#'Sources'!A12" TargetMode="External" Id="rId356" /><Relationship Type="http://schemas.openxmlformats.org/officeDocument/2006/relationships/hyperlink" Target="https://adrindia.org/sites/default/files/Analysis_of_Vote_Share_Margin_Of_Victory_Lok_Sabha__2019.pdf" TargetMode="External" Id="rId357" /><Relationship Type="http://schemas.openxmlformats.org/officeDocument/2006/relationships/hyperlink" Target="#'Claims'!A79" TargetMode="External" Id="rId358" /><Relationship Type="http://schemas.openxmlformats.org/officeDocument/2006/relationships/hyperlink" Target="#'Sources'!A46" TargetMode="External" Id="rId359" /><Relationship Type="http://schemas.openxmlformats.org/officeDocument/2006/relationships/hyperlink" Target="https://www.ceo.kerala.gov.in/electedmembers" TargetMode="External" Id="rId360" /><Relationship Type="http://schemas.openxmlformats.org/officeDocument/2006/relationships/hyperlink" Target="#'Claims'!A80" TargetMode="External" Id="rId361" /><Relationship Type="http://schemas.openxmlformats.org/officeDocument/2006/relationships/hyperlink" Target="#'Sources'!A11" TargetMode="External" Id="rId362" /><Relationship Type="http://schemas.openxmlformats.org/officeDocument/2006/relationships/hyperlink" Target="https://www.eci.gov.in/eci-backend/public/all_files/GE-2024-statistical-report/33-Constituency-Wise-Detailed-Result.pdf" TargetMode="External" Id="rId363" /><Relationship Type="http://schemas.openxmlformats.org/officeDocument/2006/relationships/hyperlink" Target="#'Claims'!A81" TargetMode="External" Id="rId364" /><Relationship Type="http://schemas.openxmlformats.org/officeDocument/2006/relationships/hyperlink" Target="#'Sources'!A11" TargetMode="External" Id="rId365" /><Relationship Type="http://schemas.openxmlformats.org/officeDocument/2006/relationships/hyperlink" Target="https://www.eci.gov.in/eci-backend/public/all_files/GE-2024-statistical-report/33-Constituency-Wise-Detailed-Result.pdf" TargetMode="External" Id="rId366" /><Relationship Type="http://schemas.openxmlformats.org/officeDocument/2006/relationships/hyperlink" Target="#'Claims'!A82" TargetMode="External" Id="rId367" /><Relationship Type="http://schemas.openxmlformats.org/officeDocument/2006/relationships/hyperlink" Target="#'Sources'!A11" TargetMode="External" Id="rId368" /><Relationship Type="http://schemas.openxmlformats.org/officeDocument/2006/relationships/hyperlink" Target="https://www.eci.gov.in/eci-backend/public/all_files/GE-2024-statistical-report/33-Constituency-Wise-Detailed-Result.pdf" TargetMode="External" Id="rId369" /><Relationship Type="http://schemas.openxmlformats.org/officeDocument/2006/relationships/hyperlink" Target="#'Claims'!A83" TargetMode="External" Id="rId370" /><Relationship Type="http://schemas.openxmlformats.org/officeDocument/2006/relationships/hyperlink" Target="#'Sources'!A11" TargetMode="External" Id="rId371" /><Relationship Type="http://schemas.openxmlformats.org/officeDocument/2006/relationships/hyperlink" Target="https://www.eci.gov.in/eci-backend/public/all_files/GE-2024-statistical-report/33-Constituency-Wise-Detailed-Result.pdf" TargetMode="External" Id="rId372" /><Relationship Type="http://schemas.openxmlformats.org/officeDocument/2006/relationships/hyperlink" Target="#'Claims'!A84" TargetMode="External" Id="rId373" /><Relationship Type="http://schemas.openxmlformats.org/officeDocument/2006/relationships/hyperlink" Target="#'Sources'!A11" TargetMode="External" Id="rId374" /><Relationship Type="http://schemas.openxmlformats.org/officeDocument/2006/relationships/hyperlink" Target="https://www.eci.gov.in/eci-backend/public/all_files/GE-2024-statistical-report/33-Constituency-Wise-Detailed-Result.pdf" TargetMode="External" Id="rId375" /><Relationship Type="http://schemas.openxmlformats.org/officeDocument/2006/relationships/hyperlink" Target="#'Claims'!A85" TargetMode="External" Id="rId376" /><Relationship Type="http://schemas.openxmlformats.org/officeDocument/2006/relationships/hyperlink" Target="#'Sources'!A11" TargetMode="External" Id="rId377" /><Relationship Type="http://schemas.openxmlformats.org/officeDocument/2006/relationships/hyperlink" Target="https://www.eci.gov.in/eci-backend/public/all_files/GE-2024-statistical-report/33-Constituency-Wise-Detailed-Result.pdf" TargetMode="External" Id="rId378" /><Relationship Type="http://schemas.openxmlformats.org/officeDocument/2006/relationships/hyperlink" Target="#'Claims'!A86" TargetMode="External" Id="rId379" /><Relationship Type="http://schemas.openxmlformats.org/officeDocument/2006/relationships/hyperlink" Target="#'Sources'!A11" TargetMode="External" Id="rId380" /><Relationship Type="http://schemas.openxmlformats.org/officeDocument/2006/relationships/hyperlink" Target="https://www.eci.gov.in/eci-backend/public/all_files/GE-2024-statistical-report/33-Constituency-Wise-Detailed-Result.pdf" TargetMode="External" Id="rId381" /><Relationship Type="http://schemas.openxmlformats.org/officeDocument/2006/relationships/hyperlink" Target="#'Claims'!A86" TargetMode="External" Id="rId382" /><Relationship Type="http://schemas.openxmlformats.org/officeDocument/2006/relationships/hyperlink" Target="#'Sources'!A48" TargetMode="External" Id="rId383" /><Relationship Type="http://schemas.openxmlformats.org/officeDocument/2006/relationships/hyperlink" Target="https://www.ndtv.com/india-news/rahul-gandhi-resigns-from-wayanad-seat-retains-raebareli-5918402" TargetMode="External" Id="rId384" /><Relationship Type="http://schemas.openxmlformats.org/officeDocument/2006/relationships/hyperlink" Target="#'Claims'!A87" TargetMode="External" Id="rId385" /><Relationship Type="http://schemas.openxmlformats.org/officeDocument/2006/relationships/hyperlink" Target="#'Sources'!A11" TargetMode="External" Id="rId386" /><Relationship Type="http://schemas.openxmlformats.org/officeDocument/2006/relationships/hyperlink" Target="https://www.eci.gov.in/eci-backend/public/all_files/GE-2024-statistical-report/33-Constituency-Wise-Detailed-Result.pdf" TargetMode="External" Id="rId387" /><Relationship Type="http://schemas.openxmlformats.org/officeDocument/2006/relationships/hyperlink" Target="#'Claims'!A87" TargetMode="External" Id="rId388" /><Relationship Type="http://schemas.openxmlformats.org/officeDocument/2006/relationships/hyperlink" Target="#'Sources'!A48" TargetMode="External" Id="rId389" /><Relationship Type="http://schemas.openxmlformats.org/officeDocument/2006/relationships/hyperlink" Target="https://www.ndtv.com/india-news/rahul-gandhi-resigns-from-wayanad-seat-retains-raebareli-5918402" TargetMode="External" Id="rId390" /><Relationship Type="http://schemas.openxmlformats.org/officeDocument/2006/relationships/hyperlink" Target="#'Claims'!A88" TargetMode="External" Id="rId391" /><Relationship Type="http://schemas.openxmlformats.org/officeDocument/2006/relationships/hyperlink" Target="#'Sources'!A11" TargetMode="External" Id="rId392" /><Relationship Type="http://schemas.openxmlformats.org/officeDocument/2006/relationships/hyperlink" Target="https://www.eci.gov.in/eci-backend/public/all_files/GE-2024-statistical-report/33-Constituency-Wise-Detailed-Result.pdf" TargetMode="External" Id="rId393" /><Relationship Type="http://schemas.openxmlformats.org/officeDocument/2006/relationships/hyperlink" Target="#'Claims'!A88" TargetMode="External" Id="rId394" /><Relationship Type="http://schemas.openxmlformats.org/officeDocument/2006/relationships/hyperlink" Target="#'Sources'!A48" TargetMode="External" Id="rId395" /><Relationship Type="http://schemas.openxmlformats.org/officeDocument/2006/relationships/hyperlink" Target="https://www.ndtv.com/india-news/rahul-gandhi-resigns-from-wayanad-seat-retains-raebareli-5918402" TargetMode="External" Id="rId396" /><Relationship Type="http://schemas.openxmlformats.org/officeDocument/2006/relationships/hyperlink" Target="#'Claims'!A89" TargetMode="External" Id="rId397" /><Relationship Type="http://schemas.openxmlformats.org/officeDocument/2006/relationships/hyperlink" Target="#'Sources'!A11" TargetMode="External" Id="rId398" /><Relationship Type="http://schemas.openxmlformats.org/officeDocument/2006/relationships/hyperlink" Target="https://www.eci.gov.in/eci-backend/public/all_files/GE-2024-statistical-report/33-Constituency-Wise-Detailed-Result.pdf" TargetMode="External" Id="rId399" /><Relationship Type="http://schemas.openxmlformats.org/officeDocument/2006/relationships/hyperlink" Target="#'Claims'!A89" TargetMode="External" Id="rId400" /><Relationship Type="http://schemas.openxmlformats.org/officeDocument/2006/relationships/hyperlink" Target="#'Sources'!A48" TargetMode="External" Id="rId401" /><Relationship Type="http://schemas.openxmlformats.org/officeDocument/2006/relationships/hyperlink" Target="https://www.ndtv.com/india-news/rahul-gandhi-resigns-from-wayanad-seat-retains-raebareli-5918402" TargetMode="External" Id="rId402" /><Relationship Type="http://schemas.openxmlformats.org/officeDocument/2006/relationships/hyperlink" Target="#'Claims'!A90" TargetMode="External" Id="rId403" /><Relationship Type="http://schemas.openxmlformats.org/officeDocument/2006/relationships/hyperlink" Target="#'Sources'!A11" TargetMode="External" Id="rId404" /><Relationship Type="http://schemas.openxmlformats.org/officeDocument/2006/relationships/hyperlink" Target="https://www.eci.gov.in/eci-backend/public/all_files/GE-2024-statistical-report/33-Constituency-Wise-Detailed-Result.pdf" TargetMode="External" Id="rId405" /><Relationship Type="http://schemas.openxmlformats.org/officeDocument/2006/relationships/hyperlink" Target="#'Claims'!A90" TargetMode="External" Id="rId406" /><Relationship Type="http://schemas.openxmlformats.org/officeDocument/2006/relationships/hyperlink" Target="#'Sources'!A48" TargetMode="External" Id="rId407" /><Relationship Type="http://schemas.openxmlformats.org/officeDocument/2006/relationships/hyperlink" Target="https://www.ndtv.com/india-news/rahul-gandhi-resigns-from-wayanad-seat-retains-raebareli-5918402" TargetMode="External" Id="rId408" /><Relationship Type="http://schemas.openxmlformats.org/officeDocument/2006/relationships/hyperlink" Target="#'Claims'!A91" TargetMode="External" Id="rId409" /><Relationship Type="http://schemas.openxmlformats.org/officeDocument/2006/relationships/hyperlink" Target="#'Sources'!A11" TargetMode="External" Id="rId410" /><Relationship Type="http://schemas.openxmlformats.org/officeDocument/2006/relationships/hyperlink" Target="https://www.eci.gov.in/eci-backend/public/all_files/GE-2024-statistical-report/33-Constituency-Wise-Detailed-Result.pdf" TargetMode="External" Id="rId411" /><Relationship Type="http://schemas.openxmlformats.org/officeDocument/2006/relationships/hyperlink" Target="#'Claims'!A91" TargetMode="External" Id="rId412" /><Relationship Type="http://schemas.openxmlformats.org/officeDocument/2006/relationships/hyperlink" Target="#'Sources'!A48" TargetMode="External" Id="rId413" /><Relationship Type="http://schemas.openxmlformats.org/officeDocument/2006/relationships/hyperlink" Target="https://www.ndtv.com/india-news/rahul-gandhi-resigns-from-wayanad-seat-retains-raebareli-5918402" TargetMode="External" Id="rId414" /><Relationship Type="http://schemas.openxmlformats.org/officeDocument/2006/relationships/hyperlink" Target="#'Claims'!A92" TargetMode="External" Id="rId415" /><Relationship Type="http://schemas.openxmlformats.org/officeDocument/2006/relationships/hyperlink" Target="#'Sources'!A9" TargetMode="External" Id="rId416" /><Relationship Type="http://schemas.openxmlformats.org/officeDocument/2006/relationships/hyperlink" Target="https://inc.in/leadership/past-party-presidents/shri-rahul-gandhi" TargetMode="External" Id="rId417" /><Relationship Type="http://schemas.openxmlformats.org/officeDocument/2006/relationships/hyperlink" Target="#'Claims'!A92" TargetMode="External" Id="rId418" /><Relationship Type="http://schemas.openxmlformats.org/officeDocument/2006/relationships/hyperlink" Target="#'Sources'!A14" TargetMode="External" Id="rId419" /><Relationship Type="http://schemas.openxmlformats.org/officeDocument/2006/relationships/hyperlink" Target="https://www.elections.in/parliamentary-constituencies/2004-election-results.html" TargetMode="External" Id="rId420" /><Relationship Type="http://schemas.openxmlformats.org/officeDocument/2006/relationships/hyperlink" Target="#'Claims'!A93" TargetMode="External" Id="rId421" /><Relationship Type="http://schemas.openxmlformats.org/officeDocument/2006/relationships/hyperlink" Target="#'Sources'!A9" TargetMode="External" Id="rId422" /><Relationship Type="http://schemas.openxmlformats.org/officeDocument/2006/relationships/hyperlink" Target="https://inc.in/leadership/past-party-presidents/shri-rahul-gandhi" TargetMode="External" Id="rId423" /><Relationship Type="http://schemas.openxmlformats.org/officeDocument/2006/relationships/hyperlink" Target="#'Claims'!A93" TargetMode="External" Id="rId424" /><Relationship Type="http://schemas.openxmlformats.org/officeDocument/2006/relationships/hyperlink" Target="#'Sources'!A13" TargetMode="External" Id="rId425" /><Relationship Type="http://schemas.openxmlformats.org/officeDocument/2006/relationships/hyperlink" Target="https://www.moneycontrol.com/elections/lok-sabha-election/uttar-pradesh/constituencies/amethi-constituency-s24led2008p037/" TargetMode="External" Id="rId426" /><Relationship Type="http://schemas.openxmlformats.org/officeDocument/2006/relationships/hyperlink" Target="#'Claims'!A94" TargetMode="External" Id="rId427" /><Relationship Type="http://schemas.openxmlformats.org/officeDocument/2006/relationships/hyperlink" Target="#'Sources'!A9" TargetMode="External" Id="rId428" /><Relationship Type="http://schemas.openxmlformats.org/officeDocument/2006/relationships/hyperlink" Target="https://inc.in/leadership/past-party-presidents/shri-rahul-gandhi" TargetMode="External" Id="rId429" /><Relationship Type="http://schemas.openxmlformats.org/officeDocument/2006/relationships/hyperlink" Target="#'Claims'!A94" TargetMode="External" Id="rId430" /><Relationship Type="http://schemas.openxmlformats.org/officeDocument/2006/relationships/hyperlink" Target="#'Sources'!A12" TargetMode="External" Id="rId431" /><Relationship Type="http://schemas.openxmlformats.org/officeDocument/2006/relationships/hyperlink" Target="https://adrindia.org/sites/default/files/Analysis_of_Vote_Share_Margin_Of_Victory_Lok_Sabha__2019.pdf" TargetMode="External" Id="rId432" /><Relationship Type="http://schemas.openxmlformats.org/officeDocument/2006/relationships/hyperlink" Target="#'Claims'!A94" TargetMode="External" Id="rId433" /><Relationship Type="http://schemas.openxmlformats.org/officeDocument/2006/relationships/hyperlink" Target="#'Sources'!A13" TargetMode="External" Id="rId434" /><Relationship Type="http://schemas.openxmlformats.org/officeDocument/2006/relationships/hyperlink" Target="https://www.moneycontrol.com/elections/lok-sabha-election/uttar-pradesh/constituencies/amethi-constituency-s24led2008p037/" TargetMode="External" Id="rId435" /><Relationship Type="http://schemas.openxmlformats.org/officeDocument/2006/relationships/hyperlink" Target="#'Claims'!A95" TargetMode="External" Id="rId436" /><Relationship Type="http://schemas.openxmlformats.org/officeDocument/2006/relationships/hyperlink" Target="#'Sources'!A47" TargetMode="External" Id="rId437" /><Relationship Type="http://schemas.openxmlformats.org/officeDocument/2006/relationships/hyperlink" Target="https://prsindia.org/mptrack/17-lok-sabha/rahul-gandhi" TargetMode="External" Id="rId438" /><Relationship Type="http://schemas.openxmlformats.org/officeDocument/2006/relationships/hyperlink" Target="#'Claims'!A95" TargetMode="External" Id="rId439" /><Relationship Type="http://schemas.openxmlformats.org/officeDocument/2006/relationships/hyperlink" Target="#'Sources'!A16" TargetMode="External" Id="rId440" /><Relationship Type="http://schemas.openxmlformats.org/officeDocument/2006/relationships/hyperlink" Target="https://indianexpress.com/article/political-pulse/rahul-gandhi-returns-mp-lok-sabha-supreme-court-8880307/" TargetMode="External" Id="rId441" /><Relationship Type="http://schemas.openxmlformats.org/officeDocument/2006/relationships/hyperlink" Target="#'Claims'!A96" TargetMode="External" Id="rId442" /><Relationship Type="http://schemas.openxmlformats.org/officeDocument/2006/relationships/hyperlink" Target="#'Sources'!A47" TargetMode="External" Id="rId443" /><Relationship Type="http://schemas.openxmlformats.org/officeDocument/2006/relationships/hyperlink" Target="https://prsindia.org/mptrack/17-lok-sabha/rahul-gandhi" TargetMode="External" Id="rId444" /><Relationship Type="http://schemas.openxmlformats.org/officeDocument/2006/relationships/hyperlink" Target="#'Claims'!A96" TargetMode="External" Id="rId445" /><Relationship Type="http://schemas.openxmlformats.org/officeDocument/2006/relationships/hyperlink" Target="#'Sources'!A16" TargetMode="External" Id="rId446" /><Relationship Type="http://schemas.openxmlformats.org/officeDocument/2006/relationships/hyperlink" Target="https://indianexpress.com/article/political-pulse/rahul-gandhi-returns-mp-lok-sabha-supreme-court-8880307/" TargetMode="External" Id="rId447" /><Relationship Type="http://schemas.openxmlformats.org/officeDocument/2006/relationships/hyperlink" Target="#'Claims'!A97" TargetMode="External" Id="rId448" /><Relationship Type="http://schemas.openxmlformats.org/officeDocument/2006/relationships/hyperlink" Target="#'Sources'!A47" TargetMode="External" Id="rId449" /><Relationship Type="http://schemas.openxmlformats.org/officeDocument/2006/relationships/hyperlink" Target="https://prsindia.org/mptrack/17-lok-sabha/rahul-gandhi" TargetMode="External" Id="rId450" /><Relationship Type="http://schemas.openxmlformats.org/officeDocument/2006/relationships/hyperlink" Target="#'Claims'!A97" TargetMode="External" Id="rId451" /><Relationship Type="http://schemas.openxmlformats.org/officeDocument/2006/relationships/hyperlink" Target="#'Sources'!A16" TargetMode="External" Id="rId452" /><Relationship Type="http://schemas.openxmlformats.org/officeDocument/2006/relationships/hyperlink" Target="https://indianexpress.com/article/political-pulse/rahul-gandhi-returns-mp-lok-sabha-supreme-court-8880307/" TargetMode="External" Id="rId453" /><Relationship Type="http://schemas.openxmlformats.org/officeDocument/2006/relationships/hyperlink" Target="#'Claims'!A98" TargetMode="External" Id="rId454" /><Relationship Type="http://schemas.openxmlformats.org/officeDocument/2006/relationships/hyperlink" Target="#'Sources'!A16" TargetMode="External" Id="rId455" /><Relationship Type="http://schemas.openxmlformats.org/officeDocument/2006/relationships/hyperlink" Target="https://indianexpress.com/article/political-pulse/rahul-gandhi-returns-mp-lok-sabha-supreme-court-8880307/" TargetMode="External" Id="rId456" /><Relationship Type="http://schemas.openxmlformats.org/officeDocument/2006/relationships/hyperlink" Target="#'Claims'!A98" TargetMode="External" Id="rId457" /><Relationship Type="http://schemas.openxmlformats.org/officeDocument/2006/relationships/hyperlink" Target="#'Sources'!A47" TargetMode="External" Id="rId458" /><Relationship Type="http://schemas.openxmlformats.org/officeDocument/2006/relationships/hyperlink" Target="https://prsindia.org/mptrack/17-lok-sabha/rahul-gandhi" TargetMode="External" Id="rId459" /><Relationship Type="http://schemas.openxmlformats.org/officeDocument/2006/relationships/hyperlink" Target="#'Claims'!A99" TargetMode="External" Id="rId460" /><Relationship Type="http://schemas.openxmlformats.org/officeDocument/2006/relationships/hyperlink" Target="#'Sources'!A16" TargetMode="External" Id="rId461" /><Relationship Type="http://schemas.openxmlformats.org/officeDocument/2006/relationships/hyperlink" Target="https://indianexpress.com/article/political-pulse/rahul-gandhi-returns-mp-lok-sabha-supreme-court-8880307/" TargetMode="External" Id="rId462" /><Relationship Type="http://schemas.openxmlformats.org/officeDocument/2006/relationships/hyperlink" Target="#'Claims'!A99" TargetMode="External" Id="rId463" /><Relationship Type="http://schemas.openxmlformats.org/officeDocument/2006/relationships/hyperlink" Target="#'Sources'!A47" TargetMode="External" Id="rId464" /><Relationship Type="http://schemas.openxmlformats.org/officeDocument/2006/relationships/hyperlink" Target="https://prsindia.org/mptrack/17-lok-sabha/rahul-gandhi" TargetMode="External" Id="rId465" /><Relationship Type="http://schemas.openxmlformats.org/officeDocument/2006/relationships/hyperlink" Target="#'Claims'!A100" TargetMode="External" Id="rId466" /><Relationship Type="http://schemas.openxmlformats.org/officeDocument/2006/relationships/hyperlink" Target="#'Sources'!A16" TargetMode="External" Id="rId467" /><Relationship Type="http://schemas.openxmlformats.org/officeDocument/2006/relationships/hyperlink" Target="https://indianexpress.com/article/political-pulse/rahul-gandhi-returns-mp-lok-sabha-supreme-court-8880307/" TargetMode="External" Id="rId468" /><Relationship Type="http://schemas.openxmlformats.org/officeDocument/2006/relationships/hyperlink" Target="#'Claims'!A100" TargetMode="External" Id="rId469" /><Relationship Type="http://schemas.openxmlformats.org/officeDocument/2006/relationships/hyperlink" Target="#'Sources'!A47" TargetMode="External" Id="rId470" /><Relationship Type="http://schemas.openxmlformats.org/officeDocument/2006/relationships/hyperlink" Target="https://prsindia.org/mptrack/17-lok-sabha/rahul-gandhi" TargetMode="External" Id="rId471" /><Relationship Type="http://schemas.openxmlformats.org/officeDocument/2006/relationships/hyperlink" Target="#'Claims'!A101" TargetMode="External" Id="rId472" /><Relationship Type="http://schemas.openxmlformats.org/officeDocument/2006/relationships/hyperlink" Target="#'Sources'!A11" TargetMode="External" Id="rId473" /><Relationship Type="http://schemas.openxmlformats.org/officeDocument/2006/relationships/hyperlink" Target="https://www.eci.gov.in/eci-backend/public/all_files/GE-2024-statistical-report/33-Constituency-Wise-Detailed-Result.pdf" TargetMode="External" Id="rId474" /><Relationship Type="http://schemas.openxmlformats.org/officeDocument/2006/relationships/hyperlink" Target="#'Claims'!A101" TargetMode="External" Id="rId475" /><Relationship Type="http://schemas.openxmlformats.org/officeDocument/2006/relationships/hyperlink" Target="#'Sources'!A48" TargetMode="External" Id="rId476" /><Relationship Type="http://schemas.openxmlformats.org/officeDocument/2006/relationships/hyperlink" Target="https://www.ndtv.com/india-news/rahul-gandhi-resigns-from-wayanad-seat-retains-raebareli-5918402" TargetMode="External" Id="rId477" /><Relationship Type="http://schemas.openxmlformats.org/officeDocument/2006/relationships/hyperlink" Target="#'Claims'!A102" TargetMode="External" Id="rId478" /><Relationship Type="http://schemas.openxmlformats.org/officeDocument/2006/relationships/hyperlink" Target="#'Sources'!A11" TargetMode="External" Id="rId479" /><Relationship Type="http://schemas.openxmlformats.org/officeDocument/2006/relationships/hyperlink" Target="https://www.eci.gov.in/eci-backend/public/all_files/GE-2024-statistical-report/33-Constituency-Wise-Detailed-Result.pdf" TargetMode="External" Id="rId480" /><Relationship Type="http://schemas.openxmlformats.org/officeDocument/2006/relationships/hyperlink" Target="#'Claims'!A102" TargetMode="External" Id="rId481" /><Relationship Type="http://schemas.openxmlformats.org/officeDocument/2006/relationships/hyperlink" Target="#'Sources'!A48" TargetMode="External" Id="rId482" /><Relationship Type="http://schemas.openxmlformats.org/officeDocument/2006/relationships/hyperlink" Target="https://www.ndtv.com/india-news/rahul-gandhi-resigns-from-wayanad-seat-retains-raebareli-5918402" TargetMode="External" Id="rId483" /><Relationship Type="http://schemas.openxmlformats.org/officeDocument/2006/relationships/hyperlink" Target="#'Claims'!A103" TargetMode="External" Id="rId484" /><Relationship Type="http://schemas.openxmlformats.org/officeDocument/2006/relationships/hyperlink" Target="#'Sources'!A8" TargetMode="External" Id="rId485" /><Relationship Type="http://schemas.openxmlformats.org/officeDocument/2006/relationships/hyperlink" Target="https://prsindia.org/mptrack/18-lok-sabha/rahul-gandhi" TargetMode="External" Id="rId486" /><Relationship Type="http://schemas.openxmlformats.org/officeDocument/2006/relationships/hyperlink" Target="#'Claims'!A103" TargetMode="External" Id="rId487" /><Relationship Type="http://schemas.openxmlformats.org/officeDocument/2006/relationships/hyperlink" Target="#'Sources'!A48" TargetMode="External" Id="rId488" /><Relationship Type="http://schemas.openxmlformats.org/officeDocument/2006/relationships/hyperlink" Target="https://www.ndtv.com/india-news/rahul-gandhi-resigns-from-wayanad-seat-retains-raebareli-5918402" TargetMode="External" Id="rId489" /><Relationship Type="http://schemas.openxmlformats.org/officeDocument/2006/relationships/hyperlink" Target="#'Claims'!A104" TargetMode="External" Id="rId490" /><Relationship Type="http://schemas.openxmlformats.org/officeDocument/2006/relationships/hyperlink" Target="#'Sources'!A8" TargetMode="External" Id="rId491" /><Relationship Type="http://schemas.openxmlformats.org/officeDocument/2006/relationships/hyperlink" Target="https://prsindia.org/mptrack/18-lok-sabha/rahul-gandhi" TargetMode="External" Id="rId492" /><Relationship Type="http://schemas.openxmlformats.org/officeDocument/2006/relationships/hyperlink" Target="#'Claims'!A104" TargetMode="External" Id="rId493" /><Relationship Type="http://schemas.openxmlformats.org/officeDocument/2006/relationships/hyperlink" Target="#'Sources'!A48" TargetMode="External" Id="rId494" /><Relationship Type="http://schemas.openxmlformats.org/officeDocument/2006/relationships/hyperlink" Target="https://www.ndtv.com/india-news/rahul-gandhi-resigns-from-wayanad-seat-retains-raebareli-5918402" TargetMode="External" Id="rId495" /><Relationship Type="http://schemas.openxmlformats.org/officeDocument/2006/relationships/hyperlink" Target="#'Claims'!A105" TargetMode="External" Id="rId496" /><Relationship Type="http://schemas.openxmlformats.org/officeDocument/2006/relationships/hyperlink" Target="#'Sources'!A7" TargetMode="External" Id="rId497" /><Relationship Type="http://schemas.openxmlformats.org/officeDocument/2006/relationships/hyperlink" Target="https://sansad.in/ls/about/leader-of-opposition" TargetMode="External" Id="rId498" /><Relationship Type="http://schemas.openxmlformats.org/officeDocument/2006/relationships/hyperlink" Target="#'Claims'!A105" TargetMode="External" Id="rId499" /><Relationship Type="http://schemas.openxmlformats.org/officeDocument/2006/relationships/hyperlink" Target="#'Sources'!A8" TargetMode="External" Id="rId500" /><Relationship Type="http://schemas.openxmlformats.org/officeDocument/2006/relationships/hyperlink" Target="https://prsindia.org/mptrack/18-lok-sabha/rahul-gandhi" TargetMode="External" Id="rId501" /><Relationship Type="http://schemas.openxmlformats.org/officeDocument/2006/relationships/hyperlink" Target="#'Claims'!A106" TargetMode="External" Id="rId502" /><Relationship Type="http://schemas.openxmlformats.org/officeDocument/2006/relationships/hyperlink" Target="#'Sources'!A7" TargetMode="External" Id="rId503" /><Relationship Type="http://schemas.openxmlformats.org/officeDocument/2006/relationships/hyperlink" Target="https://sansad.in/ls/about/leader-of-opposition" TargetMode="External" Id="rId504" /><Relationship Type="http://schemas.openxmlformats.org/officeDocument/2006/relationships/hyperlink" Target="#'Claims'!A106" TargetMode="External" Id="rId505" /><Relationship Type="http://schemas.openxmlformats.org/officeDocument/2006/relationships/hyperlink" Target="#'Sources'!A8" TargetMode="External" Id="rId506" /><Relationship Type="http://schemas.openxmlformats.org/officeDocument/2006/relationships/hyperlink" Target="https://prsindia.org/mptrack/18-lok-sabha/rahul-gandhi" TargetMode="External" Id="rId507" /><Relationship Type="http://schemas.openxmlformats.org/officeDocument/2006/relationships/hyperlink" Target="#'Claims'!A107" TargetMode="External" Id="rId508" /><Relationship Type="http://schemas.openxmlformats.org/officeDocument/2006/relationships/hyperlink" Target="#'Sources'!A9" TargetMode="External" Id="rId509" /><Relationship Type="http://schemas.openxmlformats.org/officeDocument/2006/relationships/hyperlink" Target="https://inc.in/leadership/past-party-presidents/shri-rahul-gandhi" TargetMode="External" Id="rId510" /><Relationship Type="http://schemas.openxmlformats.org/officeDocument/2006/relationships/hyperlink" Target="#'Claims'!A108" TargetMode="External" Id="rId511" /><Relationship Type="http://schemas.openxmlformats.org/officeDocument/2006/relationships/hyperlink" Target="#'Sources'!A9" TargetMode="External" Id="rId512" /><Relationship Type="http://schemas.openxmlformats.org/officeDocument/2006/relationships/hyperlink" Target="https://inc.in/leadership/past-party-presidents/shri-rahul-gandhi" TargetMode="External" Id="rId513" /><Relationship Type="http://schemas.openxmlformats.org/officeDocument/2006/relationships/hyperlink" Target="#'Claims'!A109" TargetMode="External" Id="rId514" /><Relationship Type="http://schemas.openxmlformats.org/officeDocument/2006/relationships/hyperlink" Target="#'Sources'!A9" TargetMode="External" Id="rId515" /><Relationship Type="http://schemas.openxmlformats.org/officeDocument/2006/relationships/hyperlink" Target="https://inc.in/leadership/past-party-presidents/shri-rahul-gandhi" TargetMode="External" Id="rId516" /><Relationship Type="http://schemas.openxmlformats.org/officeDocument/2006/relationships/hyperlink" Target="#'Claims'!A110" TargetMode="External" Id="rId517" /><Relationship Type="http://schemas.openxmlformats.org/officeDocument/2006/relationships/hyperlink" Target="#'Sources'!A9" TargetMode="External" Id="rId518" /><Relationship Type="http://schemas.openxmlformats.org/officeDocument/2006/relationships/hyperlink" Target="https://inc.in/leadership/past-party-presidents/shri-rahul-gandhi" TargetMode="External" Id="rId519" /><Relationship Type="http://schemas.openxmlformats.org/officeDocument/2006/relationships/hyperlink" Target="#'Claims'!A110" TargetMode="External" Id="rId520" /><Relationship Type="http://schemas.openxmlformats.org/officeDocument/2006/relationships/hyperlink" Target="#'Sources'!A19" TargetMode="External" Id="rId521" /><Relationship Type="http://schemas.openxmlformats.org/officeDocument/2006/relationships/hyperlink" Target="https://www.ndtv.com/india-news/rahul-gandhis-open-letter-full-text-at-times-i-stood-completely-alone-2063455" TargetMode="External" Id="rId522" /><Relationship Type="http://schemas.openxmlformats.org/officeDocument/2006/relationships/hyperlink" Target="#'Claims'!A111" TargetMode="External" Id="rId523" /><Relationship Type="http://schemas.openxmlformats.org/officeDocument/2006/relationships/hyperlink" Target="#'Sources'!A9" TargetMode="External" Id="rId524" /><Relationship Type="http://schemas.openxmlformats.org/officeDocument/2006/relationships/hyperlink" Target="https://inc.in/leadership/past-party-presidents/shri-rahul-gandhi" TargetMode="External" Id="rId525" /><Relationship Type="http://schemas.openxmlformats.org/officeDocument/2006/relationships/hyperlink" Target="#'Claims'!A111" TargetMode="External" Id="rId526" /><Relationship Type="http://schemas.openxmlformats.org/officeDocument/2006/relationships/hyperlink" Target="#'Sources'!A19" TargetMode="External" Id="rId527" /><Relationship Type="http://schemas.openxmlformats.org/officeDocument/2006/relationships/hyperlink" Target="https://www.ndtv.com/india-news/rahul-gandhis-open-letter-full-text-at-times-i-stood-completely-alone-2063455" TargetMode="External" Id="rId528" /><Relationship Type="http://schemas.openxmlformats.org/officeDocument/2006/relationships/hyperlink" Target="#'Claims'!A112" TargetMode="External" Id="rId529" /><Relationship Type="http://schemas.openxmlformats.org/officeDocument/2006/relationships/hyperlink" Target="#'Sources'!A9" TargetMode="External" Id="rId530" /><Relationship Type="http://schemas.openxmlformats.org/officeDocument/2006/relationships/hyperlink" Target="https://inc.in/leadership/past-party-presidents/shri-rahul-gandhi" TargetMode="External" Id="rId531" /><Relationship Type="http://schemas.openxmlformats.org/officeDocument/2006/relationships/hyperlink" Target="#'Claims'!A113" TargetMode="External" Id="rId532" /><Relationship Type="http://schemas.openxmlformats.org/officeDocument/2006/relationships/hyperlink" Target="#'Sources'!A9" TargetMode="External" Id="rId533" /><Relationship Type="http://schemas.openxmlformats.org/officeDocument/2006/relationships/hyperlink" Target="https://inc.in/leadership/past-party-presidents/shri-rahul-gandhi" TargetMode="External" Id="rId534" /><Relationship Type="http://schemas.openxmlformats.org/officeDocument/2006/relationships/hyperlink" Target="#'Claims'!A113" TargetMode="External" Id="rId535" /><Relationship Type="http://schemas.openxmlformats.org/officeDocument/2006/relationships/hyperlink" Target="#'Sources'!A20" TargetMode="External" Id="rId536" /><Relationship Type="http://schemas.openxmlformats.org/officeDocument/2006/relationships/hyperlink" Target="https://indianexpress.com/article/political-pulse/rahul-modi-shah-doval-srinagar-bharat-jodo-yatra-8413548/" TargetMode="External" Id="rId537" /><Relationship Type="http://schemas.openxmlformats.org/officeDocument/2006/relationships/hyperlink" Target="#'Claims'!A114" TargetMode="External" Id="rId538" /><Relationship Type="http://schemas.openxmlformats.org/officeDocument/2006/relationships/hyperlink" Target="#'Sources'!A26" TargetMode="External" Id="rId539" /><Relationship Type="http://schemas.openxmlformats.org/officeDocument/2006/relationships/hyperlink" Target="https://indianexpress.com/article/political-pulse/in-kerala-youth-cong-dissent-over-rahuls-internal-election-system/" TargetMode="External" Id="rId540" /><Relationship Type="http://schemas.openxmlformats.org/officeDocument/2006/relationships/hyperlink" Target="#'Claims'!A114" TargetMode="External" Id="rId541" /><Relationship Type="http://schemas.openxmlformats.org/officeDocument/2006/relationships/hyperlink" Target="#'Sources'!A27" TargetMode="External" Id="rId542" /><Relationship Type="http://schemas.openxmlformats.org/officeDocument/2006/relationships/hyperlink" Target="https://timesofindia.indiatimes.com/india/youth-congress-to-retain-internal-polls/articleshow/36734347.cms" TargetMode="External" Id="rId543" /><Relationship Type="http://schemas.openxmlformats.org/officeDocument/2006/relationships/hyperlink" Target="#'Claims'!A115" TargetMode="External" Id="rId544" /><Relationship Type="http://schemas.openxmlformats.org/officeDocument/2006/relationships/hyperlink" Target="#'Sources'!A43" TargetMode="External" Id="rId545" /><Relationship Type="http://schemas.openxmlformats.org/officeDocument/2006/relationships/hyperlink" Target="https://www.ndtv.com/india-news/rahul-gandhi-calls-ordinance-on-convicted-lawmakers-nonsense-huge-embarrassment-for-pm-535906" TargetMode="External" Id="rId546" /><Relationship Type="http://schemas.openxmlformats.org/officeDocument/2006/relationships/hyperlink" Target="#'Claims'!A115" TargetMode="External" Id="rId547" /><Relationship Type="http://schemas.openxmlformats.org/officeDocument/2006/relationships/hyperlink" Target="#'Sources'!A44" TargetMode="External" Id="rId548" /><Relationship Type="http://schemas.openxmlformats.org/officeDocument/2006/relationships/hyperlink" Target="https://www.business-standard.com/article/politics/govt-bows-before-rahul-withdraws-ordinance-plan-113100200706_1.html" TargetMode="External" Id="rId549" /><Relationship Type="http://schemas.openxmlformats.org/officeDocument/2006/relationships/hyperlink" Target="#'Claims'!A116" TargetMode="External" Id="rId550" /><Relationship Type="http://schemas.openxmlformats.org/officeDocument/2006/relationships/hyperlink" Target="#'Sources'!A42" TargetMode="External" Id="rId551" /><Relationship Type="http://schemas.openxmlformats.org/officeDocument/2006/relationships/hyperlink" Target="https://economictimes.indiatimes.com/news/politics-and-nation/rahul-gandhi-vows-to-oppose-land-bill-inside-and-outside-parliament/articleshow/47249971.cms" TargetMode="External" Id="rId552" /><Relationship Type="http://schemas.openxmlformats.org/officeDocument/2006/relationships/hyperlink" Target="#'Claims'!A116" TargetMode="External" Id="rId553" /><Relationship Type="http://schemas.openxmlformats.org/officeDocument/2006/relationships/hyperlink" Target="#'Sources'!A37" TargetMode="External" Id="rId554" /><Relationship Type="http://schemas.openxmlformats.org/officeDocument/2006/relationships/hyperlink" Target="https://prsindia.org/billtrack/the-right-to-fair-compensation-and-transparency-in-land-acquisition-rehabilitation-and-resettlement-second-amendment-bill-2015" TargetMode="External" Id="rId555" /><Relationship Type="http://schemas.openxmlformats.org/officeDocument/2006/relationships/hyperlink" Target="#'Claims'!A117" TargetMode="External" Id="rId556" /><Relationship Type="http://schemas.openxmlformats.org/officeDocument/2006/relationships/hyperlink" Target="#'Sources'!A33" TargetMode="External" Id="rId557" /><Relationship Type="http://schemas.openxmlformats.org/officeDocument/2006/relationships/hyperlink" Target="https://www.ndtv.com/india-news/rs-72-000-will-be-given-to-beneficiaries-under-nyay-scheme-rahul-gandhi-2031993" TargetMode="External" Id="rId558" /><Relationship Type="http://schemas.openxmlformats.org/officeDocument/2006/relationships/hyperlink" Target="#'Claims'!A117" TargetMode="External" Id="rId559" /><Relationship Type="http://schemas.openxmlformats.org/officeDocument/2006/relationships/hyperlink" Target="#'Sources'!A19" TargetMode="External" Id="rId560" /><Relationship Type="http://schemas.openxmlformats.org/officeDocument/2006/relationships/hyperlink" Target="https://www.ndtv.com/india-news/rahul-gandhis-open-letter-full-text-at-times-i-stood-completely-alone-2063455" TargetMode="External" Id="rId561" /><Relationship Type="http://schemas.openxmlformats.org/officeDocument/2006/relationships/hyperlink" Target="#'Claims'!A118" TargetMode="External" Id="rId562" /><Relationship Type="http://schemas.openxmlformats.org/officeDocument/2006/relationships/hyperlink" Target="#'Sources'!A21" TargetMode="External" Id="rId563" /><Relationship Type="http://schemas.openxmlformats.org/officeDocument/2006/relationships/hyperlink" Target="https://manifesto.inc.in/en/equity/" TargetMode="External" Id="rId564" /><Relationship Type="http://schemas.openxmlformats.org/officeDocument/2006/relationships/hyperlink" Target="#'Claims'!A118" TargetMode="External" Id="rId565" /><Relationship Type="http://schemas.openxmlformats.org/officeDocument/2006/relationships/hyperlink" Target="#'Sources'!A40" TargetMode="External" Id="rId566" /><Relationship Type="http://schemas.openxmlformats.org/officeDocument/2006/relationships/hyperlink" Target="https://indianexpress.com/article/india/rahul-gandhi-caste-census-population-congress-centre-cabinet-9975117/" TargetMode="External" Id="rId567" /><Relationship Type="http://schemas.openxmlformats.org/officeDocument/2006/relationships/hyperlink" Target="#'Claims'!A118" TargetMode="External" Id="rId568" /><Relationship Type="http://schemas.openxmlformats.org/officeDocument/2006/relationships/hyperlink" Target="#'Sources'!A41" TargetMode="External" Id="rId569" /><Relationship Type="http://schemas.openxmlformats.org/officeDocument/2006/relationships/hyperlink" Target="https://www.pib.gov.in/PressReleasePage.aspx?PRID=2125576" TargetMode="External" Id="rId570" /><Relationship Type="http://schemas.openxmlformats.org/officeDocument/2006/relationships/hyperlink" Target="#'Claims'!A119" TargetMode="External" Id="rId571" /><Relationship Type="http://schemas.openxmlformats.org/officeDocument/2006/relationships/hyperlink" Target="#'Sources'!A38" TargetMode="External" Id="rId572" /><Relationship Type="http://schemas.openxmlformats.org/officeDocument/2006/relationships/hyperlink" Target="https://indianexpress.com/article/india/lok-sabha-rahul-gandhi-women-reservation-bill-obc-quota-8948629/" TargetMode="External" Id="rId573" /><Relationship Type="http://schemas.openxmlformats.org/officeDocument/2006/relationships/hyperlink" Target="#'Claims'!A120" TargetMode="External" Id="rId574" /><Relationship Type="http://schemas.openxmlformats.org/officeDocument/2006/relationships/hyperlink" Target="#'Sources'!A22" TargetMode="External" Id="rId575" /><Relationship Type="http://schemas.openxmlformats.org/officeDocument/2006/relationships/hyperlink" Target="https://manifesto.inc.in/en/women/" TargetMode="External" Id="rId576" /><Relationship Type="http://schemas.openxmlformats.org/officeDocument/2006/relationships/hyperlink" Target="#'Claims'!A121" TargetMode="External" Id="rId577" /><Relationship Type="http://schemas.openxmlformats.org/officeDocument/2006/relationships/hyperlink" Target="#'Sources'!A23" TargetMode="External" Id="rId578" /><Relationship Type="http://schemas.openxmlformats.org/officeDocument/2006/relationships/hyperlink" Target="https://manifesto.inc.in/en/youth/" TargetMode="External" Id="rId579" /><Relationship Type="http://schemas.openxmlformats.org/officeDocument/2006/relationships/hyperlink" Target="#'Claims'!A122" TargetMode="External" Id="rId580" /><Relationship Type="http://schemas.openxmlformats.org/officeDocument/2006/relationships/hyperlink" Target="#'Sources'!A24" TargetMode="External" Id="rId581" /><Relationship Type="http://schemas.openxmlformats.org/officeDocument/2006/relationships/hyperlink" Target="https://manifesto.inc.in/en/farmers/" TargetMode="External" Id="rId582" /><Relationship Type="http://schemas.openxmlformats.org/officeDocument/2006/relationships/hyperlink" Target="#'Claims'!A123" TargetMode="External" Id="rId583" /><Relationship Type="http://schemas.openxmlformats.org/officeDocument/2006/relationships/hyperlink" Target="#'Sources'!A25" TargetMode="External" Id="rId584" /><Relationship Type="http://schemas.openxmlformats.org/officeDocument/2006/relationships/hyperlink" Target="https://manifesto.inc.in/en/national-security/" TargetMode="External" Id="rId585" /><Relationship Type="http://schemas.openxmlformats.org/officeDocument/2006/relationships/hyperlink" Target="#'Claims'!A124" TargetMode="External" Id="rId586" /><Relationship Type="http://schemas.openxmlformats.org/officeDocument/2006/relationships/hyperlink" Target="#'Sources'!A47" TargetMode="External" Id="rId587" /><Relationship Type="http://schemas.openxmlformats.org/officeDocument/2006/relationships/hyperlink" Target="https://prsindia.org/mptrack/17-lok-sabha/rahul-gandhi" TargetMode="External" Id="rId588" /><Relationship Type="http://schemas.openxmlformats.org/officeDocument/2006/relationships/hyperlink" Target="#'Claims'!A124" TargetMode="External" Id="rId589" /><Relationship Type="http://schemas.openxmlformats.org/officeDocument/2006/relationships/hyperlink" Target="#'Sources'!A8" TargetMode="External" Id="rId590" /><Relationship Type="http://schemas.openxmlformats.org/officeDocument/2006/relationships/hyperlink" Target="https://prsindia.org/mptrack/18-lok-sabha/rahul-gandhi" TargetMode="External" Id="rId591" /><Relationship Type="http://schemas.openxmlformats.org/officeDocument/2006/relationships/hyperlink" Target="#'Claims'!A125" TargetMode="External" Id="rId592" /><Relationship Type="http://schemas.openxmlformats.org/officeDocument/2006/relationships/hyperlink" Target="#'Sources'!A47" TargetMode="External" Id="rId593" /><Relationship Type="http://schemas.openxmlformats.org/officeDocument/2006/relationships/hyperlink" Target="https://prsindia.org/mptrack/17-lok-sabha/rahul-gandhi" TargetMode="External" Id="rId594" /><Relationship Type="http://schemas.openxmlformats.org/officeDocument/2006/relationships/hyperlink" Target="#'Claims'!A126" TargetMode="External" Id="rId595" /><Relationship Type="http://schemas.openxmlformats.org/officeDocument/2006/relationships/hyperlink" Target="#'Sources'!A8" TargetMode="External" Id="rId596" /><Relationship Type="http://schemas.openxmlformats.org/officeDocument/2006/relationships/hyperlink" Target="https://prsindia.org/mptrack/18-lok-sabha/rahul-gandhi" TargetMode="External" Id="rId597" /><Relationship Type="http://schemas.openxmlformats.org/officeDocument/2006/relationships/hyperlink" Target="#'Claims'!A127" TargetMode="External" Id="rId598" /><Relationship Type="http://schemas.openxmlformats.org/officeDocument/2006/relationships/hyperlink" Target="#'Sources'!A9" TargetMode="External" Id="rId599" /><Relationship Type="http://schemas.openxmlformats.org/officeDocument/2006/relationships/hyperlink" Target="https://inc.in/leadership/past-party-presidents/shri-rahul-gandhi" TargetMode="External" Id="rId600" /><Relationship Type="http://schemas.openxmlformats.org/officeDocument/2006/relationships/hyperlink" Target="#'Claims'!A127" TargetMode="External" Id="rId601" /><Relationship Type="http://schemas.openxmlformats.org/officeDocument/2006/relationships/hyperlink" Target="#'Sources'!A28" TargetMode="External" Id="rId602" /><Relationship Type="http://schemas.openxmlformats.org/officeDocument/2006/relationships/hyperlink" Target="https://www.marketscreener.com/news/latest/Ridiculed-for-a-decade-India-s-Rahul-Gandhi-slows-Modi-juggernaut-46900641/" TargetMode="External" Id="rId603" /><Relationship Type="http://schemas.openxmlformats.org/officeDocument/2006/relationships/hyperlink" Target="#'Claims'!A128" TargetMode="External" Id="rId604" /><Relationship Type="http://schemas.openxmlformats.org/officeDocument/2006/relationships/hyperlink" Target="#'Sources'!A26" TargetMode="External" Id="rId605" /><Relationship Type="http://schemas.openxmlformats.org/officeDocument/2006/relationships/hyperlink" Target="https://indianexpress.com/article/political-pulse/in-kerala-youth-cong-dissent-over-rahuls-internal-election-system/" TargetMode="External" Id="rId606" /><Relationship Type="http://schemas.openxmlformats.org/officeDocument/2006/relationships/hyperlink" Target="#'Claims'!A128" TargetMode="External" Id="rId607" /><Relationship Type="http://schemas.openxmlformats.org/officeDocument/2006/relationships/hyperlink" Target="#'Sources'!A27" TargetMode="External" Id="rId608" /><Relationship Type="http://schemas.openxmlformats.org/officeDocument/2006/relationships/hyperlink" Target="https://timesofindia.indiatimes.com/india/youth-congress-to-retain-internal-polls/articleshow/36734347.cms" TargetMode="External" Id="rId609" /><Relationship Type="http://schemas.openxmlformats.org/officeDocument/2006/relationships/hyperlink" Target="#'Claims'!A129" TargetMode="External" Id="rId610" /><Relationship Type="http://schemas.openxmlformats.org/officeDocument/2006/relationships/hyperlink" Target="#'Sources'!A43" TargetMode="External" Id="rId611" /><Relationship Type="http://schemas.openxmlformats.org/officeDocument/2006/relationships/hyperlink" Target="https://www.ndtv.com/india-news/rahul-gandhi-calls-ordinance-on-convicted-lawmakers-nonsense-huge-embarrassment-for-pm-535906" TargetMode="External" Id="rId612" /><Relationship Type="http://schemas.openxmlformats.org/officeDocument/2006/relationships/hyperlink" Target="#'Claims'!A129" TargetMode="External" Id="rId613" /><Relationship Type="http://schemas.openxmlformats.org/officeDocument/2006/relationships/hyperlink" Target="#'Sources'!A44" TargetMode="External" Id="rId614" /><Relationship Type="http://schemas.openxmlformats.org/officeDocument/2006/relationships/hyperlink" Target="https://www.business-standard.com/article/politics/govt-bows-before-rahul-withdraws-ordinance-plan-113100200706_1.html" TargetMode="External" Id="rId615" /><Relationship Type="http://schemas.openxmlformats.org/officeDocument/2006/relationships/hyperlink" Target="#'Claims'!A130" TargetMode="External" Id="rId616" /><Relationship Type="http://schemas.openxmlformats.org/officeDocument/2006/relationships/hyperlink" Target="#'Sources'!A42" TargetMode="External" Id="rId617" /><Relationship Type="http://schemas.openxmlformats.org/officeDocument/2006/relationships/hyperlink" Target="https://economictimes.indiatimes.com/news/politics-and-nation/rahul-gandhi-vows-to-oppose-land-bill-inside-and-outside-parliament/articleshow/47249971.cms" TargetMode="External" Id="rId618" /><Relationship Type="http://schemas.openxmlformats.org/officeDocument/2006/relationships/hyperlink" Target="#'Claims'!A130" TargetMode="External" Id="rId619" /><Relationship Type="http://schemas.openxmlformats.org/officeDocument/2006/relationships/hyperlink" Target="#'Sources'!A33" TargetMode="External" Id="rId620" /><Relationship Type="http://schemas.openxmlformats.org/officeDocument/2006/relationships/hyperlink" Target="https://www.ndtv.com/india-news/rs-72-000-will-be-given-to-beneficiaries-under-nyay-scheme-rahul-gandhi-2031993" TargetMode="External" Id="rId621" /><Relationship Type="http://schemas.openxmlformats.org/officeDocument/2006/relationships/hyperlink" Target="#'Claims'!A131" TargetMode="External" Id="rId622" /><Relationship Type="http://schemas.openxmlformats.org/officeDocument/2006/relationships/hyperlink" Target="#'Sources'!A19" TargetMode="External" Id="rId623" /><Relationship Type="http://schemas.openxmlformats.org/officeDocument/2006/relationships/hyperlink" Target="https://www.ndtv.com/india-news/rahul-gandhis-open-letter-full-text-at-times-i-stood-completely-alone-2063455" TargetMode="External" Id="rId624" /><Relationship Type="http://schemas.openxmlformats.org/officeDocument/2006/relationships/hyperlink" Target="#'Claims'!A132" TargetMode="External" Id="rId625" /><Relationship Type="http://schemas.openxmlformats.org/officeDocument/2006/relationships/hyperlink" Target="#'Sources'!A20" TargetMode="External" Id="rId626" /><Relationship Type="http://schemas.openxmlformats.org/officeDocument/2006/relationships/hyperlink" Target="https://indianexpress.com/article/political-pulse/rahul-modi-shah-doval-srinagar-bharat-jodo-yatra-8413548/" TargetMode="External" Id="rId627" /><Relationship Type="http://schemas.openxmlformats.org/officeDocument/2006/relationships/hyperlink" Target="#'Claims'!A132" TargetMode="External" Id="rId628" /><Relationship Type="http://schemas.openxmlformats.org/officeDocument/2006/relationships/hyperlink" Target="#'Sources'!A28" TargetMode="External" Id="rId629" /><Relationship Type="http://schemas.openxmlformats.org/officeDocument/2006/relationships/hyperlink" Target="https://www.marketscreener.com/news/latest/Ridiculed-for-a-decade-India-s-Rahul-Gandhi-slows-Modi-juggernaut-46900641/" TargetMode="External" Id="rId630" /><Relationship Type="http://schemas.openxmlformats.org/officeDocument/2006/relationships/hyperlink" Target="#'Claims'!A133" TargetMode="External" Id="rId631" /><Relationship Type="http://schemas.openxmlformats.org/officeDocument/2006/relationships/hyperlink" Target="#'Sources'!A21" TargetMode="External" Id="rId632" /><Relationship Type="http://schemas.openxmlformats.org/officeDocument/2006/relationships/hyperlink" Target="https://manifesto.inc.in/en/equity/" TargetMode="External" Id="rId633" /><Relationship Type="http://schemas.openxmlformats.org/officeDocument/2006/relationships/hyperlink" Target="#'Claims'!A133" TargetMode="External" Id="rId634" /><Relationship Type="http://schemas.openxmlformats.org/officeDocument/2006/relationships/hyperlink" Target="#'Sources'!A40" TargetMode="External" Id="rId635" /><Relationship Type="http://schemas.openxmlformats.org/officeDocument/2006/relationships/hyperlink" Target="https://indianexpress.com/article/india/rahul-gandhi-caste-census-population-congress-centre-cabinet-9975117/" TargetMode="External" Id="rId636" /><Relationship Type="http://schemas.openxmlformats.org/officeDocument/2006/relationships/hyperlink" Target="#'Claims'!A134" TargetMode="External" Id="rId637" /><Relationship Type="http://schemas.openxmlformats.org/officeDocument/2006/relationships/hyperlink" Target="#'Sources'!A21" TargetMode="External" Id="rId638" /><Relationship Type="http://schemas.openxmlformats.org/officeDocument/2006/relationships/hyperlink" Target="https://manifesto.inc.in/en/equity/" TargetMode="External" Id="rId639" /><Relationship Type="http://schemas.openxmlformats.org/officeDocument/2006/relationships/hyperlink" Target="#'Claims'!A134" TargetMode="External" Id="rId640" /><Relationship Type="http://schemas.openxmlformats.org/officeDocument/2006/relationships/hyperlink" Target="#'Sources'!A20" TargetMode="External" Id="rId641" /><Relationship Type="http://schemas.openxmlformats.org/officeDocument/2006/relationships/hyperlink" Target="https://indianexpress.com/article/political-pulse/rahul-modi-shah-doval-srinagar-bharat-jodo-yatra-8413548/" TargetMode="External" Id="rId642" /><Relationship Type="http://schemas.openxmlformats.org/officeDocument/2006/relationships/hyperlink" Target="#'Claims'!A135" TargetMode="External" Id="rId643" /><Relationship Type="http://schemas.openxmlformats.org/officeDocument/2006/relationships/hyperlink" Target="#'Sources'!A28" TargetMode="External" Id="rId644" /><Relationship Type="http://schemas.openxmlformats.org/officeDocument/2006/relationships/hyperlink" Target="https://www.marketscreener.com/news/latest/Ridiculed-for-a-decade-India-s-Rahul-Gandhi-slows-Modi-juggernaut-46900641/" TargetMode="External" Id="rId645" /><Relationship Type="http://schemas.openxmlformats.org/officeDocument/2006/relationships/hyperlink" Target="#'Claims'!A135" TargetMode="External" Id="rId646" /><Relationship Type="http://schemas.openxmlformats.org/officeDocument/2006/relationships/hyperlink" Target="#'Sources'!A29" TargetMode="External" Id="rId647" /><Relationship Type="http://schemas.openxmlformats.org/officeDocument/2006/relationships/hyperlink" Target="https://carnegieendowment.org/research/2024/09/india-election-bjp-party-politics" TargetMode="External" Id="rId648" /><Relationship Type="http://schemas.openxmlformats.org/officeDocument/2006/relationships/hyperlink" Target="#'Claims'!A136" TargetMode="External" Id="rId649" /><Relationship Type="http://schemas.openxmlformats.org/officeDocument/2006/relationships/hyperlink" Target="#'Sources'!A30" TargetMode="External" Id="rId650" /><Relationship Type="http://schemas.openxmlformats.org/officeDocument/2006/relationships/hyperlink" Target="https://m.thewire.in/article/politics/rahul-gandhi-t-shirt" TargetMode="External" Id="rId651" /><Relationship Type="http://schemas.openxmlformats.org/officeDocument/2006/relationships/hyperlink" Target="#'Claims'!A137" TargetMode="External" Id="rId652" /><Relationship Type="http://schemas.openxmlformats.org/officeDocument/2006/relationships/hyperlink" Target="#'Sources'!A36" TargetMode="External" Id="rId653" /><Relationship Type="http://schemas.openxmlformats.org/officeDocument/2006/relationships/hyperlink" Target="https://indianexpress.com/article/india/rahul-gandhi-vote-chori-cec-gyanesh-kumar-protecting-killing-democracy-10257103/" TargetMode="External" Id="rId654" /><Relationship Type="http://schemas.openxmlformats.org/officeDocument/2006/relationships/hyperlink" Target="#'Claims'!A137" TargetMode="External" Id="rId655" /><Relationship Type="http://schemas.openxmlformats.org/officeDocument/2006/relationships/hyperlink" Target="#'Sources'!A35" TargetMode="External" Id="rId656" /><Relationship Type="http://schemas.openxmlformats.org/officeDocument/2006/relationships/hyperlink" Target="https://timesofindia.indiatimes.com/india/rahul-gandhi-press-conference-on-ec-gyanesh-kumar-resignation-sir-congress-vote-chori-election-bjp/articleshow/134457370.cms" TargetMode="External" Id="rId657" /><Relationship Type="http://schemas.openxmlformats.org/officeDocument/2006/relationships/hyperlink" Target="#'Claims'!A138" TargetMode="External" Id="rId658" /><Relationship Type="http://schemas.openxmlformats.org/officeDocument/2006/relationships/hyperlink" Target="#'Sources'!A25" TargetMode="External" Id="rId659" /><Relationship Type="http://schemas.openxmlformats.org/officeDocument/2006/relationships/hyperlink" Target="https://manifesto.inc.in/en/national-security/" TargetMode="External" Id="rId660" /><Relationship Type="http://schemas.openxmlformats.org/officeDocument/2006/relationships/hyperlink" Target="#'Claims'!A139" TargetMode="External" Id="rId661" /><Relationship Type="http://schemas.openxmlformats.org/officeDocument/2006/relationships/hyperlink" Target="#'Sources'!A15" TargetMode="External" Id="rId662" /><Relationship Type="http://schemas.openxmlformats.org/officeDocument/2006/relationships/hyperlink" Target="https://api.sci.gov.in/supremecourt/2023/27941/27941_2023_4_55_45901_Order_04-Aug-2023.pdf" TargetMode="External" Id="rId663" /><Relationship Type="http://schemas.openxmlformats.org/officeDocument/2006/relationships/hyperlink" Target="#'Claims'!A139" TargetMode="External" Id="rId664" /><Relationship Type="http://schemas.openxmlformats.org/officeDocument/2006/relationships/hyperlink" Target="#'Sources'!A16" TargetMode="External" Id="rId665" /><Relationship Type="http://schemas.openxmlformats.org/officeDocument/2006/relationships/hyperlink" Target="https://indianexpress.com/article/political-pulse/rahul-gandhi-returns-mp-lok-sabha-supreme-court-8880307/" TargetMode="External" Id="rId666" /><Relationship Type="http://schemas.openxmlformats.org/officeDocument/2006/relationships/hyperlink" Target="#'Claims'!A140" TargetMode="External" Id="rId667" /><Relationship Type="http://schemas.openxmlformats.org/officeDocument/2006/relationships/hyperlink" Target="#'Sources'!A15" TargetMode="External" Id="rId668" /><Relationship Type="http://schemas.openxmlformats.org/officeDocument/2006/relationships/hyperlink" Target="https://api.sci.gov.in/supremecourt/2023/27941/27941_2023_4_55_45901_Order_04-Aug-2023.pdf" TargetMode="External" Id="rId669" /><Relationship Type="http://schemas.openxmlformats.org/officeDocument/2006/relationships/hyperlink" Target="#'Claims'!A140" TargetMode="External" Id="rId670" /><Relationship Type="http://schemas.openxmlformats.org/officeDocument/2006/relationships/hyperlink" Target="#'Sources'!A16" TargetMode="External" Id="rId671" /><Relationship Type="http://schemas.openxmlformats.org/officeDocument/2006/relationships/hyperlink" Target="https://indianexpress.com/article/political-pulse/rahul-gandhi-returns-mp-lok-sabha-supreme-court-8880307/" TargetMode="External" Id="rId672" /><Relationship Type="http://schemas.openxmlformats.org/officeDocument/2006/relationships/hyperlink" Target="#'Claims'!A141" TargetMode="External" Id="rId673" /><Relationship Type="http://schemas.openxmlformats.org/officeDocument/2006/relationships/hyperlink" Target="#'Sources'!A15" TargetMode="External" Id="rId674" /><Relationship Type="http://schemas.openxmlformats.org/officeDocument/2006/relationships/hyperlink" Target="https://api.sci.gov.in/supremecourt/2023/27941/27941_2023_4_55_45901_Order_04-Aug-2023.pdf" TargetMode="External" Id="rId675" /><Relationship Type="http://schemas.openxmlformats.org/officeDocument/2006/relationships/hyperlink" Target="#'Claims'!A141" TargetMode="External" Id="rId676" /><Relationship Type="http://schemas.openxmlformats.org/officeDocument/2006/relationships/hyperlink" Target="#'Sources'!A16" TargetMode="External" Id="rId677" /><Relationship Type="http://schemas.openxmlformats.org/officeDocument/2006/relationships/hyperlink" Target="https://indianexpress.com/article/political-pulse/rahul-gandhi-returns-mp-lok-sabha-supreme-court-8880307/" TargetMode="External" Id="rId678" /><Relationship Type="http://schemas.openxmlformats.org/officeDocument/2006/relationships/hyperlink" Target="#'Claims'!A142" TargetMode="External" Id="rId679" /><Relationship Type="http://schemas.openxmlformats.org/officeDocument/2006/relationships/hyperlink" Target="#'Sources'!A17" TargetMode="External" Id="rId680" /><Relationship Type="http://schemas.openxmlformats.org/officeDocument/2006/relationships/hyperlink" Target="https://indianexpress.com/article/legal-news/national-herald-case-gandhis-oppose-ed-plea-private-complaint-10889668/" TargetMode="External" Id="rId681" /><Relationship Type="http://schemas.openxmlformats.org/officeDocument/2006/relationships/hyperlink" Target="#'Claims'!A142" TargetMode="External" Id="rId682" /><Relationship Type="http://schemas.openxmlformats.org/officeDocument/2006/relationships/hyperlink" Target="#'Sources'!A18" TargetMode="External" Id="rId683" /><Relationship Type="http://schemas.openxmlformats.org/officeDocument/2006/relationships/hyperlink" Target="https://www.barandbench.com/news/only-case-where-ed-proceeded-on-private-complaint-sonia-and-rahul-gandhi-to-delhi-high-court-on-national-herald-case" TargetMode="External" Id="rId684" /><Relationship Type="http://schemas.openxmlformats.org/officeDocument/2006/relationships/hyperlink" Target="#'Claims'!A143" TargetMode="External" Id="rId685" /><Relationship Type="http://schemas.openxmlformats.org/officeDocument/2006/relationships/hyperlink" Target="#'Sources'!A17" TargetMode="External" Id="rId686" /><Relationship Type="http://schemas.openxmlformats.org/officeDocument/2006/relationships/hyperlink" Target="https://indianexpress.com/article/legal-news/national-herald-case-gandhis-oppose-ed-plea-private-complaint-10889668/" TargetMode="External" Id="rId687" /><Relationship Type="http://schemas.openxmlformats.org/officeDocument/2006/relationships/hyperlink" Target="#'Claims'!A143" TargetMode="External" Id="rId688" /><Relationship Type="http://schemas.openxmlformats.org/officeDocument/2006/relationships/hyperlink" Target="#'Sources'!A18" TargetMode="External" Id="rId689" /><Relationship Type="http://schemas.openxmlformats.org/officeDocument/2006/relationships/hyperlink" Target="https://www.barandbench.com/news/only-case-where-ed-proceeded-on-private-complaint-sonia-and-rahul-gandhi-to-delhi-high-court-on-national-herald-case" TargetMode="External" Id="rId690" /><Relationship Type="http://schemas.openxmlformats.org/officeDocument/2006/relationships/hyperlink" Target="#'Claims'!A144" TargetMode="External" Id="rId691" /><Relationship Type="http://schemas.openxmlformats.org/officeDocument/2006/relationships/hyperlink" Target="#'Sources'!A17" TargetMode="External" Id="rId692" /><Relationship Type="http://schemas.openxmlformats.org/officeDocument/2006/relationships/hyperlink" Target="https://indianexpress.com/article/legal-news/national-herald-case-gandhis-oppose-ed-plea-private-complaint-10889668/" TargetMode="External" Id="rId693" /><Relationship Type="http://schemas.openxmlformats.org/officeDocument/2006/relationships/hyperlink" Target="#'Claims'!A144" TargetMode="External" Id="rId694" /><Relationship Type="http://schemas.openxmlformats.org/officeDocument/2006/relationships/hyperlink" Target="#'Sources'!A18" TargetMode="External" Id="rId695" /><Relationship Type="http://schemas.openxmlformats.org/officeDocument/2006/relationships/hyperlink" Target="https://www.barandbench.com/news/only-case-where-ed-proceeded-on-private-complaint-sonia-and-rahul-gandhi-to-delhi-high-court-on-national-herald-case" TargetMode="External" Id="rId696" /><Relationship Type="http://schemas.openxmlformats.org/officeDocument/2006/relationships/hyperlink" Target="#'Claims'!A145" TargetMode="External" Id="rId697" /><Relationship Type="http://schemas.openxmlformats.org/officeDocument/2006/relationships/hyperlink" Target="#'Sources'!A34" TargetMode="External" Id="rId698" /><Relationship Type="http://schemas.openxmlformats.org/officeDocument/2006/relationships/hyperlink" Target="https://indianexpress.com/article/india/rafale-case-sc-closes-defamation-case-against-rahul-gandhi-says-he-needs-to-be-more-careful/" TargetMode="External" Id="rId699" /><Relationship Type="http://schemas.openxmlformats.org/officeDocument/2006/relationships/hyperlink" Target="#'Claims'!A145" TargetMode="External" Id="rId700" /><Relationship Type="http://schemas.openxmlformats.org/officeDocument/2006/relationships/hyperlink" Target="#'Sources'!A15" TargetMode="External" Id="rId701" /><Relationship Type="http://schemas.openxmlformats.org/officeDocument/2006/relationships/hyperlink" Target="https://api.sci.gov.in/supremecourt/2023/27941/27941_2023_4_55_45901_Order_04-Aug-2023.pdf" TargetMode="External" Id="rId702" /><Relationship Type="http://schemas.openxmlformats.org/officeDocument/2006/relationships/hyperlink" Target="#'Claims'!A146" TargetMode="External" Id="rId703" /><Relationship Type="http://schemas.openxmlformats.org/officeDocument/2006/relationships/hyperlink" Target="#'Sources'!A34" TargetMode="External" Id="rId704" /><Relationship Type="http://schemas.openxmlformats.org/officeDocument/2006/relationships/hyperlink" Target="https://indianexpress.com/article/india/rafale-case-sc-closes-defamation-case-against-rahul-gandhi-says-he-needs-to-be-more-careful/" TargetMode="External" Id="rId705" /><Relationship Type="http://schemas.openxmlformats.org/officeDocument/2006/relationships/hyperlink" Target="#'Claims'!A146" TargetMode="External" Id="rId706" /><Relationship Type="http://schemas.openxmlformats.org/officeDocument/2006/relationships/hyperlink" Target="#'Sources'!A15" TargetMode="External" Id="rId707" /><Relationship Type="http://schemas.openxmlformats.org/officeDocument/2006/relationships/hyperlink" Target="https://api.sci.gov.in/supremecourt/2023/27941/27941_2023_4_55_45901_Order_04-Aug-2023.pdf" TargetMode="External" Id="rId708" /><Relationship Type="http://schemas.openxmlformats.org/officeDocument/2006/relationships/hyperlink" Target="#'Claims'!A147" TargetMode="External" Id="rId709" /><Relationship Type="http://schemas.openxmlformats.org/officeDocument/2006/relationships/hyperlink" Target="#'Sources'!A34" TargetMode="External" Id="rId710" /><Relationship Type="http://schemas.openxmlformats.org/officeDocument/2006/relationships/hyperlink" Target="https://indianexpress.com/article/india/rafale-case-sc-closes-defamation-case-against-rahul-gandhi-says-he-needs-to-be-more-careful/" TargetMode="External" Id="rId711" /><Relationship Type="http://schemas.openxmlformats.org/officeDocument/2006/relationships/hyperlink" Target="#'Claims'!A147" TargetMode="External" Id="rId712" /><Relationship Type="http://schemas.openxmlformats.org/officeDocument/2006/relationships/hyperlink" Target="#'Sources'!A15" TargetMode="External" Id="rId713" /><Relationship Type="http://schemas.openxmlformats.org/officeDocument/2006/relationships/hyperlink" Target="https://api.sci.gov.in/supremecourt/2023/27941/27941_2023_4_55_45901_Order_04-Aug-2023.pdf" TargetMode="External" Id="rId714" /><Relationship Type="http://schemas.openxmlformats.org/officeDocument/2006/relationships/hyperlink" Target="#'Claims'!A148" TargetMode="External" Id="rId715" /><Relationship Type="http://schemas.openxmlformats.org/officeDocument/2006/relationships/hyperlink" Target="#'Sources'!A43" TargetMode="External" Id="rId716" /><Relationship Type="http://schemas.openxmlformats.org/officeDocument/2006/relationships/hyperlink" Target="https://www.ndtv.com/india-news/rahul-gandhi-calls-ordinance-on-convicted-lawmakers-nonsense-huge-embarrassment-for-pm-535906" TargetMode="External" Id="rId717" /><Relationship Type="http://schemas.openxmlformats.org/officeDocument/2006/relationships/hyperlink" Target="#'Claims'!A148" TargetMode="External" Id="rId718" /><Relationship Type="http://schemas.openxmlformats.org/officeDocument/2006/relationships/hyperlink" Target="#'Sources'!A44" TargetMode="External" Id="rId719" /><Relationship Type="http://schemas.openxmlformats.org/officeDocument/2006/relationships/hyperlink" Target="https://www.business-standard.com/article/politics/govt-bows-before-rahul-withdraws-ordinance-plan-113100200706_1.html" TargetMode="External" Id="rId720" /><Relationship Type="http://schemas.openxmlformats.org/officeDocument/2006/relationships/hyperlink" Target="#'Claims'!A149" TargetMode="External" Id="rId721" /><Relationship Type="http://schemas.openxmlformats.org/officeDocument/2006/relationships/hyperlink" Target="#'Sources'!A43" TargetMode="External" Id="rId722" /><Relationship Type="http://schemas.openxmlformats.org/officeDocument/2006/relationships/hyperlink" Target="https://www.ndtv.com/india-news/rahul-gandhi-calls-ordinance-on-convicted-lawmakers-nonsense-huge-embarrassment-for-pm-535906" TargetMode="External" Id="rId723" /><Relationship Type="http://schemas.openxmlformats.org/officeDocument/2006/relationships/hyperlink" Target="#'Claims'!A149" TargetMode="External" Id="rId724" /><Relationship Type="http://schemas.openxmlformats.org/officeDocument/2006/relationships/hyperlink" Target="#'Sources'!A44" TargetMode="External" Id="rId725" /><Relationship Type="http://schemas.openxmlformats.org/officeDocument/2006/relationships/hyperlink" Target="https://www.business-standard.com/article/politics/govt-bows-before-rahul-withdraws-ordinance-plan-113100200706_1.html" TargetMode="External" Id="rId726" /><Relationship Type="http://schemas.openxmlformats.org/officeDocument/2006/relationships/hyperlink" Target="#'Claims'!A150" TargetMode="External" Id="rId727" /><Relationship Type="http://schemas.openxmlformats.org/officeDocument/2006/relationships/hyperlink" Target="#'Sources'!A43" TargetMode="External" Id="rId728" /><Relationship Type="http://schemas.openxmlformats.org/officeDocument/2006/relationships/hyperlink" Target="https://www.ndtv.com/india-news/rahul-gandhi-calls-ordinance-on-convicted-lawmakers-nonsense-huge-embarrassment-for-pm-535906" TargetMode="External" Id="rId729" /><Relationship Type="http://schemas.openxmlformats.org/officeDocument/2006/relationships/hyperlink" Target="#'Claims'!A150" TargetMode="External" Id="rId730" /><Relationship Type="http://schemas.openxmlformats.org/officeDocument/2006/relationships/hyperlink" Target="#'Sources'!A44" TargetMode="External" Id="rId731" /><Relationship Type="http://schemas.openxmlformats.org/officeDocument/2006/relationships/hyperlink" Target="https://www.business-standard.com/article/politics/govt-bows-before-rahul-withdraws-ordinance-plan-113100200706_1.html" TargetMode="External" Id="rId732" /><Relationship Type="http://schemas.openxmlformats.org/officeDocument/2006/relationships/hyperlink" Target="#'Claims'!A151" TargetMode="External" Id="rId733" /><Relationship Type="http://schemas.openxmlformats.org/officeDocument/2006/relationships/hyperlink" Target="#'Sources'!A26" TargetMode="External" Id="rId734" /><Relationship Type="http://schemas.openxmlformats.org/officeDocument/2006/relationships/hyperlink" Target="https://indianexpress.com/article/political-pulse/in-kerala-youth-cong-dissent-over-rahuls-internal-election-system/" TargetMode="External" Id="rId735" /><Relationship Type="http://schemas.openxmlformats.org/officeDocument/2006/relationships/hyperlink" Target="#'Claims'!A151" TargetMode="External" Id="rId736" /><Relationship Type="http://schemas.openxmlformats.org/officeDocument/2006/relationships/hyperlink" Target="#'Sources'!A27" TargetMode="External" Id="rId737" /><Relationship Type="http://schemas.openxmlformats.org/officeDocument/2006/relationships/hyperlink" Target="https://timesofindia.indiatimes.com/india/youth-congress-to-retain-internal-polls/articleshow/36734347.cms" TargetMode="External" Id="rId738" /><Relationship Type="http://schemas.openxmlformats.org/officeDocument/2006/relationships/hyperlink" Target="#'Claims'!A151" TargetMode="External" Id="rId739" /><Relationship Type="http://schemas.openxmlformats.org/officeDocument/2006/relationships/hyperlink" Target="#'Sources'!A28" TargetMode="External" Id="rId740" /><Relationship Type="http://schemas.openxmlformats.org/officeDocument/2006/relationships/hyperlink" Target="https://www.marketscreener.com/news/latest/Ridiculed-for-a-decade-India-s-Rahul-Gandhi-slows-Modi-juggernaut-46900641/" TargetMode="External" Id="rId741" /><Relationship Type="http://schemas.openxmlformats.org/officeDocument/2006/relationships/hyperlink" Target="#'Claims'!A152" TargetMode="External" Id="rId742" /><Relationship Type="http://schemas.openxmlformats.org/officeDocument/2006/relationships/hyperlink" Target="#'Sources'!A26" TargetMode="External" Id="rId743" /><Relationship Type="http://schemas.openxmlformats.org/officeDocument/2006/relationships/hyperlink" Target="https://indianexpress.com/article/political-pulse/in-kerala-youth-cong-dissent-over-rahuls-internal-election-system/" TargetMode="External" Id="rId744" /><Relationship Type="http://schemas.openxmlformats.org/officeDocument/2006/relationships/hyperlink" Target="#'Claims'!A152" TargetMode="External" Id="rId745" /><Relationship Type="http://schemas.openxmlformats.org/officeDocument/2006/relationships/hyperlink" Target="#'Sources'!A27" TargetMode="External" Id="rId746" /><Relationship Type="http://schemas.openxmlformats.org/officeDocument/2006/relationships/hyperlink" Target="https://timesofindia.indiatimes.com/india/youth-congress-to-retain-internal-polls/articleshow/36734347.cms" TargetMode="External" Id="rId747" /><Relationship Type="http://schemas.openxmlformats.org/officeDocument/2006/relationships/hyperlink" Target="#'Claims'!A152" TargetMode="External" Id="rId748" /><Relationship Type="http://schemas.openxmlformats.org/officeDocument/2006/relationships/hyperlink" Target="#'Sources'!A28" TargetMode="External" Id="rId749" /><Relationship Type="http://schemas.openxmlformats.org/officeDocument/2006/relationships/hyperlink" Target="https://www.marketscreener.com/news/latest/Ridiculed-for-a-decade-India-s-Rahul-Gandhi-slows-Modi-juggernaut-46900641/" TargetMode="External" Id="rId750" /><Relationship Type="http://schemas.openxmlformats.org/officeDocument/2006/relationships/hyperlink" Target="#'Claims'!A153" TargetMode="External" Id="rId751" /><Relationship Type="http://schemas.openxmlformats.org/officeDocument/2006/relationships/hyperlink" Target="#'Sources'!A26" TargetMode="External" Id="rId752" /><Relationship Type="http://schemas.openxmlformats.org/officeDocument/2006/relationships/hyperlink" Target="https://indianexpress.com/article/political-pulse/in-kerala-youth-cong-dissent-over-rahuls-internal-election-system/" TargetMode="External" Id="rId753" /><Relationship Type="http://schemas.openxmlformats.org/officeDocument/2006/relationships/hyperlink" Target="#'Claims'!A153" TargetMode="External" Id="rId754" /><Relationship Type="http://schemas.openxmlformats.org/officeDocument/2006/relationships/hyperlink" Target="#'Sources'!A27" TargetMode="External" Id="rId755" /><Relationship Type="http://schemas.openxmlformats.org/officeDocument/2006/relationships/hyperlink" Target="https://timesofindia.indiatimes.com/india/youth-congress-to-retain-internal-polls/articleshow/36734347.cms" TargetMode="External" Id="rId756" /><Relationship Type="http://schemas.openxmlformats.org/officeDocument/2006/relationships/hyperlink" Target="#'Claims'!A153" TargetMode="External" Id="rId757" /><Relationship Type="http://schemas.openxmlformats.org/officeDocument/2006/relationships/hyperlink" Target="#'Sources'!A28" TargetMode="External" Id="rId758" /><Relationship Type="http://schemas.openxmlformats.org/officeDocument/2006/relationships/hyperlink" Target="https://www.marketscreener.com/news/latest/Ridiculed-for-a-decade-India-s-Rahul-Gandhi-slows-Modi-juggernaut-46900641/" TargetMode="External" Id="rId759" /><Relationship Type="http://schemas.openxmlformats.org/officeDocument/2006/relationships/hyperlink" Target="#'Claims'!A154" TargetMode="External" Id="rId760" /><Relationship Type="http://schemas.openxmlformats.org/officeDocument/2006/relationships/hyperlink" Target="#'Sources'!A36" TargetMode="External" Id="rId761" /><Relationship Type="http://schemas.openxmlformats.org/officeDocument/2006/relationships/hyperlink" Target="https://indianexpress.com/article/india/rahul-gandhi-vote-chori-cec-gyanesh-kumar-protecting-killing-democracy-10257103/" TargetMode="External" Id="rId762" /><Relationship Type="http://schemas.openxmlformats.org/officeDocument/2006/relationships/hyperlink" Target="#'Claims'!A154" TargetMode="External" Id="rId763" /><Relationship Type="http://schemas.openxmlformats.org/officeDocument/2006/relationships/hyperlink" Target="#'Sources'!A35" TargetMode="External" Id="rId764" /><Relationship Type="http://schemas.openxmlformats.org/officeDocument/2006/relationships/hyperlink" Target="https://timesofindia.indiatimes.com/india/rahul-gandhi-press-conference-on-ec-gyanesh-kumar-resignation-sir-congress-vote-chori-election-bjp/articleshow/134457370.cms" TargetMode="External" Id="rId765" /><Relationship Type="http://schemas.openxmlformats.org/officeDocument/2006/relationships/hyperlink" Target="#'Claims'!A155" TargetMode="External" Id="rId766" /><Relationship Type="http://schemas.openxmlformats.org/officeDocument/2006/relationships/hyperlink" Target="#'Sources'!A36" TargetMode="External" Id="rId767" /><Relationship Type="http://schemas.openxmlformats.org/officeDocument/2006/relationships/hyperlink" Target="https://indianexpress.com/article/india/rahul-gandhi-vote-chori-cec-gyanesh-kumar-protecting-killing-democracy-10257103/" TargetMode="External" Id="rId768" /><Relationship Type="http://schemas.openxmlformats.org/officeDocument/2006/relationships/hyperlink" Target="#'Claims'!A155" TargetMode="External" Id="rId769" /><Relationship Type="http://schemas.openxmlformats.org/officeDocument/2006/relationships/hyperlink" Target="#'Sources'!A35" TargetMode="External" Id="rId770" /><Relationship Type="http://schemas.openxmlformats.org/officeDocument/2006/relationships/hyperlink" Target="https://timesofindia.indiatimes.com/india/rahul-gandhi-press-conference-on-ec-gyanesh-kumar-resignation-sir-congress-vote-chori-election-bjp/articleshow/134457370.cms" TargetMode="External" Id="rId771" /><Relationship Type="http://schemas.openxmlformats.org/officeDocument/2006/relationships/hyperlink" Target="#'Claims'!A156" TargetMode="External" Id="rId772" /><Relationship Type="http://schemas.openxmlformats.org/officeDocument/2006/relationships/hyperlink" Target="#'Sources'!A36" TargetMode="External" Id="rId773" /><Relationship Type="http://schemas.openxmlformats.org/officeDocument/2006/relationships/hyperlink" Target="https://indianexpress.com/article/india/rahul-gandhi-vote-chori-cec-gyanesh-kumar-protecting-killing-democracy-10257103/" TargetMode="External" Id="rId774" /><Relationship Type="http://schemas.openxmlformats.org/officeDocument/2006/relationships/hyperlink" Target="#'Claims'!A156" TargetMode="External" Id="rId775" /><Relationship Type="http://schemas.openxmlformats.org/officeDocument/2006/relationships/hyperlink" Target="#'Sources'!A35" TargetMode="External" Id="rId776" /><Relationship Type="http://schemas.openxmlformats.org/officeDocument/2006/relationships/hyperlink" Target="https://timesofindia.indiatimes.com/india/rahul-gandhi-press-conference-on-ec-gyanesh-kumar-resignation-sir-congress-vote-chori-election-bjp/articleshow/134457370.cms" TargetMode="External" Id="rId777" /><Relationship Type="http://schemas.openxmlformats.org/officeDocument/2006/relationships/hyperlink" Target="#'Claims'!A157" TargetMode="External" Id="rId778" /><Relationship Type="http://schemas.openxmlformats.org/officeDocument/2006/relationships/hyperlink" Target="#'Sources'!A39" TargetMode="External" Id="rId779" /><Relationship Type="http://schemas.openxmlformats.org/officeDocument/2006/relationships/hyperlink" Target="https://www.ndtv.com/assembly/i-take-responsibility-says-rahul-gandhi-about-up-results-470319" TargetMode="External" Id="rId780" /><Relationship Type="http://schemas.openxmlformats.org/officeDocument/2006/relationships/hyperlink" Target="#'Claims'!A157" TargetMode="External" Id="rId781" /><Relationship Type="http://schemas.openxmlformats.org/officeDocument/2006/relationships/hyperlink" Target="#'Sources'!A19" TargetMode="External" Id="rId782" /><Relationship Type="http://schemas.openxmlformats.org/officeDocument/2006/relationships/hyperlink" Target="https://www.ndtv.com/india-news/rahul-gandhis-open-letter-full-text-at-times-i-stood-completely-alone-2063455" TargetMode="External" Id="rId783" /><Relationship Type="http://schemas.openxmlformats.org/officeDocument/2006/relationships/hyperlink" Target="#'Claims'!A157" TargetMode="External" Id="rId784" /><Relationship Type="http://schemas.openxmlformats.org/officeDocument/2006/relationships/hyperlink" Target="#'Sources'!A31" TargetMode="External" Id="rId785" /><Relationship Type="http://schemas.openxmlformats.org/officeDocument/2006/relationships/hyperlink" Target="https://indianexpress.com/article/political-pulse/congress-camps-bihar-post-mortem-rahul-yatra-fiasco-allavaru-problem-weak-structure-10375553/" TargetMode="External" Id="rId786" /><Relationship Type="http://schemas.openxmlformats.org/officeDocument/2006/relationships/hyperlink" Target="#'Claims'!A157" TargetMode="External" Id="rId787" /><Relationship Type="http://schemas.openxmlformats.org/officeDocument/2006/relationships/hyperlink" Target="#'Sources'!A32" TargetMode="External" Id="rId788" /><Relationship Type="http://schemas.openxmlformats.org/officeDocument/2006/relationships/hyperlink" Target="https://indianexpress.com/article/political-pulse/rahul-equallyresponsible-bihar-loss-poll-review-10390484/" TargetMode="External" Id="rId789" /><Relationship Type="http://schemas.openxmlformats.org/officeDocument/2006/relationships/hyperlink" Target="#'Claims'!A158" TargetMode="External" Id="rId790" /><Relationship Type="http://schemas.openxmlformats.org/officeDocument/2006/relationships/hyperlink" Target="#'Sources'!A39" TargetMode="External" Id="rId791" /><Relationship Type="http://schemas.openxmlformats.org/officeDocument/2006/relationships/hyperlink" Target="https://www.ndtv.com/assembly/i-take-responsibility-says-rahul-gandhi-about-up-results-470319" TargetMode="External" Id="rId792" /><Relationship Type="http://schemas.openxmlformats.org/officeDocument/2006/relationships/hyperlink" Target="#'Claims'!A158" TargetMode="External" Id="rId793" /><Relationship Type="http://schemas.openxmlformats.org/officeDocument/2006/relationships/hyperlink" Target="#'Sources'!A19" TargetMode="External" Id="rId794" /><Relationship Type="http://schemas.openxmlformats.org/officeDocument/2006/relationships/hyperlink" Target="https://www.ndtv.com/india-news/rahul-gandhis-open-letter-full-text-at-times-i-stood-completely-alone-2063455" TargetMode="External" Id="rId795" /><Relationship Type="http://schemas.openxmlformats.org/officeDocument/2006/relationships/hyperlink" Target="#'Claims'!A158" TargetMode="External" Id="rId796" /><Relationship Type="http://schemas.openxmlformats.org/officeDocument/2006/relationships/hyperlink" Target="#'Sources'!A31" TargetMode="External" Id="rId797" /><Relationship Type="http://schemas.openxmlformats.org/officeDocument/2006/relationships/hyperlink" Target="https://indianexpress.com/article/political-pulse/congress-camps-bihar-post-mortem-rahul-yatra-fiasco-allavaru-problem-weak-structure-10375553/" TargetMode="External" Id="rId798" /><Relationship Type="http://schemas.openxmlformats.org/officeDocument/2006/relationships/hyperlink" Target="#'Claims'!A158" TargetMode="External" Id="rId799" /><Relationship Type="http://schemas.openxmlformats.org/officeDocument/2006/relationships/hyperlink" Target="#'Sources'!A32" TargetMode="External" Id="rId800" /><Relationship Type="http://schemas.openxmlformats.org/officeDocument/2006/relationships/hyperlink" Target="https://indianexpress.com/article/political-pulse/rahul-equallyresponsible-bihar-loss-poll-review-10390484/" TargetMode="External" Id="rId801" /><Relationship Type="http://schemas.openxmlformats.org/officeDocument/2006/relationships/hyperlink" Target="#'Claims'!A159" TargetMode="External" Id="rId802" /><Relationship Type="http://schemas.openxmlformats.org/officeDocument/2006/relationships/hyperlink" Target="#'Sources'!A39" TargetMode="External" Id="rId803" /><Relationship Type="http://schemas.openxmlformats.org/officeDocument/2006/relationships/hyperlink" Target="https://www.ndtv.com/assembly/i-take-responsibility-says-rahul-gandhi-about-up-results-470319" TargetMode="External" Id="rId804" /><Relationship Type="http://schemas.openxmlformats.org/officeDocument/2006/relationships/hyperlink" Target="#'Claims'!A159" TargetMode="External" Id="rId805" /><Relationship Type="http://schemas.openxmlformats.org/officeDocument/2006/relationships/hyperlink" Target="#'Sources'!A19" TargetMode="External" Id="rId806" /><Relationship Type="http://schemas.openxmlformats.org/officeDocument/2006/relationships/hyperlink" Target="https://www.ndtv.com/india-news/rahul-gandhis-open-letter-full-text-at-times-i-stood-completely-alone-2063455" TargetMode="External" Id="rId807" /><Relationship Type="http://schemas.openxmlformats.org/officeDocument/2006/relationships/hyperlink" Target="#'Claims'!A159" TargetMode="External" Id="rId808" /><Relationship Type="http://schemas.openxmlformats.org/officeDocument/2006/relationships/hyperlink" Target="#'Sources'!A31" TargetMode="External" Id="rId809" /><Relationship Type="http://schemas.openxmlformats.org/officeDocument/2006/relationships/hyperlink" Target="https://indianexpress.com/article/political-pulse/congress-camps-bihar-post-mortem-rahul-yatra-fiasco-allavaru-problem-weak-structure-10375553/" TargetMode="External" Id="rId810" /><Relationship Type="http://schemas.openxmlformats.org/officeDocument/2006/relationships/hyperlink" Target="#'Claims'!A159" TargetMode="External" Id="rId811" /><Relationship Type="http://schemas.openxmlformats.org/officeDocument/2006/relationships/hyperlink" Target="#'Sources'!A32" TargetMode="External" Id="rId812" /><Relationship Type="http://schemas.openxmlformats.org/officeDocument/2006/relationships/hyperlink" Target="https://indianexpress.com/article/political-pulse/rahul-equallyresponsible-bihar-loss-poll-review-10390484/" TargetMode="External" Id="rId813" /><Relationship Type="http://schemas.openxmlformats.org/officeDocument/2006/relationships/hyperlink" Target="#'Claims'!A160" TargetMode="External" Id="rId814" /><Relationship Type="http://schemas.openxmlformats.org/officeDocument/2006/relationships/hyperlink" Target="#'Sources'!A28" TargetMode="External" Id="rId815" /><Relationship Type="http://schemas.openxmlformats.org/officeDocument/2006/relationships/hyperlink" Target="https://www.marketscreener.com/news/latest/Ridiculed-for-a-decade-India-s-Rahul-Gandhi-slows-Modi-juggernaut-46900641/" TargetMode="External" Id="rId816" /><Relationship Type="http://schemas.openxmlformats.org/officeDocument/2006/relationships/hyperlink" Target="#'Claims'!A161" TargetMode="External" Id="rId817" /><Relationship Type="http://schemas.openxmlformats.org/officeDocument/2006/relationships/hyperlink" Target="#'Sources'!A29" TargetMode="External" Id="rId818" /><Relationship Type="http://schemas.openxmlformats.org/officeDocument/2006/relationships/hyperlink" Target="https://carnegieendowment.org/research/2024/09/india-election-bjp-party-politics" TargetMode="External" Id="rId819" /><Relationship Type="http://schemas.openxmlformats.org/officeDocument/2006/relationships/hyperlink" Target="#'Claims'!A162" TargetMode="External" Id="rId820" /><Relationship Type="http://schemas.openxmlformats.org/officeDocument/2006/relationships/hyperlink" Target="#'Sources'!A26" TargetMode="External" Id="rId821" /><Relationship Type="http://schemas.openxmlformats.org/officeDocument/2006/relationships/hyperlink" Target="https://indianexpress.com/article/political-pulse/in-kerala-youth-cong-dissent-over-rahuls-internal-election-system/" TargetMode="External" Id="rId822" /><Relationship Type="http://schemas.openxmlformats.org/officeDocument/2006/relationships/hyperlink" Target="#'Claims'!A162" TargetMode="External" Id="rId823" /><Relationship Type="http://schemas.openxmlformats.org/officeDocument/2006/relationships/hyperlink" Target="#'Sources'!A27" TargetMode="External" Id="rId824" /><Relationship Type="http://schemas.openxmlformats.org/officeDocument/2006/relationships/hyperlink" Target="https://timesofindia.indiatimes.com/india/youth-congress-to-retain-internal-polls/articleshow/36734347.cms" TargetMode="External" Id="rId825" /><Relationship Type="http://schemas.openxmlformats.org/officeDocument/2006/relationships/hyperlink" Target="#'Claims'!A163" TargetMode="External" Id="rId826" /><Relationship Type="http://schemas.openxmlformats.org/officeDocument/2006/relationships/hyperlink" Target="#'Sources'!A40" TargetMode="External" Id="rId827" /><Relationship Type="http://schemas.openxmlformats.org/officeDocument/2006/relationships/hyperlink" Target="https://indianexpress.com/article/india/rahul-gandhi-caste-census-population-congress-centre-cabinet-9975117/" TargetMode="External" Id="rId828" /><Relationship Type="http://schemas.openxmlformats.org/officeDocument/2006/relationships/hyperlink" Target="#'Claims'!A163" TargetMode="External" Id="rId829" /><Relationship Type="http://schemas.openxmlformats.org/officeDocument/2006/relationships/hyperlink" Target="#'Sources'!A41" TargetMode="External" Id="rId830" /><Relationship Type="http://schemas.openxmlformats.org/officeDocument/2006/relationships/hyperlink" Target="https://www.pib.gov.in/PressReleasePage.aspx?PRID=2125576" TargetMode="External" Id="rId831" /><Relationship Type="http://schemas.openxmlformats.org/officeDocument/2006/relationships/hyperlink" Target="#'Claims'!A164" TargetMode="External" Id="rId832" /><Relationship Type="http://schemas.openxmlformats.org/officeDocument/2006/relationships/hyperlink" Target="#'Sources'!A31" TargetMode="External" Id="rId833" /><Relationship Type="http://schemas.openxmlformats.org/officeDocument/2006/relationships/hyperlink" Target="https://indianexpress.com/article/political-pulse/congress-camps-bihar-post-mortem-rahul-yatra-fiasco-allavaru-problem-weak-structure-10375553/" TargetMode="External" Id="rId834" /><Relationship Type="http://schemas.openxmlformats.org/officeDocument/2006/relationships/hyperlink" Target="#'Claims'!A164" TargetMode="External" Id="rId835" /><Relationship Type="http://schemas.openxmlformats.org/officeDocument/2006/relationships/hyperlink" Target="#'Sources'!A32" TargetMode="External" Id="rId836" /><Relationship Type="http://schemas.openxmlformats.org/officeDocument/2006/relationships/hyperlink" Target="https://indianexpress.com/article/political-pulse/rahul-equallyresponsible-bihar-loss-poll-review-10390484/" TargetMode="External" Id="rId837" /><Relationship Type="http://schemas.openxmlformats.org/officeDocument/2006/relationships/hyperlink" Target="#'Claims'!A165" TargetMode="External" Id="rId838" /><Relationship Type="http://schemas.openxmlformats.org/officeDocument/2006/relationships/hyperlink" Target="#'Sources'!A7" TargetMode="External" Id="rId839" /><Relationship Type="http://schemas.openxmlformats.org/officeDocument/2006/relationships/hyperlink" Target="https://sansad.in/ls/about/leader-of-opposition" TargetMode="External" Id="rId840" /><Relationship Type="http://schemas.openxmlformats.org/officeDocument/2006/relationships/hyperlink" Target="#'Claims'!A165" TargetMode="External" Id="rId841" /><Relationship Type="http://schemas.openxmlformats.org/officeDocument/2006/relationships/hyperlink" Target="#'Sources'!A8" TargetMode="External" Id="rId842" /><Relationship Type="http://schemas.openxmlformats.org/officeDocument/2006/relationships/hyperlink" Target="https://prsindia.org/mptrack/18-lok-sabha/rahul-gandhi" TargetMode="External" Id="rId843" /><Relationship Type="http://schemas.openxmlformats.org/officeDocument/2006/relationships/hyperlink" Target="#'Claims'!A165" TargetMode="External" Id="rId844" /><Relationship Type="http://schemas.openxmlformats.org/officeDocument/2006/relationships/hyperlink" Target="#'Sources'!A28" TargetMode="External" Id="rId845" /><Relationship Type="http://schemas.openxmlformats.org/officeDocument/2006/relationships/hyperlink" Target="https://www.marketscreener.com/news/latest/Ridiculed-for-a-decade-India-s-Rahul-Gandhi-slows-Modi-juggernaut-46900641/" TargetMode="External" Id="rId846" /><Relationship Type="http://schemas.openxmlformats.org/officeDocument/2006/relationships/hyperlink" Target="#'Claims'!A165" TargetMode="External" Id="rId847" /><Relationship Type="http://schemas.openxmlformats.org/officeDocument/2006/relationships/hyperlink" Target="#'Sources'!A40" TargetMode="External" Id="rId848" /><Relationship Type="http://schemas.openxmlformats.org/officeDocument/2006/relationships/hyperlink" Target="https://indianexpress.com/article/india/rahul-gandhi-caste-census-population-congress-centre-cabinet-9975117/" TargetMode="External" Id="rId849" /><Relationship Type="http://schemas.openxmlformats.org/officeDocument/2006/relationships/hyperlink" Target="#'Claims'!A166" TargetMode="External" Id="rId850" /><Relationship Type="http://schemas.openxmlformats.org/officeDocument/2006/relationships/hyperlink" Target="#'Sources'!A29" TargetMode="External" Id="rId851" /><Relationship Type="http://schemas.openxmlformats.org/officeDocument/2006/relationships/hyperlink" Target="https://carnegieendowment.org/research/2024/09/india-election-bjp-party-politics" TargetMode="External" Id="rId852" /><Relationship Type="http://schemas.openxmlformats.org/officeDocument/2006/relationships/hyperlink" Target="#'Claims'!A166" TargetMode="External" Id="rId853" /><Relationship Type="http://schemas.openxmlformats.org/officeDocument/2006/relationships/hyperlink" Target="#'Sources'!A9" TargetMode="External" Id="rId854" /><Relationship Type="http://schemas.openxmlformats.org/officeDocument/2006/relationships/hyperlink" Target="https://inc.in/leadership/past-party-presidents/shri-rahul-gandhi" TargetMode="External" Id="rId855" /><Relationship Type="http://schemas.openxmlformats.org/officeDocument/2006/relationships/hyperlink" Target="#'Claims'!A167" TargetMode="External" Id="rId856" /><Relationship Type="http://schemas.openxmlformats.org/officeDocument/2006/relationships/hyperlink" Target="#'Sources'!A43" TargetMode="External" Id="rId857" /><Relationship Type="http://schemas.openxmlformats.org/officeDocument/2006/relationships/hyperlink" Target="https://www.ndtv.com/india-news/rahul-gandhi-calls-ordinance-on-convicted-lawmakers-nonsense-huge-embarrassment-for-pm-535906" TargetMode="External" Id="rId858" /><Relationship Type="http://schemas.openxmlformats.org/officeDocument/2006/relationships/hyperlink" Target="#'Claims'!A167" TargetMode="External" Id="rId859" /><Relationship Type="http://schemas.openxmlformats.org/officeDocument/2006/relationships/hyperlink" Target="#'Sources'!A44" TargetMode="External" Id="rId860" /><Relationship Type="http://schemas.openxmlformats.org/officeDocument/2006/relationships/hyperlink" Target="https://www.business-standard.com/article/politics/govt-bows-before-rahul-withdraws-ordinance-plan-113100200706_1.html" TargetMode="External" Id="rId861" /><Relationship Type="http://schemas.openxmlformats.org/officeDocument/2006/relationships/hyperlink" Target="#'Claims'!A168" TargetMode="External" Id="rId862" /><Relationship Type="http://schemas.openxmlformats.org/officeDocument/2006/relationships/hyperlink" Target="#'Sources'!A14" TargetMode="External" Id="rId863" /><Relationship Type="http://schemas.openxmlformats.org/officeDocument/2006/relationships/hyperlink" Target="https://www.elections.in/parliamentary-constituencies/2004-election-results.html" TargetMode="External" Id="rId864" /><Relationship Type="http://schemas.openxmlformats.org/officeDocument/2006/relationships/hyperlink" Target="#'Claims'!A168" TargetMode="External" Id="rId865" /><Relationship Type="http://schemas.openxmlformats.org/officeDocument/2006/relationships/hyperlink" Target="#'Sources'!A13" TargetMode="External" Id="rId866" /><Relationship Type="http://schemas.openxmlformats.org/officeDocument/2006/relationships/hyperlink" Target="https://www.moneycontrol.com/elections/lok-sabha-election/uttar-pradesh/constituencies/amethi-constituency-s24led2008p037/" TargetMode="External" Id="rId867" /><Relationship Type="http://schemas.openxmlformats.org/officeDocument/2006/relationships/hyperlink" Target="#'Claims'!A171" TargetMode="External" Id="rId868" /><Relationship Type="http://schemas.openxmlformats.org/officeDocument/2006/relationships/hyperlink" Target="#'Sources'!A39" TargetMode="External" Id="rId869" /><Relationship Type="http://schemas.openxmlformats.org/officeDocument/2006/relationships/hyperlink" Target="https://www.ndtv.com/assembly/i-take-responsibility-says-rahul-gandhi-about-up-results-470319" TargetMode="External" Id="rId870" /><Relationship Type="http://schemas.openxmlformats.org/officeDocument/2006/relationships/hyperlink" Target="#'Claims'!A172" TargetMode="External" Id="rId871" /><Relationship Type="http://schemas.openxmlformats.org/officeDocument/2006/relationships/hyperlink" Target="#'Sources'!A26" TargetMode="External" Id="rId872" /><Relationship Type="http://schemas.openxmlformats.org/officeDocument/2006/relationships/hyperlink" Target="https://indianexpress.com/article/political-pulse/in-kerala-youth-cong-dissent-over-rahuls-internal-election-system/" TargetMode="External" Id="rId873" /><Relationship Type="http://schemas.openxmlformats.org/officeDocument/2006/relationships/hyperlink" Target="#'Claims'!A172" TargetMode="External" Id="rId874" /><Relationship Type="http://schemas.openxmlformats.org/officeDocument/2006/relationships/hyperlink" Target="#'Sources'!A27" TargetMode="External" Id="rId875" /><Relationship Type="http://schemas.openxmlformats.org/officeDocument/2006/relationships/hyperlink" Target="https://timesofindia.indiatimes.com/india/youth-congress-to-retain-internal-polls/articleshow/36734347.cms" TargetMode="External" Id="rId876" /><Relationship Type="http://schemas.openxmlformats.org/officeDocument/2006/relationships/hyperlink" Target="#'Claims'!A173" TargetMode="External" Id="rId877" /><Relationship Type="http://schemas.openxmlformats.org/officeDocument/2006/relationships/hyperlink" Target="#'Sources'!A9" TargetMode="External" Id="rId878" /><Relationship Type="http://schemas.openxmlformats.org/officeDocument/2006/relationships/hyperlink" Target="https://inc.in/leadership/past-party-presidents/shri-rahul-gandhi" TargetMode="External" Id="rId879" /><Relationship Type="http://schemas.openxmlformats.org/officeDocument/2006/relationships/hyperlink" Target="#'Claims'!A173" TargetMode="External" Id="rId880" /><Relationship Type="http://schemas.openxmlformats.org/officeDocument/2006/relationships/hyperlink" Target="#'Sources'!A39" TargetMode="External" Id="rId881" /><Relationship Type="http://schemas.openxmlformats.org/officeDocument/2006/relationships/hyperlink" Target="https://www.ndtv.com/assembly/i-take-responsibility-says-rahul-gandhi-about-up-results-470319" TargetMode="External" Id="rId882" /><Relationship Type="http://schemas.openxmlformats.org/officeDocument/2006/relationships/hyperlink" Target="#'Claims'!A174" TargetMode="External" Id="rId883" /><Relationship Type="http://schemas.openxmlformats.org/officeDocument/2006/relationships/hyperlink" Target="#'Sources'!A14" TargetMode="External" Id="rId884" /><Relationship Type="http://schemas.openxmlformats.org/officeDocument/2006/relationships/hyperlink" Target="https://www.elections.in/parliamentary-constituencies/2004-election-results.html" TargetMode="External" Id="rId885" /><Relationship Type="http://schemas.openxmlformats.org/officeDocument/2006/relationships/hyperlink" Target="#'Claims'!A174" TargetMode="External" Id="rId886" /><Relationship Type="http://schemas.openxmlformats.org/officeDocument/2006/relationships/hyperlink" Target="#'Sources'!A13" TargetMode="External" Id="rId887" /><Relationship Type="http://schemas.openxmlformats.org/officeDocument/2006/relationships/hyperlink" Target="https://www.moneycontrol.com/elections/lok-sabha-election/uttar-pradesh/constituencies/amethi-constituency-s24led2008p037/" TargetMode="External" Id="rId888" /><Relationship Type="http://schemas.openxmlformats.org/officeDocument/2006/relationships/hyperlink" Target="#'Claims'!A174" TargetMode="External" Id="rId889" /><Relationship Type="http://schemas.openxmlformats.org/officeDocument/2006/relationships/hyperlink" Target="#'Sources'!A39" TargetMode="External" Id="rId890" /><Relationship Type="http://schemas.openxmlformats.org/officeDocument/2006/relationships/hyperlink" Target="https://www.ndtv.com/assembly/i-take-responsibility-says-rahul-gandhi-about-up-results-470319" TargetMode="External" Id="rId891" /><Relationship Type="http://schemas.openxmlformats.org/officeDocument/2006/relationships/hyperlink" Target="#'Claims'!A175" TargetMode="External" Id="rId892" /><Relationship Type="http://schemas.openxmlformats.org/officeDocument/2006/relationships/hyperlink" Target="#'Sources'!A9" TargetMode="External" Id="rId893" /><Relationship Type="http://schemas.openxmlformats.org/officeDocument/2006/relationships/hyperlink" Target="https://inc.in/leadership/past-party-presidents/shri-rahul-gandhi" TargetMode="External" Id="rId894" /><Relationship Type="http://schemas.openxmlformats.org/officeDocument/2006/relationships/hyperlink" Target="#'Claims'!A175" TargetMode="External" Id="rId895" /><Relationship Type="http://schemas.openxmlformats.org/officeDocument/2006/relationships/hyperlink" Target="#'Sources'!A14" TargetMode="External" Id="rId896" /><Relationship Type="http://schemas.openxmlformats.org/officeDocument/2006/relationships/hyperlink" Target="https://www.elections.in/parliamentary-constituencies/2004-election-results.html" TargetMode="External" Id="rId897" /><Relationship Type="http://schemas.openxmlformats.org/officeDocument/2006/relationships/hyperlink" Target="#'Claims'!A175" TargetMode="External" Id="rId898" /><Relationship Type="http://schemas.openxmlformats.org/officeDocument/2006/relationships/hyperlink" Target="#'Sources'!A13" TargetMode="External" Id="rId899" /><Relationship Type="http://schemas.openxmlformats.org/officeDocument/2006/relationships/hyperlink" Target="https://www.moneycontrol.com/elections/lok-sabha-election/uttar-pradesh/constituencies/amethi-constituency-s24led2008p037/" TargetMode="External" Id="rId900" /><Relationship Type="http://schemas.openxmlformats.org/officeDocument/2006/relationships/hyperlink" Target="#'Claims'!A176" TargetMode="External" Id="rId901" /><Relationship Type="http://schemas.openxmlformats.org/officeDocument/2006/relationships/hyperlink" Target="#'Sources'!A29" TargetMode="External" Id="rId902" /><Relationship Type="http://schemas.openxmlformats.org/officeDocument/2006/relationships/hyperlink" Target="https://carnegieendowment.org/research/2024/09/india-election-bjp-party-politics" TargetMode="External" Id="rId903" /><Relationship Type="http://schemas.openxmlformats.org/officeDocument/2006/relationships/hyperlink" Target="#'Claims'!A176" TargetMode="External" Id="rId904" /><Relationship Type="http://schemas.openxmlformats.org/officeDocument/2006/relationships/hyperlink" Target="#'Sources'!A19" TargetMode="External" Id="rId905" /><Relationship Type="http://schemas.openxmlformats.org/officeDocument/2006/relationships/hyperlink" Target="https://www.ndtv.com/india-news/rahul-gandhis-open-letter-full-text-at-times-i-stood-completely-alone-2063455" TargetMode="External" Id="rId906" /><Relationship Type="http://schemas.openxmlformats.org/officeDocument/2006/relationships/hyperlink" Target="#'Claims'!A177" TargetMode="External" Id="rId907" /><Relationship Type="http://schemas.openxmlformats.org/officeDocument/2006/relationships/hyperlink" Target="#'Sources'!A37" TargetMode="External" Id="rId908" /><Relationship Type="http://schemas.openxmlformats.org/officeDocument/2006/relationships/hyperlink" Target="https://prsindia.org/billtrack/the-right-to-fair-compensation-and-transparency-in-land-acquisition-rehabilitation-and-resettlement-second-amendment-bill-2015" TargetMode="External" Id="rId909" /><Relationship Type="http://schemas.openxmlformats.org/officeDocument/2006/relationships/hyperlink" Target="#'Claims'!A177" TargetMode="External" Id="rId910" /><Relationship Type="http://schemas.openxmlformats.org/officeDocument/2006/relationships/hyperlink" Target="#'Sources'!A42" TargetMode="External" Id="rId911" /><Relationship Type="http://schemas.openxmlformats.org/officeDocument/2006/relationships/hyperlink" Target="https://economictimes.indiatimes.com/news/politics-and-nation/rahul-gandhi-vows-to-oppose-land-bill-inside-and-outside-parliament/articleshow/47249971.cms" TargetMode="External" Id="rId912" /><Relationship Type="http://schemas.openxmlformats.org/officeDocument/2006/relationships/hyperlink" Target="#'Claims'!A178" TargetMode="External" Id="rId913" /><Relationship Type="http://schemas.openxmlformats.org/officeDocument/2006/relationships/hyperlink" Target="#'Sources'!A13" TargetMode="External" Id="rId914" /><Relationship Type="http://schemas.openxmlformats.org/officeDocument/2006/relationships/hyperlink" Target="https://www.moneycontrol.com/elections/lok-sabha-election/uttar-pradesh/constituencies/amethi-constituency-s24led2008p037/" TargetMode="External" Id="rId915" /><Relationship Type="http://schemas.openxmlformats.org/officeDocument/2006/relationships/hyperlink" Target="#'Claims'!A178" TargetMode="External" Id="rId916" /><Relationship Type="http://schemas.openxmlformats.org/officeDocument/2006/relationships/hyperlink" Target="#'Sources'!A12" TargetMode="External" Id="rId917" /><Relationship Type="http://schemas.openxmlformats.org/officeDocument/2006/relationships/hyperlink" Target="https://adrindia.org/sites/default/files/Analysis_of_Vote_Share_Margin_Of_Victory_Lok_Sabha__2019.pdf" TargetMode="External" Id="rId918" /><Relationship Type="http://schemas.openxmlformats.org/officeDocument/2006/relationships/hyperlink" Target="#'Claims'!A178" TargetMode="External" Id="rId919" /><Relationship Type="http://schemas.openxmlformats.org/officeDocument/2006/relationships/hyperlink" Target="#'Sources'!A46" TargetMode="External" Id="rId920" /><Relationship Type="http://schemas.openxmlformats.org/officeDocument/2006/relationships/hyperlink" Target="https://www.ceo.kerala.gov.in/electedmembers" TargetMode="External" Id="rId921" /><Relationship Type="http://schemas.openxmlformats.org/officeDocument/2006/relationships/hyperlink" Target="#'Claims'!A179" TargetMode="External" Id="rId922" /><Relationship Type="http://schemas.openxmlformats.org/officeDocument/2006/relationships/hyperlink" Target="#'Sources'!A42" TargetMode="External" Id="rId923" /><Relationship Type="http://schemas.openxmlformats.org/officeDocument/2006/relationships/hyperlink" Target="https://economictimes.indiatimes.com/news/politics-and-nation/rahul-gandhi-vows-to-oppose-land-bill-inside-and-outside-parliament/articleshow/47249971.cms" TargetMode="External" Id="rId924" /><Relationship Type="http://schemas.openxmlformats.org/officeDocument/2006/relationships/hyperlink" Target="#'Claims'!A179" TargetMode="External" Id="rId925" /><Relationship Type="http://schemas.openxmlformats.org/officeDocument/2006/relationships/hyperlink" Target="#'Sources'!A33" TargetMode="External" Id="rId926" /><Relationship Type="http://schemas.openxmlformats.org/officeDocument/2006/relationships/hyperlink" Target="https://www.ndtv.com/india-news/rs-72-000-will-be-given-to-beneficiaries-under-nyay-scheme-rahul-gandhi-2031993" TargetMode="External" Id="rId927" /><Relationship Type="http://schemas.openxmlformats.org/officeDocument/2006/relationships/hyperlink" Target="#'Claims'!A179" TargetMode="External" Id="rId928" /><Relationship Type="http://schemas.openxmlformats.org/officeDocument/2006/relationships/hyperlink" Target="#'Sources'!A19" TargetMode="External" Id="rId929" /><Relationship Type="http://schemas.openxmlformats.org/officeDocument/2006/relationships/hyperlink" Target="https://www.ndtv.com/india-news/rahul-gandhis-open-letter-full-text-at-times-i-stood-completely-alone-2063455" TargetMode="External" Id="rId930" /><Relationship Type="http://schemas.openxmlformats.org/officeDocument/2006/relationships/hyperlink" Target="#'Claims'!A181" TargetMode="External" Id="rId931" /><Relationship Type="http://schemas.openxmlformats.org/officeDocument/2006/relationships/hyperlink" Target="#'Sources'!A19" TargetMode="External" Id="rId932" /><Relationship Type="http://schemas.openxmlformats.org/officeDocument/2006/relationships/hyperlink" Target="https://www.ndtv.com/india-news/rahul-gandhis-open-letter-full-text-at-times-i-stood-completely-alone-2063455" TargetMode="External" Id="rId933" /><Relationship Type="http://schemas.openxmlformats.org/officeDocument/2006/relationships/hyperlink" Target="#'Claims'!A182" TargetMode="External" Id="rId934" /><Relationship Type="http://schemas.openxmlformats.org/officeDocument/2006/relationships/hyperlink" Target="#'Sources'!A9" TargetMode="External" Id="rId935" /><Relationship Type="http://schemas.openxmlformats.org/officeDocument/2006/relationships/hyperlink" Target="https://inc.in/leadership/past-party-presidents/shri-rahul-gandhi" TargetMode="External" Id="rId936" /><Relationship Type="http://schemas.openxmlformats.org/officeDocument/2006/relationships/hyperlink" Target="#'Claims'!A182" TargetMode="External" Id="rId937" /><Relationship Type="http://schemas.openxmlformats.org/officeDocument/2006/relationships/hyperlink" Target="#'Sources'!A26" TargetMode="External" Id="rId938" /><Relationship Type="http://schemas.openxmlformats.org/officeDocument/2006/relationships/hyperlink" Target="https://indianexpress.com/article/political-pulse/in-kerala-youth-cong-dissent-over-rahuls-internal-election-system/" TargetMode="External" Id="rId939" /><Relationship Type="http://schemas.openxmlformats.org/officeDocument/2006/relationships/hyperlink" Target="#'Claims'!A182" TargetMode="External" Id="rId940" /><Relationship Type="http://schemas.openxmlformats.org/officeDocument/2006/relationships/hyperlink" Target="#'Sources'!A27" TargetMode="External" Id="rId941" /><Relationship Type="http://schemas.openxmlformats.org/officeDocument/2006/relationships/hyperlink" Target="https://timesofindia.indiatimes.com/india/youth-congress-to-retain-internal-polls/articleshow/36734347.cms" TargetMode="External" Id="rId942" /><Relationship Type="http://schemas.openxmlformats.org/officeDocument/2006/relationships/hyperlink" Target="#'Claims'!A182" TargetMode="External" Id="rId943" /><Relationship Type="http://schemas.openxmlformats.org/officeDocument/2006/relationships/hyperlink" Target="#'Sources'!A19" TargetMode="External" Id="rId944" /><Relationship Type="http://schemas.openxmlformats.org/officeDocument/2006/relationships/hyperlink" Target="https://www.ndtv.com/india-news/rahul-gandhis-open-letter-full-text-at-times-i-stood-completely-alone-2063455" TargetMode="External" Id="rId945" /><Relationship Type="http://schemas.openxmlformats.org/officeDocument/2006/relationships/hyperlink" Target="#'Claims'!A183" TargetMode="External" Id="rId946" /><Relationship Type="http://schemas.openxmlformats.org/officeDocument/2006/relationships/hyperlink" Target="#'Sources'!A42" TargetMode="External" Id="rId947" /><Relationship Type="http://schemas.openxmlformats.org/officeDocument/2006/relationships/hyperlink" Target="https://economictimes.indiatimes.com/news/politics-and-nation/rahul-gandhi-vows-to-oppose-land-bill-inside-and-outside-parliament/articleshow/47249971.cms" TargetMode="External" Id="rId948" /><Relationship Type="http://schemas.openxmlformats.org/officeDocument/2006/relationships/hyperlink" Target="#'Claims'!A183" TargetMode="External" Id="rId949" /><Relationship Type="http://schemas.openxmlformats.org/officeDocument/2006/relationships/hyperlink" Target="#'Sources'!A33" TargetMode="External" Id="rId950" /><Relationship Type="http://schemas.openxmlformats.org/officeDocument/2006/relationships/hyperlink" Target="https://www.ndtv.com/india-news/rs-72-000-will-be-given-to-beneficiaries-under-nyay-scheme-rahul-gandhi-2031993" TargetMode="External" Id="rId951" /><Relationship Type="http://schemas.openxmlformats.org/officeDocument/2006/relationships/hyperlink" Target="#'Claims'!A184" TargetMode="External" Id="rId952" /><Relationship Type="http://schemas.openxmlformats.org/officeDocument/2006/relationships/hyperlink" Target="#'Sources'!A12" TargetMode="External" Id="rId953" /><Relationship Type="http://schemas.openxmlformats.org/officeDocument/2006/relationships/hyperlink" Target="https://adrindia.org/sites/default/files/Analysis_of_Vote_Share_Margin_Of_Victory_Lok_Sabha__2019.pdf" TargetMode="External" Id="rId954" /><Relationship Type="http://schemas.openxmlformats.org/officeDocument/2006/relationships/hyperlink" Target="#'Claims'!A184" TargetMode="External" Id="rId955" /><Relationship Type="http://schemas.openxmlformats.org/officeDocument/2006/relationships/hyperlink" Target="#'Sources'!A46" TargetMode="External" Id="rId956" /><Relationship Type="http://schemas.openxmlformats.org/officeDocument/2006/relationships/hyperlink" Target="https://www.ceo.kerala.gov.in/electedmembers" TargetMode="External" Id="rId957" /><Relationship Type="http://schemas.openxmlformats.org/officeDocument/2006/relationships/hyperlink" Target="#'Claims'!A185" TargetMode="External" Id="rId958" /><Relationship Type="http://schemas.openxmlformats.org/officeDocument/2006/relationships/hyperlink" Target="#'Sources'!A26" TargetMode="External" Id="rId959" /><Relationship Type="http://schemas.openxmlformats.org/officeDocument/2006/relationships/hyperlink" Target="https://indianexpress.com/article/political-pulse/in-kerala-youth-cong-dissent-over-rahuls-internal-election-system/" TargetMode="External" Id="rId960" /><Relationship Type="http://schemas.openxmlformats.org/officeDocument/2006/relationships/hyperlink" Target="#'Claims'!A185" TargetMode="External" Id="rId961" /><Relationship Type="http://schemas.openxmlformats.org/officeDocument/2006/relationships/hyperlink" Target="#'Sources'!A27" TargetMode="External" Id="rId962" /><Relationship Type="http://schemas.openxmlformats.org/officeDocument/2006/relationships/hyperlink" Target="https://timesofindia.indiatimes.com/india/youth-congress-to-retain-internal-polls/articleshow/36734347.cms" TargetMode="External" Id="rId963" /><Relationship Type="http://schemas.openxmlformats.org/officeDocument/2006/relationships/hyperlink" Target="#'Claims'!A185" TargetMode="External" Id="rId964" /><Relationship Type="http://schemas.openxmlformats.org/officeDocument/2006/relationships/hyperlink" Target="#'Sources'!A13" TargetMode="External" Id="rId965" /><Relationship Type="http://schemas.openxmlformats.org/officeDocument/2006/relationships/hyperlink" Target="https://www.moneycontrol.com/elections/lok-sabha-election/uttar-pradesh/constituencies/amethi-constituency-s24led2008p037/" TargetMode="External" Id="rId966" /><Relationship Type="http://schemas.openxmlformats.org/officeDocument/2006/relationships/hyperlink" Target="#'Claims'!A186" TargetMode="External" Id="rId967" /><Relationship Type="http://schemas.openxmlformats.org/officeDocument/2006/relationships/hyperlink" Target="#'Sources'!A19" TargetMode="External" Id="rId968" /><Relationship Type="http://schemas.openxmlformats.org/officeDocument/2006/relationships/hyperlink" Target="https://www.ndtv.com/india-news/rahul-gandhis-open-letter-full-text-at-times-i-stood-completely-alone-2063455" TargetMode="External" Id="rId969" /><Relationship Type="http://schemas.openxmlformats.org/officeDocument/2006/relationships/hyperlink" Target="#'Claims'!A186" TargetMode="External" Id="rId970" /><Relationship Type="http://schemas.openxmlformats.org/officeDocument/2006/relationships/hyperlink" Target="#'Sources'!A28" TargetMode="External" Id="rId971" /><Relationship Type="http://schemas.openxmlformats.org/officeDocument/2006/relationships/hyperlink" Target="https://www.marketscreener.com/news/latest/Ridiculed-for-a-decade-India-s-Rahul-Gandhi-slows-Modi-juggernaut-46900641/" TargetMode="External" Id="rId972" /><Relationship Type="http://schemas.openxmlformats.org/officeDocument/2006/relationships/hyperlink" Target="#'Claims'!A187" TargetMode="External" Id="rId973" /><Relationship Type="http://schemas.openxmlformats.org/officeDocument/2006/relationships/hyperlink" Target="#'Sources'!A15" TargetMode="External" Id="rId974" /><Relationship Type="http://schemas.openxmlformats.org/officeDocument/2006/relationships/hyperlink" Target="https://api.sci.gov.in/supremecourt/2023/27941/27941_2023_4_55_45901_Order_04-Aug-2023.pdf" TargetMode="External" Id="rId975" /><Relationship Type="http://schemas.openxmlformats.org/officeDocument/2006/relationships/hyperlink" Target="#'Claims'!A187" TargetMode="External" Id="rId976" /><Relationship Type="http://schemas.openxmlformats.org/officeDocument/2006/relationships/hyperlink" Target="#'Sources'!A16" TargetMode="External" Id="rId977" /><Relationship Type="http://schemas.openxmlformats.org/officeDocument/2006/relationships/hyperlink" Target="https://indianexpress.com/article/political-pulse/rahul-gandhi-returns-mp-lok-sabha-supreme-court-8880307/" TargetMode="External" Id="rId978" /><Relationship Type="http://schemas.openxmlformats.org/officeDocument/2006/relationships/hyperlink" Target="#'Claims'!A188" TargetMode="External" Id="rId979" /><Relationship Type="http://schemas.openxmlformats.org/officeDocument/2006/relationships/hyperlink" Target="#'Sources'!A47" TargetMode="External" Id="rId980" /><Relationship Type="http://schemas.openxmlformats.org/officeDocument/2006/relationships/hyperlink" Target="https://prsindia.org/mptrack/17-lok-sabha/rahul-gandhi" TargetMode="External" Id="rId981" /><Relationship Type="http://schemas.openxmlformats.org/officeDocument/2006/relationships/hyperlink" Target="#'Claims'!A188" TargetMode="External" Id="rId982" /><Relationship Type="http://schemas.openxmlformats.org/officeDocument/2006/relationships/hyperlink" Target="#'Sources'!A16" TargetMode="External" Id="rId983" /><Relationship Type="http://schemas.openxmlformats.org/officeDocument/2006/relationships/hyperlink" Target="https://indianexpress.com/article/political-pulse/rahul-gandhi-returns-mp-lok-sabha-supreme-court-8880307/" TargetMode="External" Id="rId984" /><Relationship Type="http://schemas.openxmlformats.org/officeDocument/2006/relationships/hyperlink" Target="#'Claims'!A189" TargetMode="External" Id="rId985" /><Relationship Type="http://schemas.openxmlformats.org/officeDocument/2006/relationships/hyperlink" Target="#'Sources'!A23" TargetMode="External" Id="rId986" /><Relationship Type="http://schemas.openxmlformats.org/officeDocument/2006/relationships/hyperlink" Target="https://manifesto.inc.in/en/youth/" TargetMode="External" Id="rId987" /><Relationship Type="http://schemas.openxmlformats.org/officeDocument/2006/relationships/hyperlink" Target="#'Claims'!A189" TargetMode="External" Id="rId988" /><Relationship Type="http://schemas.openxmlformats.org/officeDocument/2006/relationships/hyperlink" Target="#'Sources'!A24" TargetMode="External" Id="rId989" /><Relationship Type="http://schemas.openxmlformats.org/officeDocument/2006/relationships/hyperlink" Target="https://manifesto.inc.in/en/farmers/" TargetMode="External" Id="rId990" /><Relationship Type="http://schemas.openxmlformats.org/officeDocument/2006/relationships/hyperlink" Target="#'Claims'!A189" TargetMode="External" Id="rId991" /><Relationship Type="http://schemas.openxmlformats.org/officeDocument/2006/relationships/hyperlink" Target="#'Sources'!A22" TargetMode="External" Id="rId992" /><Relationship Type="http://schemas.openxmlformats.org/officeDocument/2006/relationships/hyperlink" Target="https://manifesto.inc.in/en/women/" TargetMode="External" Id="rId993" /><Relationship Type="http://schemas.openxmlformats.org/officeDocument/2006/relationships/hyperlink" Target="#'Claims'!A190" TargetMode="External" Id="rId994" /><Relationship Type="http://schemas.openxmlformats.org/officeDocument/2006/relationships/hyperlink" Target="#'Sources'!A25" TargetMode="External" Id="rId995" /><Relationship Type="http://schemas.openxmlformats.org/officeDocument/2006/relationships/hyperlink" Target="https://manifesto.inc.in/en/national-security/" TargetMode="External" Id="rId996" /><Relationship Type="http://schemas.openxmlformats.org/officeDocument/2006/relationships/hyperlink" Target="#'Claims'!A191" TargetMode="External" Id="rId997" /><Relationship Type="http://schemas.openxmlformats.org/officeDocument/2006/relationships/hyperlink" Target="#'Sources'!A20" TargetMode="External" Id="rId998" /><Relationship Type="http://schemas.openxmlformats.org/officeDocument/2006/relationships/hyperlink" Target="https://indianexpress.com/article/political-pulse/rahul-modi-shah-doval-srinagar-bharat-jodo-yatra-8413548/" TargetMode="External" Id="rId999" /><Relationship Type="http://schemas.openxmlformats.org/officeDocument/2006/relationships/hyperlink" Target="#'Claims'!A191" TargetMode="External" Id="rId1000" /><Relationship Type="http://schemas.openxmlformats.org/officeDocument/2006/relationships/hyperlink" Target="#'Sources'!A30" TargetMode="External" Id="rId1001" /><Relationship Type="http://schemas.openxmlformats.org/officeDocument/2006/relationships/hyperlink" Target="https://m.thewire.in/article/politics/rahul-gandhi-t-shirt" TargetMode="External" Id="rId1002" /><Relationship Type="http://schemas.openxmlformats.org/officeDocument/2006/relationships/hyperlink" Target="#'Claims'!A191" TargetMode="External" Id="rId1003" /><Relationship Type="http://schemas.openxmlformats.org/officeDocument/2006/relationships/hyperlink" Target="#'Sources'!A28" TargetMode="External" Id="rId1004" /><Relationship Type="http://schemas.openxmlformats.org/officeDocument/2006/relationships/hyperlink" Target="https://www.marketscreener.com/news/latest/Ridiculed-for-a-decade-India-s-Rahul-Gandhi-slows-Modi-juggernaut-46900641/" TargetMode="External" Id="rId1005" /><Relationship Type="http://schemas.openxmlformats.org/officeDocument/2006/relationships/hyperlink" Target="#'Claims'!A192" TargetMode="External" Id="rId1006" /><Relationship Type="http://schemas.openxmlformats.org/officeDocument/2006/relationships/hyperlink" Target="#'Sources'!A9" TargetMode="External" Id="rId1007" /><Relationship Type="http://schemas.openxmlformats.org/officeDocument/2006/relationships/hyperlink" Target="https://inc.in/leadership/past-party-presidents/shri-rahul-gandhi" TargetMode="External" Id="rId1008" /><Relationship Type="http://schemas.openxmlformats.org/officeDocument/2006/relationships/hyperlink" Target="#'Claims'!A192" TargetMode="External" Id="rId1009" /><Relationship Type="http://schemas.openxmlformats.org/officeDocument/2006/relationships/hyperlink" Target="#'Sources'!A20" TargetMode="External" Id="rId1010" /><Relationship Type="http://schemas.openxmlformats.org/officeDocument/2006/relationships/hyperlink" Target="https://indianexpress.com/article/political-pulse/rahul-modi-shah-doval-srinagar-bharat-jodo-yatra-8413548/" TargetMode="External" Id="rId1011" /><Relationship Type="http://schemas.openxmlformats.org/officeDocument/2006/relationships/hyperlink" Target="#'Claims'!A192" TargetMode="External" Id="rId1012" /><Relationship Type="http://schemas.openxmlformats.org/officeDocument/2006/relationships/hyperlink" Target="#'Sources'!A28" TargetMode="External" Id="rId1013" /><Relationship Type="http://schemas.openxmlformats.org/officeDocument/2006/relationships/hyperlink" Target="https://www.marketscreener.com/news/latest/Ridiculed-for-a-decade-India-s-Rahul-Gandhi-slows-Modi-juggernaut-46900641/" TargetMode="External" Id="rId1014" /><Relationship Type="http://schemas.openxmlformats.org/officeDocument/2006/relationships/hyperlink" Target="#'Claims'!A193" TargetMode="External" Id="rId1015" /><Relationship Type="http://schemas.openxmlformats.org/officeDocument/2006/relationships/hyperlink" Target="#'Sources'!A20" TargetMode="External" Id="rId1016" /><Relationship Type="http://schemas.openxmlformats.org/officeDocument/2006/relationships/hyperlink" Target="https://indianexpress.com/article/political-pulse/rahul-modi-shah-doval-srinagar-bharat-jodo-yatra-8413548/" TargetMode="External" Id="rId1017" /><Relationship Type="http://schemas.openxmlformats.org/officeDocument/2006/relationships/hyperlink" Target="#'Claims'!A193" TargetMode="External" Id="rId1018" /><Relationship Type="http://schemas.openxmlformats.org/officeDocument/2006/relationships/hyperlink" Target="#'Sources'!A21" TargetMode="External" Id="rId1019" /><Relationship Type="http://schemas.openxmlformats.org/officeDocument/2006/relationships/hyperlink" Target="https://manifesto.inc.in/en/equity/" TargetMode="External" Id="rId1020" /><Relationship Type="http://schemas.openxmlformats.org/officeDocument/2006/relationships/hyperlink" Target="#'Claims'!A194" TargetMode="External" Id="rId1021" /><Relationship Type="http://schemas.openxmlformats.org/officeDocument/2006/relationships/hyperlink" Target="#'Sources'!A47" TargetMode="External" Id="rId1022" /><Relationship Type="http://schemas.openxmlformats.org/officeDocument/2006/relationships/hyperlink" Target="https://prsindia.org/mptrack/17-lok-sabha/rahul-gandhi" TargetMode="External" Id="rId1023" /><Relationship Type="http://schemas.openxmlformats.org/officeDocument/2006/relationships/hyperlink" Target="#'Claims'!A194" TargetMode="External" Id="rId1024" /><Relationship Type="http://schemas.openxmlformats.org/officeDocument/2006/relationships/hyperlink" Target="#'Sources'!A9" TargetMode="External" Id="rId1025" /><Relationship Type="http://schemas.openxmlformats.org/officeDocument/2006/relationships/hyperlink" Target="https://inc.in/leadership/past-party-presidents/shri-rahul-gandhi" TargetMode="External" Id="rId1026" /><Relationship Type="http://schemas.openxmlformats.org/officeDocument/2006/relationships/hyperlink" Target="#'Claims'!A195" TargetMode="External" Id="rId1027" /><Relationship Type="http://schemas.openxmlformats.org/officeDocument/2006/relationships/hyperlink" Target="#'Sources'!A15" TargetMode="External" Id="rId1028" /><Relationship Type="http://schemas.openxmlformats.org/officeDocument/2006/relationships/hyperlink" Target="https://api.sci.gov.in/supremecourt/2023/27941/27941_2023_4_55_45901_Order_04-Aug-2023.pdf" TargetMode="External" Id="rId1029" /><Relationship Type="http://schemas.openxmlformats.org/officeDocument/2006/relationships/hyperlink" Target="#'Claims'!A195" TargetMode="External" Id="rId1030" /><Relationship Type="http://schemas.openxmlformats.org/officeDocument/2006/relationships/hyperlink" Target="#'Sources'!A16" TargetMode="External" Id="rId1031" /><Relationship Type="http://schemas.openxmlformats.org/officeDocument/2006/relationships/hyperlink" Target="https://indianexpress.com/article/political-pulse/rahul-gandhi-returns-mp-lok-sabha-supreme-court-8880307/" TargetMode="External" Id="rId1032" /><Relationship Type="http://schemas.openxmlformats.org/officeDocument/2006/relationships/hyperlink" Target="#'Claims'!A196" TargetMode="External" Id="rId1033" /><Relationship Type="http://schemas.openxmlformats.org/officeDocument/2006/relationships/hyperlink" Target="#'Sources'!A29" TargetMode="External" Id="rId1034" /><Relationship Type="http://schemas.openxmlformats.org/officeDocument/2006/relationships/hyperlink" Target="https://carnegieendowment.org/research/2024/09/india-election-bjp-party-politics" TargetMode="External" Id="rId1035" /><Relationship Type="http://schemas.openxmlformats.org/officeDocument/2006/relationships/hyperlink" Target="#'Claims'!A196" TargetMode="External" Id="rId1036" /><Relationship Type="http://schemas.openxmlformats.org/officeDocument/2006/relationships/hyperlink" Target="#'Sources'!A7" TargetMode="External" Id="rId1037" /><Relationship Type="http://schemas.openxmlformats.org/officeDocument/2006/relationships/hyperlink" Target="https://sansad.in/ls/about/leader-of-opposition" TargetMode="External" Id="rId1038" /><Relationship Type="http://schemas.openxmlformats.org/officeDocument/2006/relationships/hyperlink" Target="#'Claims'!A197" TargetMode="External" Id="rId1039" /><Relationship Type="http://schemas.openxmlformats.org/officeDocument/2006/relationships/hyperlink" Target="#'Sources'!A7" TargetMode="External" Id="rId1040" /><Relationship Type="http://schemas.openxmlformats.org/officeDocument/2006/relationships/hyperlink" Target="https://sansad.in/ls/about/leader-of-opposition" TargetMode="External" Id="rId1041" /><Relationship Type="http://schemas.openxmlformats.org/officeDocument/2006/relationships/hyperlink" Target="#'Claims'!A197" TargetMode="External" Id="rId1042" /><Relationship Type="http://schemas.openxmlformats.org/officeDocument/2006/relationships/hyperlink" Target="#'Sources'!A8" TargetMode="External" Id="rId1043" /><Relationship Type="http://schemas.openxmlformats.org/officeDocument/2006/relationships/hyperlink" Target="https://prsindia.org/mptrack/18-lok-sabha/rahul-gandhi" TargetMode="External" Id="rId1044" /><Relationship Type="http://schemas.openxmlformats.org/officeDocument/2006/relationships/hyperlink" Target="#'Claims'!A198" TargetMode="External" Id="rId1045" /><Relationship Type="http://schemas.openxmlformats.org/officeDocument/2006/relationships/hyperlink" Target="#'Sources'!A11" TargetMode="External" Id="rId1046" /><Relationship Type="http://schemas.openxmlformats.org/officeDocument/2006/relationships/hyperlink" Target="https://www.eci.gov.in/eci-backend/public/all_files/GE-2024-statistical-report/33-Constituency-Wise-Detailed-Result.pdf" TargetMode="External" Id="rId1047" /><Relationship Type="http://schemas.openxmlformats.org/officeDocument/2006/relationships/hyperlink" Target="#'Claims'!A198" TargetMode="External" Id="rId1048" /><Relationship Type="http://schemas.openxmlformats.org/officeDocument/2006/relationships/hyperlink" Target="#'Sources'!A48" TargetMode="External" Id="rId1049" /><Relationship Type="http://schemas.openxmlformats.org/officeDocument/2006/relationships/hyperlink" Target="https://www.ndtv.com/india-news/rahul-gandhi-resigns-from-wayanad-seat-retains-raebareli-5918402" TargetMode="External" Id="rId1050" /><Relationship Type="http://schemas.openxmlformats.org/officeDocument/2006/relationships/hyperlink" Target="#'Claims'!A198" TargetMode="External" Id="rId1051" /><Relationship Type="http://schemas.openxmlformats.org/officeDocument/2006/relationships/hyperlink" Target="#'Sources'!A31" TargetMode="External" Id="rId1052" /><Relationship Type="http://schemas.openxmlformats.org/officeDocument/2006/relationships/hyperlink" Target="https://indianexpress.com/article/political-pulse/congress-camps-bihar-post-mortem-rahul-yatra-fiasco-allavaru-problem-weak-structure-10375553/" TargetMode="External" Id="rId1053" /><Relationship Type="http://schemas.openxmlformats.org/officeDocument/2006/relationships/hyperlink" Target="#'Claims'!A201" TargetMode="External" Id="rId1054" /><Relationship Type="http://schemas.openxmlformats.org/officeDocument/2006/relationships/hyperlink" Target="#'Sources'!A36" TargetMode="External" Id="rId1055" /><Relationship Type="http://schemas.openxmlformats.org/officeDocument/2006/relationships/hyperlink" Target="https://indianexpress.com/article/india/rahul-gandhi-vote-chori-cec-gyanesh-kumar-protecting-killing-democracy-10257103/" TargetMode="External" Id="rId1056" /><Relationship Type="http://schemas.openxmlformats.org/officeDocument/2006/relationships/hyperlink" Target="#'Claims'!A201" TargetMode="External" Id="rId1057" /><Relationship Type="http://schemas.openxmlformats.org/officeDocument/2006/relationships/hyperlink" Target="#'Sources'!A35" TargetMode="External" Id="rId1058" /><Relationship Type="http://schemas.openxmlformats.org/officeDocument/2006/relationships/hyperlink" Target="https://timesofindia.indiatimes.com/india/rahul-gandhi-press-conference-on-ec-gyanesh-kumar-resignation-sir-congress-vote-chori-election-bjp/articleshow/134457370.cms" TargetMode="External" Id="rId1059" /><Relationship Type="http://schemas.openxmlformats.org/officeDocument/2006/relationships/hyperlink" Target="#'Claims'!A202" TargetMode="External" Id="rId1060" /><Relationship Type="http://schemas.openxmlformats.org/officeDocument/2006/relationships/hyperlink" Target="#'Sources'!A31" TargetMode="External" Id="rId1061" /><Relationship Type="http://schemas.openxmlformats.org/officeDocument/2006/relationships/hyperlink" Target="https://indianexpress.com/article/political-pulse/congress-camps-bihar-post-mortem-rahul-yatra-fiasco-allavaru-problem-weak-structure-10375553/" TargetMode="External" Id="rId1062" /><Relationship Type="http://schemas.openxmlformats.org/officeDocument/2006/relationships/hyperlink" Target="#'Claims'!A202" TargetMode="External" Id="rId1063" /><Relationship Type="http://schemas.openxmlformats.org/officeDocument/2006/relationships/hyperlink" Target="#'Sources'!A32" TargetMode="External" Id="rId1064" /><Relationship Type="http://schemas.openxmlformats.org/officeDocument/2006/relationships/hyperlink" Target="https://indianexpress.com/article/political-pulse/rahul-equallyresponsible-bihar-loss-poll-review-10390484/" TargetMode="External" Id="rId1065" /><Relationship Type="http://schemas.openxmlformats.org/officeDocument/2006/relationships/hyperlink" Target="#'Claims'!A203" TargetMode="External" Id="rId1066" /><Relationship Type="http://schemas.openxmlformats.org/officeDocument/2006/relationships/hyperlink" Target="#'Sources'!A40" TargetMode="External" Id="rId1067" /><Relationship Type="http://schemas.openxmlformats.org/officeDocument/2006/relationships/hyperlink" Target="https://indianexpress.com/article/india/rahul-gandhi-caste-census-population-congress-centre-cabinet-9975117/" TargetMode="External" Id="rId1068" /><Relationship Type="http://schemas.openxmlformats.org/officeDocument/2006/relationships/hyperlink" Target="#'Claims'!A203" TargetMode="External" Id="rId1069" /><Relationship Type="http://schemas.openxmlformats.org/officeDocument/2006/relationships/hyperlink" Target="#'Sources'!A41" TargetMode="External" Id="rId1070" /><Relationship Type="http://schemas.openxmlformats.org/officeDocument/2006/relationships/hyperlink" Target="https://www.pib.gov.in/PressReleasePage.aspx?PRID=2125576" TargetMode="External" Id="rId1071" /><Relationship Type="http://schemas.openxmlformats.org/officeDocument/2006/relationships/hyperlink" Target="#'Claims'!A204" TargetMode="External" Id="rId1072" /><Relationship Type="http://schemas.openxmlformats.org/officeDocument/2006/relationships/hyperlink" Target="#'Sources'!A8" TargetMode="External" Id="rId1073" /><Relationship Type="http://schemas.openxmlformats.org/officeDocument/2006/relationships/hyperlink" Target="https://prsindia.org/mptrack/18-lok-sabha/rahul-gandhi" TargetMode="External" Id="rId1074" /><Relationship Type="http://schemas.openxmlformats.org/officeDocument/2006/relationships/hyperlink" Target="#'Claims'!A204" TargetMode="External" Id="rId1075" /><Relationship Type="http://schemas.openxmlformats.org/officeDocument/2006/relationships/hyperlink" Target="#'Sources'!A48" TargetMode="External" Id="rId1076" /><Relationship Type="http://schemas.openxmlformats.org/officeDocument/2006/relationships/hyperlink" Target="https://www.ndtv.com/india-news/rahul-gandhi-resigns-from-wayanad-seat-retains-raebareli-5918402" TargetMode="External" Id="rId1077" /><Relationship Type="http://schemas.openxmlformats.org/officeDocument/2006/relationships/hyperlink" Target="#'Claims'!A205" TargetMode="External" Id="rId1078" /><Relationship Type="http://schemas.openxmlformats.org/officeDocument/2006/relationships/hyperlink" Target="#'Sources'!A8" TargetMode="External" Id="rId1079" /><Relationship Type="http://schemas.openxmlformats.org/officeDocument/2006/relationships/hyperlink" Target="https://prsindia.org/mptrack/18-lok-sabha/rahul-gandhi" TargetMode="External" Id="rId1080" /><Relationship Type="http://schemas.openxmlformats.org/officeDocument/2006/relationships/hyperlink" Target="#'Claims'!A205" TargetMode="External" Id="rId1081" /><Relationship Type="http://schemas.openxmlformats.org/officeDocument/2006/relationships/hyperlink" Target="#'Sources'!A17" TargetMode="External" Id="rId1082" /><Relationship Type="http://schemas.openxmlformats.org/officeDocument/2006/relationships/hyperlink" Target="https://indianexpress.com/article/legal-news/national-herald-case-gandhis-oppose-ed-plea-private-complaint-10889668/" TargetMode="External" Id="rId1083" /><Relationship Type="http://schemas.openxmlformats.org/officeDocument/2006/relationships/hyperlink" Target="#'Claims'!A205" TargetMode="External" Id="rId1084" /><Relationship Type="http://schemas.openxmlformats.org/officeDocument/2006/relationships/hyperlink" Target="#'Sources'!A18" TargetMode="External" Id="rId1085" /><Relationship Type="http://schemas.openxmlformats.org/officeDocument/2006/relationships/hyperlink" Target="https://www.barandbench.com/news/only-case-where-ed-proceeded-on-private-complaint-sonia-and-rahul-gandhi-to-delhi-high-court-on-national-herald-case" TargetMode="External" Id="rId1086" /><Relationship Type="http://schemas.openxmlformats.org/officeDocument/2006/relationships/hyperlink" Target="#'Claims'!A208" TargetMode="External" Id="rId1087" /><Relationship Type="http://schemas.openxmlformats.org/officeDocument/2006/relationships/hyperlink" Target="#'Sources'!A9" TargetMode="External" Id="rId1088" /><Relationship Type="http://schemas.openxmlformats.org/officeDocument/2006/relationships/hyperlink" Target="https://inc.in/leadership/past-party-presidents/shri-rahul-gandhi" TargetMode="External" Id="rId1089" /><Relationship Type="http://schemas.openxmlformats.org/officeDocument/2006/relationships/hyperlink" Target="#'Claims'!A208" TargetMode="External" Id="rId1090" /><Relationship Type="http://schemas.openxmlformats.org/officeDocument/2006/relationships/hyperlink" Target="#'Sources'!A10" TargetMode="External" Id="rId1091" /><Relationship Type="http://schemas.openxmlformats.org/officeDocument/2006/relationships/hyperlink" Target="https://indianexpress.com/article/explained/explained-politics/rahul-gandhi-turns-53-what-he-was-doing-before-politics-8672843/lite/" TargetMode="External" Id="rId1092" /><Relationship Type="http://schemas.openxmlformats.org/officeDocument/2006/relationships/hyperlink" Target="#'Claims'!A210" TargetMode="External" Id="rId1093" /><Relationship Type="http://schemas.openxmlformats.org/officeDocument/2006/relationships/hyperlink" Target="#'Sources'!A30" TargetMode="External" Id="rId1094" /><Relationship Type="http://schemas.openxmlformats.org/officeDocument/2006/relationships/hyperlink" Target="https://m.thewire.in/article/politics/rahul-gandhi-t-shirt" TargetMode="External" Id="rId1095" /><Relationship Type="http://schemas.openxmlformats.org/officeDocument/2006/relationships/hyperlink" Target="#'Claims'!A211" TargetMode="External" Id="rId1096" /><Relationship Type="http://schemas.openxmlformats.org/officeDocument/2006/relationships/hyperlink" Target="#'Sources'!A10" TargetMode="External" Id="rId1097" /><Relationship Type="http://schemas.openxmlformats.org/officeDocument/2006/relationships/hyperlink" Target="https://indianexpress.com/article/explained/explained-politics/rahul-gandhi-turns-53-what-he-was-doing-before-politics-8672843/lite/" TargetMode="External" Id="rId1098" /><Relationship Type="http://schemas.openxmlformats.org/officeDocument/2006/relationships/hyperlink" Target="#'Claims'!A212" TargetMode="External" Id="rId1099" /><Relationship Type="http://schemas.openxmlformats.org/officeDocument/2006/relationships/hyperlink" Target="#'Sources'!A38" TargetMode="External" Id="rId1100" /><Relationship Type="http://schemas.openxmlformats.org/officeDocument/2006/relationships/hyperlink" Target="https://indianexpress.com/article/india/lok-sabha-rahul-gandhi-women-reservation-bill-obc-quota-8948629/" TargetMode="External" Id="rId1101" /><Relationship Type="http://schemas.openxmlformats.org/officeDocument/2006/relationships/hyperlink" Target="#'Claims'!A212" TargetMode="External" Id="rId1102" /><Relationship Type="http://schemas.openxmlformats.org/officeDocument/2006/relationships/hyperlink" Target="#'Sources'!A22" TargetMode="External" Id="rId1103" /><Relationship Type="http://schemas.openxmlformats.org/officeDocument/2006/relationships/hyperlink" Target="https://manifesto.inc.in/en/women/" TargetMode="External" Id="rId1104" /><Relationship Type="http://schemas.openxmlformats.org/officeDocument/2006/relationships/hyperlink" Target="#'Claims'!A213" TargetMode="External" Id="rId1105" /><Relationship Type="http://schemas.openxmlformats.org/officeDocument/2006/relationships/hyperlink" Target="#'Sources'!A30" TargetMode="External" Id="rId1106" /><Relationship Type="http://schemas.openxmlformats.org/officeDocument/2006/relationships/hyperlink" Target="https://m.thewire.in/article/politics/rahul-gandhi-t-shirt" TargetMode="External" Id="rId1107" /><Relationship Type="http://schemas.openxmlformats.org/officeDocument/2006/relationships/hyperlink" Target="#'Claims'!A214" TargetMode="External" Id="rId1108" /><Relationship Type="http://schemas.openxmlformats.org/officeDocument/2006/relationships/hyperlink" Target="#'Sources'!A38" TargetMode="External" Id="rId1109" /><Relationship Type="http://schemas.openxmlformats.org/officeDocument/2006/relationships/hyperlink" Target="https://indianexpress.com/article/india/lok-sabha-rahul-gandhi-women-reservation-bill-obc-quota-8948629/" TargetMode="External" Id="rId1110" /><Relationship Type="http://schemas.openxmlformats.org/officeDocument/2006/relationships/hyperlink" Target="#'Claims'!A214" TargetMode="External" Id="rId1111" /><Relationship Type="http://schemas.openxmlformats.org/officeDocument/2006/relationships/hyperlink" Target="#'Sources'!A22" TargetMode="External" Id="rId1112" /><Relationship Type="http://schemas.openxmlformats.org/officeDocument/2006/relationships/hyperlink" Target="https://manifesto.inc.in/en/women/" TargetMode="External" Id="rId1113" /><Relationship Type="http://schemas.openxmlformats.org/officeDocument/2006/relationships/table" Target="/xl/tables/table12.xml" Id="rId1114" /></Relationships>
</file>

<file path=xl/worksheets/_rels/sheet13.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Sources'!A9" TargetMode="External" Id="rId2" /><Relationship Type="http://schemas.openxmlformats.org/officeDocument/2006/relationships/hyperlink" Target="https://inc.in/leadership/past-party-presidents/shri-rahul-gandhi" TargetMode="External" Id="rId3" /><Relationship Type="http://schemas.openxmlformats.org/officeDocument/2006/relationships/hyperlink" Target="#'Overview'!A7" TargetMode="External" Id="rId4" /><Relationship Type="http://schemas.openxmlformats.org/officeDocument/2006/relationships/hyperlink" Target="#'Sources'!A7" TargetMode="External" Id="rId5" /><Relationship Type="http://schemas.openxmlformats.org/officeDocument/2006/relationships/hyperlink" Target="https://sansad.in/ls/about/leader-of-opposition" TargetMode="External" Id="rId6" /><Relationship Type="http://schemas.openxmlformats.org/officeDocument/2006/relationships/hyperlink" Target="#'Overview'!A7" TargetMode="External" Id="rId7" /><Relationship Type="http://schemas.openxmlformats.org/officeDocument/2006/relationships/hyperlink" Target="#'Sources'!A8" TargetMode="External" Id="rId8" /><Relationship Type="http://schemas.openxmlformats.org/officeDocument/2006/relationships/hyperlink" Target="https://prsindia.org/mptrack/18-lok-sabha/rahul-gandhi" TargetMode="External" Id="rId9" /><Relationship Type="http://schemas.openxmlformats.org/officeDocument/2006/relationships/hyperlink" Target="#'Overview'!A8" TargetMode="External" Id="rId10" /><Relationship Type="http://schemas.openxmlformats.org/officeDocument/2006/relationships/hyperlink" Target="#'Sources'!A9" TargetMode="External" Id="rId11" /><Relationship Type="http://schemas.openxmlformats.org/officeDocument/2006/relationships/hyperlink" Target="https://inc.in/leadership/past-party-presidents/shri-rahul-gandhi" TargetMode="External" Id="rId12" /><Relationship Type="http://schemas.openxmlformats.org/officeDocument/2006/relationships/hyperlink" Target="#'Overview'!A8" TargetMode="External" Id="rId13" /><Relationship Type="http://schemas.openxmlformats.org/officeDocument/2006/relationships/hyperlink" Target="#'Sources'!A16" TargetMode="External" Id="rId14" /><Relationship Type="http://schemas.openxmlformats.org/officeDocument/2006/relationships/hyperlink" Target="https://indianexpress.com/article/political-pulse/rahul-gandhi-returns-mp-lok-sabha-supreme-court-8880307/" TargetMode="External" Id="rId15" /><Relationship Type="http://schemas.openxmlformats.org/officeDocument/2006/relationships/hyperlink" Target="#'Overview'!A8" TargetMode="External" Id="rId16" /><Relationship Type="http://schemas.openxmlformats.org/officeDocument/2006/relationships/hyperlink" Target="#'Sources'!A47" TargetMode="External" Id="rId17" /><Relationship Type="http://schemas.openxmlformats.org/officeDocument/2006/relationships/hyperlink" Target="https://prsindia.org/mptrack/17-lok-sabha/rahul-gandhi" TargetMode="External" Id="rId18" /><Relationship Type="http://schemas.openxmlformats.org/officeDocument/2006/relationships/hyperlink" Target="#'Overview'!A8" TargetMode="External" Id="rId19" /><Relationship Type="http://schemas.openxmlformats.org/officeDocument/2006/relationships/hyperlink" Target="#'Sources'!A48" TargetMode="External" Id="rId20" /><Relationship Type="http://schemas.openxmlformats.org/officeDocument/2006/relationships/hyperlink" Target="https://www.ndtv.com/india-news/rahul-gandhi-resigns-from-wayanad-seat-retains-raebareli-5918402" TargetMode="External" Id="rId21" /><Relationship Type="http://schemas.openxmlformats.org/officeDocument/2006/relationships/hyperlink" Target="#'Overview'!A9" TargetMode="External" Id="rId22" /><Relationship Type="http://schemas.openxmlformats.org/officeDocument/2006/relationships/hyperlink" Target="#'Sources'!A9" TargetMode="External" Id="rId23" /><Relationship Type="http://schemas.openxmlformats.org/officeDocument/2006/relationships/hyperlink" Target="https://inc.in/leadership/past-party-presidents/shri-rahul-gandhi" TargetMode="External" Id="rId24" /><Relationship Type="http://schemas.openxmlformats.org/officeDocument/2006/relationships/hyperlink" Target="#'Overview'!A9" TargetMode="External" Id="rId25" /><Relationship Type="http://schemas.openxmlformats.org/officeDocument/2006/relationships/hyperlink" Target="#'Sources'!A19" TargetMode="External" Id="rId26" /><Relationship Type="http://schemas.openxmlformats.org/officeDocument/2006/relationships/hyperlink" Target="https://www.ndtv.com/india-news/rahul-gandhis-open-letter-full-text-at-times-i-stood-completely-alone-2063455" TargetMode="External" Id="rId27" /><Relationship Type="http://schemas.openxmlformats.org/officeDocument/2006/relationships/hyperlink" Target="#'Overview'!A10" TargetMode="External" Id="rId28" /><Relationship Type="http://schemas.openxmlformats.org/officeDocument/2006/relationships/hyperlink" Target="#'Sources'!A10" TargetMode="External" Id="rId29" /><Relationship Type="http://schemas.openxmlformats.org/officeDocument/2006/relationships/hyperlink" Target="https://indianexpress.com/article/explained/explained-politics/rahul-gandhi-turns-53-what-he-was-doing-before-politics-8672843/lite/" TargetMode="External" Id="rId30" /><Relationship Type="http://schemas.openxmlformats.org/officeDocument/2006/relationships/hyperlink" Target="#'Overview'!A10" TargetMode="External" Id="rId31" /><Relationship Type="http://schemas.openxmlformats.org/officeDocument/2006/relationships/hyperlink" Target="#'Sources'!A9" TargetMode="External" Id="rId32" /><Relationship Type="http://schemas.openxmlformats.org/officeDocument/2006/relationships/hyperlink" Target="https://inc.in/leadership/past-party-presidents/shri-rahul-gandhi" TargetMode="External" Id="rId33" /><Relationship Type="http://schemas.openxmlformats.org/officeDocument/2006/relationships/hyperlink" Target="#'Overview'!A11" TargetMode="External" Id="rId34" /><Relationship Type="http://schemas.openxmlformats.org/officeDocument/2006/relationships/hyperlink" Target="#'Sources'!A11" TargetMode="External" Id="rId35" /><Relationship Type="http://schemas.openxmlformats.org/officeDocument/2006/relationships/hyperlink" Target="https://www.eci.gov.in/eci-backend/public/all_files/GE-2024-statistical-report/33-Constituency-Wise-Detailed-Result.pdf" TargetMode="External" Id="rId36" /><Relationship Type="http://schemas.openxmlformats.org/officeDocument/2006/relationships/hyperlink" Target="#'Overview'!A11" TargetMode="External" Id="rId37" /><Relationship Type="http://schemas.openxmlformats.org/officeDocument/2006/relationships/hyperlink" Target="#'Sources'!A12" TargetMode="External" Id="rId38" /><Relationship Type="http://schemas.openxmlformats.org/officeDocument/2006/relationships/hyperlink" Target="https://adrindia.org/sites/default/files/Analysis_of_Vote_Share_Margin_Of_Victory_Lok_Sabha__2019.pdf" TargetMode="External" Id="rId39" /><Relationship Type="http://schemas.openxmlformats.org/officeDocument/2006/relationships/hyperlink" Target="#'Overview'!A11" TargetMode="External" Id="rId40" /><Relationship Type="http://schemas.openxmlformats.org/officeDocument/2006/relationships/hyperlink" Target="#'Sources'!A13" TargetMode="External" Id="rId41" /><Relationship Type="http://schemas.openxmlformats.org/officeDocument/2006/relationships/hyperlink" Target="https://www.moneycontrol.com/elections/lok-sabha-election/uttar-pradesh/constituencies/amethi-constituency-s24led2008p037/" TargetMode="External" Id="rId42" /><Relationship Type="http://schemas.openxmlformats.org/officeDocument/2006/relationships/hyperlink" Target="#'Overview'!A11" TargetMode="External" Id="rId43" /><Relationship Type="http://schemas.openxmlformats.org/officeDocument/2006/relationships/hyperlink" Target="#'Sources'!A14" TargetMode="External" Id="rId44" /><Relationship Type="http://schemas.openxmlformats.org/officeDocument/2006/relationships/hyperlink" Target="https://www.elections.in/parliamentary-constituencies/2004-election-results.html" TargetMode="External" Id="rId45" /><Relationship Type="http://schemas.openxmlformats.org/officeDocument/2006/relationships/hyperlink" Target="#'Overview'!A12" TargetMode="External" Id="rId46" /><Relationship Type="http://schemas.openxmlformats.org/officeDocument/2006/relationships/hyperlink" Target="#'Sources'!A9" TargetMode="External" Id="rId47" /><Relationship Type="http://schemas.openxmlformats.org/officeDocument/2006/relationships/hyperlink" Target="https://inc.in/leadership/past-party-presidents/shri-rahul-gandhi" TargetMode="External" Id="rId48" /><Relationship Type="http://schemas.openxmlformats.org/officeDocument/2006/relationships/hyperlink" Target="#'Overview'!A12" TargetMode="External" Id="rId49" /><Relationship Type="http://schemas.openxmlformats.org/officeDocument/2006/relationships/hyperlink" Target="#'Sources'!A27" TargetMode="External" Id="rId50" /><Relationship Type="http://schemas.openxmlformats.org/officeDocument/2006/relationships/hyperlink" Target="https://timesofindia.indiatimes.com/india/youth-congress-to-retain-internal-polls/articleshow/36734347.cms" TargetMode="External" Id="rId51" /><Relationship Type="http://schemas.openxmlformats.org/officeDocument/2006/relationships/hyperlink" Target="#'Overview'!A12" TargetMode="External" Id="rId52" /><Relationship Type="http://schemas.openxmlformats.org/officeDocument/2006/relationships/hyperlink" Target="#'Sources'!A20" TargetMode="External" Id="rId53" /><Relationship Type="http://schemas.openxmlformats.org/officeDocument/2006/relationships/hyperlink" Target="https://indianexpress.com/article/political-pulse/rahul-modi-shah-doval-srinagar-bharat-jodo-yatra-8413548/" TargetMode="External" Id="rId54" /><Relationship Type="http://schemas.openxmlformats.org/officeDocument/2006/relationships/hyperlink" Target="#'Overview'!A12" TargetMode="External" Id="rId55" /><Relationship Type="http://schemas.openxmlformats.org/officeDocument/2006/relationships/hyperlink" Target="#'Sources'!A7" TargetMode="External" Id="rId56" /><Relationship Type="http://schemas.openxmlformats.org/officeDocument/2006/relationships/hyperlink" Target="https://sansad.in/ls/about/leader-of-opposition" TargetMode="External" Id="rId57" /><Relationship Type="http://schemas.openxmlformats.org/officeDocument/2006/relationships/hyperlink" Target="#'Overview'!A13" TargetMode="External" Id="rId58" /><Relationship Type="http://schemas.openxmlformats.org/officeDocument/2006/relationships/hyperlink" Target="#'Sources'!A26" TargetMode="External" Id="rId59" /><Relationship Type="http://schemas.openxmlformats.org/officeDocument/2006/relationships/hyperlink" Target="https://indianexpress.com/article/political-pulse/in-kerala-youth-cong-dissent-over-rahuls-internal-election-system/" TargetMode="External" Id="rId60" /><Relationship Type="http://schemas.openxmlformats.org/officeDocument/2006/relationships/hyperlink" Target="#'Overview'!A13" TargetMode="External" Id="rId61" /><Relationship Type="http://schemas.openxmlformats.org/officeDocument/2006/relationships/hyperlink" Target="#'Sources'!A27" TargetMode="External" Id="rId62" /><Relationship Type="http://schemas.openxmlformats.org/officeDocument/2006/relationships/hyperlink" Target="https://timesofindia.indiatimes.com/india/youth-congress-to-retain-internal-polls/articleshow/36734347.cms" TargetMode="External" Id="rId63" /><Relationship Type="http://schemas.openxmlformats.org/officeDocument/2006/relationships/hyperlink" Target="#'Overview'!A13" TargetMode="External" Id="rId64" /><Relationship Type="http://schemas.openxmlformats.org/officeDocument/2006/relationships/hyperlink" Target="#'Sources'!A28" TargetMode="External" Id="rId65" /><Relationship Type="http://schemas.openxmlformats.org/officeDocument/2006/relationships/hyperlink" Target="https://www.marketscreener.com/news/latest/Ridiculed-for-a-decade-India-s-Rahul-Gandhi-slows-Modi-juggernaut-46900641/" TargetMode="External" Id="rId66" /><Relationship Type="http://schemas.openxmlformats.org/officeDocument/2006/relationships/hyperlink" Target="#'Overview'!A13" TargetMode="External" Id="rId67" /><Relationship Type="http://schemas.openxmlformats.org/officeDocument/2006/relationships/hyperlink" Target="#'Sources'!A40" TargetMode="External" Id="rId68" /><Relationship Type="http://schemas.openxmlformats.org/officeDocument/2006/relationships/hyperlink" Target="https://indianexpress.com/article/india/rahul-gandhi-caste-census-population-congress-centre-cabinet-9975117/" TargetMode="External" Id="rId69" /><Relationship Type="http://schemas.openxmlformats.org/officeDocument/2006/relationships/hyperlink" Target="#'Overview'!A13" TargetMode="External" Id="rId70" /><Relationship Type="http://schemas.openxmlformats.org/officeDocument/2006/relationships/hyperlink" Target="#'Sources'!A41" TargetMode="External" Id="rId71" /><Relationship Type="http://schemas.openxmlformats.org/officeDocument/2006/relationships/hyperlink" Target="https://www.pib.gov.in/PressReleasePage.aspx?PRID=2125576" TargetMode="External" Id="rId72" /><Relationship Type="http://schemas.openxmlformats.org/officeDocument/2006/relationships/hyperlink" Target="#'Overview'!A14" TargetMode="External" Id="rId73" /><Relationship Type="http://schemas.openxmlformats.org/officeDocument/2006/relationships/hyperlink" Target="#'Sources'!A21" TargetMode="External" Id="rId74" /><Relationship Type="http://schemas.openxmlformats.org/officeDocument/2006/relationships/hyperlink" Target="https://manifesto.inc.in/en/equity/" TargetMode="External" Id="rId75" /><Relationship Type="http://schemas.openxmlformats.org/officeDocument/2006/relationships/hyperlink" Target="#'Overview'!A14" TargetMode="External" Id="rId76" /><Relationship Type="http://schemas.openxmlformats.org/officeDocument/2006/relationships/hyperlink" Target="#'Sources'!A22" TargetMode="External" Id="rId77" /><Relationship Type="http://schemas.openxmlformats.org/officeDocument/2006/relationships/hyperlink" Target="https://manifesto.inc.in/en/women/" TargetMode="External" Id="rId78" /><Relationship Type="http://schemas.openxmlformats.org/officeDocument/2006/relationships/hyperlink" Target="#'Overview'!A14" TargetMode="External" Id="rId79" /><Relationship Type="http://schemas.openxmlformats.org/officeDocument/2006/relationships/hyperlink" Target="#'Sources'!A23" TargetMode="External" Id="rId80" /><Relationship Type="http://schemas.openxmlformats.org/officeDocument/2006/relationships/hyperlink" Target="https://manifesto.inc.in/en/youth/" TargetMode="External" Id="rId81" /><Relationship Type="http://schemas.openxmlformats.org/officeDocument/2006/relationships/hyperlink" Target="#'Overview'!A14" TargetMode="External" Id="rId82" /><Relationship Type="http://schemas.openxmlformats.org/officeDocument/2006/relationships/hyperlink" Target="#'Sources'!A24" TargetMode="External" Id="rId83" /><Relationship Type="http://schemas.openxmlformats.org/officeDocument/2006/relationships/hyperlink" Target="https://manifesto.inc.in/en/farmers/" TargetMode="External" Id="rId84" /><Relationship Type="http://schemas.openxmlformats.org/officeDocument/2006/relationships/hyperlink" Target="#'Overview'!A14" TargetMode="External" Id="rId85" /><Relationship Type="http://schemas.openxmlformats.org/officeDocument/2006/relationships/hyperlink" Target="#'Sources'!A38" TargetMode="External" Id="rId86" /><Relationship Type="http://schemas.openxmlformats.org/officeDocument/2006/relationships/hyperlink" Target="https://indianexpress.com/article/india/lok-sabha-rahul-gandhi-women-reservation-bill-obc-quota-8948629/" TargetMode="External" Id="rId87" /><Relationship Type="http://schemas.openxmlformats.org/officeDocument/2006/relationships/hyperlink" Target="#'Overview'!A14" TargetMode="External" Id="rId88" /><Relationship Type="http://schemas.openxmlformats.org/officeDocument/2006/relationships/hyperlink" Target="#'Sources'!A33" TargetMode="External" Id="rId89" /><Relationship Type="http://schemas.openxmlformats.org/officeDocument/2006/relationships/hyperlink" Target="https://www.ndtv.com/india-news/rs-72-000-will-be-given-to-beneficiaries-under-nyay-scheme-rahul-gandhi-2031993" TargetMode="External" Id="rId90" /><Relationship Type="http://schemas.openxmlformats.org/officeDocument/2006/relationships/hyperlink" Target="#'Overview'!A15" TargetMode="External" Id="rId91" /><Relationship Type="http://schemas.openxmlformats.org/officeDocument/2006/relationships/hyperlink" Target="#'Sources'!A39" TargetMode="External" Id="rId92" /><Relationship Type="http://schemas.openxmlformats.org/officeDocument/2006/relationships/hyperlink" Target="https://www.ndtv.com/assembly/i-take-responsibility-says-rahul-gandhi-about-up-results-470319" TargetMode="External" Id="rId93" /><Relationship Type="http://schemas.openxmlformats.org/officeDocument/2006/relationships/hyperlink" Target="#'Overview'!A15" TargetMode="External" Id="rId94" /><Relationship Type="http://schemas.openxmlformats.org/officeDocument/2006/relationships/hyperlink" Target="#'Sources'!A19" TargetMode="External" Id="rId95" /><Relationship Type="http://schemas.openxmlformats.org/officeDocument/2006/relationships/hyperlink" Target="https://www.ndtv.com/india-news/rahul-gandhis-open-letter-full-text-at-times-i-stood-completely-alone-2063455" TargetMode="External" Id="rId96" /><Relationship Type="http://schemas.openxmlformats.org/officeDocument/2006/relationships/hyperlink" Target="#'Overview'!A15" TargetMode="External" Id="rId97" /><Relationship Type="http://schemas.openxmlformats.org/officeDocument/2006/relationships/hyperlink" Target="#'Sources'!A12" TargetMode="External" Id="rId98" /><Relationship Type="http://schemas.openxmlformats.org/officeDocument/2006/relationships/hyperlink" Target="https://adrindia.org/sites/default/files/Analysis_of_Vote_Share_Margin_Of_Victory_Lok_Sabha__2019.pdf" TargetMode="External" Id="rId99" /><Relationship Type="http://schemas.openxmlformats.org/officeDocument/2006/relationships/hyperlink" Target="#'Overview'!A15" TargetMode="External" Id="rId100" /><Relationship Type="http://schemas.openxmlformats.org/officeDocument/2006/relationships/hyperlink" Target="#'Sources'!A31" TargetMode="External" Id="rId101" /><Relationship Type="http://schemas.openxmlformats.org/officeDocument/2006/relationships/hyperlink" Target="https://indianexpress.com/article/political-pulse/congress-camps-bihar-post-mortem-rahul-yatra-fiasco-allavaru-problem-weak-structure-10375553/" TargetMode="External" Id="rId102" /><Relationship Type="http://schemas.openxmlformats.org/officeDocument/2006/relationships/hyperlink" Target="#'Overview'!A16" TargetMode="External" Id="rId103" /><Relationship Type="http://schemas.openxmlformats.org/officeDocument/2006/relationships/hyperlink" Target="#'Sources'!A15" TargetMode="External" Id="rId104" /><Relationship Type="http://schemas.openxmlformats.org/officeDocument/2006/relationships/hyperlink" Target="https://api.sci.gov.in/supremecourt/2023/27941/27941_2023_4_55_45901_Order_04-Aug-2023.pdf" TargetMode="External" Id="rId105" /><Relationship Type="http://schemas.openxmlformats.org/officeDocument/2006/relationships/hyperlink" Target="#'Overview'!A16" TargetMode="External" Id="rId106" /><Relationship Type="http://schemas.openxmlformats.org/officeDocument/2006/relationships/hyperlink" Target="#'Sources'!A17" TargetMode="External" Id="rId107" /><Relationship Type="http://schemas.openxmlformats.org/officeDocument/2006/relationships/hyperlink" Target="https://indianexpress.com/article/legal-news/national-herald-case-gandhis-oppose-ed-plea-private-complaint-10889668/" TargetMode="External" Id="rId108" /><Relationship Type="http://schemas.openxmlformats.org/officeDocument/2006/relationships/hyperlink" Target="#'Overview'!A16" TargetMode="External" Id="rId109" /><Relationship Type="http://schemas.openxmlformats.org/officeDocument/2006/relationships/hyperlink" Target="#'Sources'!A18" TargetMode="External" Id="rId110" /><Relationship Type="http://schemas.openxmlformats.org/officeDocument/2006/relationships/hyperlink" Target="https://www.barandbench.com/news/only-case-where-ed-proceeded-on-private-complaint-sonia-and-rahul-gandhi-to-delhi-high-court-on-national-herald-case" TargetMode="External" Id="rId111" /><Relationship Type="http://schemas.openxmlformats.org/officeDocument/2006/relationships/hyperlink" Target="#'Overview'!A17" TargetMode="External" Id="rId112" /><Relationship Type="http://schemas.openxmlformats.org/officeDocument/2006/relationships/hyperlink" Target="#'Sources'!A9" TargetMode="External" Id="rId113" /><Relationship Type="http://schemas.openxmlformats.org/officeDocument/2006/relationships/hyperlink" Target="https://inc.in/leadership/past-party-presidents/shri-rahul-gandhi" TargetMode="External" Id="rId114" /><Relationship Type="http://schemas.openxmlformats.org/officeDocument/2006/relationships/hyperlink" Target="#'Overview'!A17" TargetMode="External" Id="rId115" /><Relationship Type="http://schemas.openxmlformats.org/officeDocument/2006/relationships/hyperlink" Target="#'Sources'!A10" TargetMode="External" Id="rId116" /><Relationship Type="http://schemas.openxmlformats.org/officeDocument/2006/relationships/hyperlink" Target="https://indianexpress.com/article/explained/explained-politics/rahul-gandhi-turns-53-what-he-was-doing-before-politics-8672843/lite/" TargetMode="External" Id="rId117" /><Relationship Type="http://schemas.openxmlformats.org/officeDocument/2006/relationships/hyperlink" Target="#'Overview'!A17" TargetMode="External" Id="rId118" /><Relationship Type="http://schemas.openxmlformats.org/officeDocument/2006/relationships/hyperlink" Target="#'Sources'!A30" TargetMode="External" Id="rId119" /><Relationship Type="http://schemas.openxmlformats.org/officeDocument/2006/relationships/hyperlink" Target="https://m.thewire.in/article/politics/rahul-gandhi-t-shirt" TargetMode="External" Id="rId120" /><Relationship Type="http://schemas.openxmlformats.org/officeDocument/2006/relationships/hyperlink" Target="#'Overview'!A18" TargetMode="External" Id="rId121" /><Relationship Type="http://schemas.openxmlformats.org/officeDocument/2006/relationships/hyperlink" Target="#'Sources'!A28" TargetMode="External" Id="rId122" /><Relationship Type="http://schemas.openxmlformats.org/officeDocument/2006/relationships/hyperlink" Target="https://www.marketscreener.com/news/latest/Ridiculed-for-a-decade-India-s-Rahul-Gandhi-slows-Modi-juggernaut-46900641/" TargetMode="External" Id="rId123" /><Relationship Type="http://schemas.openxmlformats.org/officeDocument/2006/relationships/hyperlink" Target="#'Overview'!A18" TargetMode="External" Id="rId124" /><Relationship Type="http://schemas.openxmlformats.org/officeDocument/2006/relationships/hyperlink" Target="#'Sources'!A29" TargetMode="External" Id="rId125" /><Relationship Type="http://schemas.openxmlformats.org/officeDocument/2006/relationships/hyperlink" Target="https://carnegieendowment.org/research/2024/09/india-election-bjp-party-politics" TargetMode="External" Id="rId126" /><Relationship Type="http://schemas.openxmlformats.org/officeDocument/2006/relationships/hyperlink" Target="#'Overview'!A18" TargetMode="External" Id="rId127" /><Relationship Type="http://schemas.openxmlformats.org/officeDocument/2006/relationships/hyperlink" Target="#'Sources'!A31" TargetMode="External" Id="rId128" /><Relationship Type="http://schemas.openxmlformats.org/officeDocument/2006/relationships/hyperlink" Target="https://indianexpress.com/article/political-pulse/congress-camps-bihar-post-mortem-rahul-yatra-fiasco-allavaru-problem-weak-structure-10375553/" TargetMode="External" Id="rId129" /><Relationship Type="http://schemas.openxmlformats.org/officeDocument/2006/relationships/hyperlink" Target="#'Context &amp; Constraints'!A6" TargetMode="External" Id="rId130" /><Relationship Type="http://schemas.openxmlformats.org/officeDocument/2006/relationships/hyperlink" Target="#'Sources'!A29" TargetMode="External" Id="rId131" /><Relationship Type="http://schemas.openxmlformats.org/officeDocument/2006/relationships/hyperlink" Target="https://carnegieendowment.org/research/2024/09/india-election-bjp-party-politics" TargetMode="External" Id="rId132" /><Relationship Type="http://schemas.openxmlformats.org/officeDocument/2006/relationships/hyperlink" Target="#'Context &amp; Constraints'!A6" TargetMode="External" Id="rId133" /><Relationship Type="http://schemas.openxmlformats.org/officeDocument/2006/relationships/hyperlink" Target="#'Sources'!A9" TargetMode="External" Id="rId134" /><Relationship Type="http://schemas.openxmlformats.org/officeDocument/2006/relationships/hyperlink" Target="https://inc.in/leadership/past-party-presidents/shri-rahul-gandhi" TargetMode="External" Id="rId135" /><Relationship Type="http://schemas.openxmlformats.org/officeDocument/2006/relationships/hyperlink" Target="#'Context &amp; Constraints'!A7" TargetMode="External" Id="rId136" /><Relationship Type="http://schemas.openxmlformats.org/officeDocument/2006/relationships/hyperlink" Target="#'Sources'!A43" TargetMode="External" Id="rId137" /><Relationship Type="http://schemas.openxmlformats.org/officeDocument/2006/relationships/hyperlink" Target="https://www.ndtv.com/india-news/rahul-gandhi-calls-ordinance-on-convicted-lawmakers-nonsense-huge-embarrassment-for-pm-535906" TargetMode="External" Id="rId138" /><Relationship Type="http://schemas.openxmlformats.org/officeDocument/2006/relationships/hyperlink" Target="#'Context &amp; Constraints'!A7" TargetMode="External" Id="rId139" /><Relationship Type="http://schemas.openxmlformats.org/officeDocument/2006/relationships/hyperlink" Target="#'Sources'!A44" TargetMode="External" Id="rId140" /><Relationship Type="http://schemas.openxmlformats.org/officeDocument/2006/relationships/hyperlink" Target="https://www.business-standard.com/article/politics/govt-bows-before-rahul-withdraws-ordinance-plan-113100200706_1.html" TargetMode="External" Id="rId141" /><Relationship Type="http://schemas.openxmlformats.org/officeDocument/2006/relationships/hyperlink" Target="#'Context &amp; Constraints'!A8" TargetMode="External" Id="rId142" /><Relationship Type="http://schemas.openxmlformats.org/officeDocument/2006/relationships/hyperlink" Target="#'Sources'!A14" TargetMode="External" Id="rId143" /><Relationship Type="http://schemas.openxmlformats.org/officeDocument/2006/relationships/hyperlink" Target="https://www.elections.in/parliamentary-constituencies/2004-election-results.html" TargetMode="External" Id="rId144" /><Relationship Type="http://schemas.openxmlformats.org/officeDocument/2006/relationships/hyperlink" Target="#'Context &amp; Constraints'!A8" TargetMode="External" Id="rId145" /><Relationship Type="http://schemas.openxmlformats.org/officeDocument/2006/relationships/hyperlink" Target="#'Sources'!A13" TargetMode="External" Id="rId146" /><Relationship Type="http://schemas.openxmlformats.org/officeDocument/2006/relationships/hyperlink" Target="https://www.moneycontrol.com/elections/lok-sabha-election/uttar-pradesh/constituencies/amethi-constituency-s24led2008p037/" TargetMode="External" Id="rId147" /><Relationship Type="http://schemas.openxmlformats.org/officeDocument/2006/relationships/hyperlink" Target="#'Context &amp; Constraints'!A9" TargetMode="External" Id="rId148" /><Relationship Type="http://schemas.openxmlformats.org/officeDocument/2006/relationships/hyperlink" Target="#'Sources'!A9" TargetMode="External" Id="rId149" /><Relationship Type="http://schemas.openxmlformats.org/officeDocument/2006/relationships/hyperlink" Target="https://inc.in/leadership/past-party-presidents/shri-rahul-gandhi" TargetMode="External" Id="rId150" /><Relationship Type="http://schemas.openxmlformats.org/officeDocument/2006/relationships/hyperlink" Target="#'Context &amp; Constraints'!A10" TargetMode="External" Id="rId151" /><Relationship Type="http://schemas.openxmlformats.org/officeDocument/2006/relationships/hyperlink" Target="#'Sources'!A10" TargetMode="External" Id="rId152" /><Relationship Type="http://schemas.openxmlformats.org/officeDocument/2006/relationships/hyperlink" Target="https://indianexpress.com/article/explained/explained-politics/rahul-gandhi-turns-53-what-he-was-doing-before-politics-8672843/lite/" TargetMode="External" Id="rId153" /><Relationship Type="http://schemas.openxmlformats.org/officeDocument/2006/relationships/hyperlink" Target="#'Context &amp; Constraints'!A11" TargetMode="External" Id="rId154" /><Relationship Type="http://schemas.openxmlformats.org/officeDocument/2006/relationships/hyperlink" Target="#'Sources'!A39" TargetMode="External" Id="rId155" /><Relationship Type="http://schemas.openxmlformats.org/officeDocument/2006/relationships/hyperlink" Target="https://www.ndtv.com/assembly/i-take-responsibility-says-rahul-gandhi-about-up-results-470319" TargetMode="External" Id="rId156" /><Relationship Type="http://schemas.openxmlformats.org/officeDocument/2006/relationships/hyperlink" Target="#'Context &amp; Constraints'!A12" TargetMode="External" Id="rId157" /><Relationship Type="http://schemas.openxmlformats.org/officeDocument/2006/relationships/hyperlink" Target="#'Sources'!A26" TargetMode="External" Id="rId158" /><Relationship Type="http://schemas.openxmlformats.org/officeDocument/2006/relationships/hyperlink" Target="https://indianexpress.com/article/political-pulse/in-kerala-youth-cong-dissent-over-rahuls-internal-election-system/" TargetMode="External" Id="rId159" /><Relationship Type="http://schemas.openxmlformats.org/officeDocument/2006/relationships/hyperlink" Target="#'Context &amp; Constraints'!A12" TargetMode="External" Id="rId160" /><Relationship Type="http://schemas.openxmlformats.org/officeDocument/2006/relationships/hyperlink" Target="#'Sources'!A27" TargetMode="External" Id="rId161" /><Relationship Type="http://schemas.openxmlformats.org/officeDocument/2006/relationships/hyperlink" Target="https://timesofindia.indiatimes.com/india/youth-congress-to-retain-internal-polls/articleshow/36734347.cms" TargetMode="External" Id="rId162" /><Relationship Type="http://schemas.openxmlformats.org/officeDocument/2006/relationships/hyperlink" Target="#'Context &amp; Constraints'!A13" TargetMode="External" Id="rId163" /><Relationship Type="http://schemas.openxmlformats.org/officeDocument/2006/relationships/hyperlink" Target="#'Sources'!A9" TargetMode="External" Id="rId164" /><Relationship Type="http://schemas.openxmlformats.org/officeDocument/2006/relationships/hyperlink" Target="https://inc.in/leadership/past-party-presidents/shri-rahul-gandhi" TargetMode="External" Id="rId165" /><Relationship Type="http://schemas.openxmlformats.org/officeDocument/2006/relationships/hyperlink" Target="#'Context &amp; Constraints'!A13" TargetMode="External" Id="rId166" /><Relationship Type="http://schemas.openxmlformats.org/officeDocument/2006/relationships/hyperlink" Target="#'Sources'!A39" TargetMode="External" Id="rId167" /><Relationship Type="http://schemas.openxmlformats.org/officeDocument/2006/relationships/hyperlink" Target="https://www.ndtv.com/assembly/i-take-responsibility-says-rahul-gandhi-about-up-results-470319" TargetMode="External" Id="rId168" /><Relationship Type="http://schemas.openxmlformats.org/officeDocument/2006/relationships/hyperlink" Target="#'Context &amp; Constraints'!A14" TargetMode="External" Id="rId169" /><Relationship Type="http://schemas.openxmlformats.org/officeDocument/2006/relationships/hyperlink" Target="#'Sources'!A14" TargetMode="External" Id="rId170" /><Relationship Type="http://schemas.openxmlformats.org/officeDocument/2006/relationships/hyperlink" Target="https://www.elections.in/parliamentary-constituencies/2004-election-results.html" TargetMode="External" Id="rId171" /><Relationship Type="http://schemas.openxmlformats.org/officeDocument/2006/relationships/hyperlink" Target="#'Context &amp; Constraints'!A14" TargetMode="External" Id="rId172" /><Relationship Type="http://schemas.openxmlformats.org/officeDocument/2006/relationships/hyperlink" Target="#'Sources'!A13" TargetMode="External" Id="rId173" /><Relationship Type="http://schemas.openxmlformats.org/officeDocument/2006/relationships/hyperlink" Target="https://www.moneycontrol.com/elections/lok-sabha-election/uttar-pradesh/constituencies/amethi-constituency-s24led2008p037/" TargetMode="External" Id="rId174" /><Relationship Type="http://schemas.openxmlformats.org/officeDocument/2006/relationships/hyperlink" Target="#'Context &amp; Constraints'!A14" TargetMode="External" Id="rId175" /><Relationship Type="http://schemas.openxmlformats.org/officeDocument/2006/relationships/hyperlink" Target="#'Sources'!A39" TargetMode="External" Id="rId176" /><Relationship Type="http://schemas.openxmlformats.org/officeDocument/2006/relationships/hyperlink" Target="https://www.ndtv.com/assembly/i-take-responsibility-says-rahul-gandhi-about-up-results-470319" TargetMode="External" Id="rId177" /><Relationship Type="http://schemas.openxmlformats.org/officeDocument/2006/relationships/hyperlink" Target="#'Context &amp; Constraints'!A15" TargetMode="External" Id="rId178" /><Relationship Type="http://schemas.openxmlformats.org/officeDocument/2006/relationships/hyperlink" Target="#'Sources'!A9" TargetMode="External" Id="rId179" /><Relationship Type="http://schemas.openxmlformats.org/officeDocument/2006/relationships/hyperlink" Target="https://inc.in/leadership/past-party-presidents/shri-rahul-gandhi" TargetMode="External" Id="rId180" /><Relationship Type="http://schemas.openxmlformats.org/officeDocument/2006/relationships/hyperlink" Target="#'Context &amp; Constraints'!A15" TargetMode="External" Id="rId181" /><Relationship Type="http://schemas.openxmlformats.org/officeDocument/2006/relationships/hyperlink" Target="#'Sources'!A14" TargetMode="External" Id="rId182" /><Relationship Type="http://schemas.openxmlformats.org/officeDocument/2006/relationships/hyperlink" Target="https://www.elections.in/parliamentary-constituencies/2004-election-results.html" TargetMode="External" Id="rId183" /><Relationship Type="http://schemas.openxmlformats.org/officeDocument/2006/relationships/hyperlink" Target="#'Context &amp; Constraints'!A15" TargetMode="External" Id="rId184" /><Relationship Type="http://schemas.openxmlformats.org/officeDocument/2006/relationships/hyperlink" Target="#'Sources'!A13" TargetMode="External" Id="rId185" /><Relationship Type="http://schemas.openxmlformats.org/officeDocument/2006/relationships/hyperlink" Target="https://www.moneycontrol.com/elections/lok-sabha-election/uttar-pradesh/constituencies/amethi-constituency-s24led2008p037/" TargetMode="External" Id="rId186" /><Relationship Type="http://schemas.openxmlformats.org/officeDocument/2006/relationships/hyperlink" Target="#'Context &amp; Constraints'!A16" TargetMode="External" Id="rId187" /><Relationship Type="http://schemas.openxmlformats.org/officeDocument/2006/relationships/hyperlink" Target="#'Sources'!A29" TargetMode="External" Id="rId188" /><Relationship Type="http://schemas.openxmlformats.org/officeDocument/2006/relationships/hyperlink" Target="https://carnegieendowment.org/research/2024/09/india-election-bjp-party-politics" TargetMode="External" Id="rId189" /><Relationship Type="http://schemas.openxmlformats.org/officeDocument/2006/relationships/hyperlink" Target="#'Context &amp; Constraints'!A16" TargetMode="External" Id="rId190" /><Relationship Type="http://schemas.openxmlformats.org/officeDocument/2006/relationships/hyperlink" Target="#'Sources'!A19" TargetMode="External" Id="rId191" /><Relationship Type="http://schemas.openxmlformats.org/officeDocument/2006/relationships/hyperlink" Target="https://www.ndtv.com/india-news/rahul-gandhis-open-letter-full-text-at-times-i-stood-completely-alone-2063455" TargetMode="External" Id="rId192" /><Relationship Type="http://schemas.openxmlformats.org/officeDocument/2006/relationships/hyperlink" Target="#'Context &amp; Constraints'!A17" TargetMode="External" Id="rId193" /><Relationship Type="http://schemas.openxmlformats.org/officeDocument/2006/relationships/hyperlink" Target="#'Sources'!A37" TargetMode="External" Id="rId194" /><Relationship Type="http://schemas.openxmlformats.org/officeDocument/2006/relationships/hyperlink" Target="https://prsindia.org/billtrack/the-right-to-fair-compensation-and-transparency-in-land-acquisition-rehabilitation-and-resettlement-second-amendment-bill-2015" TargetMode="External" Id="rId195" /><Relationship Type="http://schemas.openxmlformats.org/officeDocument/2006/relationships/hyperlink" Target="#'Context &amp; Constraints'!A17" TargetMode="External" Id="rId196" /><Relationship Type="http://schemas.openxmlformats.org/officeDocument/2006/relationships/hyperlink" Target="#'Sources'!A42" TargetMode="External" Id="rId197" /><Relationship Type="http://schemas.openxmlformats.org/officeDocument/2006/relationships/hyperlink" Target="https://economictimes.indiatimes.com/news/politics-and-nation/rahul-gandhi-vows-to-oppose-land-bill-inside-and-outside-parliament/articleshow/47249971.cms" TargetMode="External" Id="rId198" /><Relationship Type="http://schemas.openxmlformats.org/officeDocument/2006/relationships/hyperlink" Target="#'Context &amp; Constraints'!A18" TargetMode="External" Id="rId199" /><Relationship Type="http://schemas.openxmlformats.org/officeDocument/2006/relationships/hyperlink" Target="#'Sources'!A13" TargetMode="External" Id="rId200" /><Relationship Type="http://schemas.openxmlformats.org/officeDocument/2006/relationships/hyperlink" Target="https://www.moneycontrol.com/elections/lok-sabha-election/uttar-pradesh/constituencies/amethi-constituency-s24led2008p037/" TargetMode="External" Id="rId201" /><Relationship Type="http://schemas.openxmlformats.org/officeDocument/2006/relationships/hyperlink" Target="#'Context &amp; Constraints'!A18" TargetMode="External" Id="rId202" /><Relationship Type="http://schemas.openxmlformats.org/officeDocument/2006/relationships/hyperlink" Target="#'Sources'!A12" TargetMode="External" Id="rId203" /><Relationship Type="http://schemas.openxmlformats.org/officeDocument/2006/relationships/hyperlink" Target="https://adrindia.org/sites/default/files/Analysis_of_Vote_Share_Margin_Of_Victory_Lok_Sabha__2019.pdf" TargetMode="External" Id="rId204" /><Relationship Type="http://schemas.openxmlformats.org/officeDocument/2006/relationships/hyperlink" Target="#'Context &amp; Constraints'!A18" TargetMode="External" Id="rId205" /><Relationship Type="http://schemas.openxmlformats.org/officeDocument/2006/relationships/hyperlink" Target="#'Sources'!A46" TargetMode="External" Id="rId206" /><Relationship Type="http://schemas.openxmlformats.org/officeDocument/2006/relationships/hyperlink" Target="https://www.ceo.kerala.gov.in/electedmembers" TargetMode="External" Id="rId207" /><Relationship Type="http://schemas.openxmlformats.org/officeDocument/2006/relationships/hyperlink" Target="#'Context &amp; Constraints'!A19" TargetMode="External" Id="rId208" /><Relationship Type="http://schemas.openxmlformats.org/officeDocument/2006/relationships/hyperlink" Target="#'Sources'!A42" TargetMode="External" Id="rId209" /><Relationship Type="http://schemas.openxmlformats.org/officeDocument/2006/relationships/hyperlink" Target="https://economictimes.indiatimes.com/news/politics-and-nation/rahul-gandhi-vows-to-oppose-land-bill-inside-and-outside-parliament/articleshow/47249971.cms" TargetMode="External" Id="rId210" /><Relationship Type="http://schemas.openxmlformats.org/officeDocument/2006/relationships/hyperlink" Target="#'Context &amp; Constraints'!A19" TargetMode="External" Id="rId211" /><Relationship Type="http://schemas.openxmlformats.org/officeDocument/2006/relationships/hyperlink" Target="#'Sources'!A33" TargetMode="External" Id="rId212" /><Relationship Type="http://schemas.openxmlformats.org/officeDocument/2006/relationships/hyperlink" Target="https://www.ndtv.com/india-news/rs-72-000-will-be-given-to-beneficiaries-under-nyay-scheme-rahul-gandhi-2031993" TargetMode="External" Id="rId213" /><Relationship Type="http://schemas.openxmlformats.org/officeDocument/2006/relationships/hyperlink" Target="#'Context &amp; Constraints'!A19" TargetMode="External" Id="rId214" /><Relationship Type="http://schemas.openxmlformats.org/officeDocument/2006/relationships/hyperlink" Target="#'Sources'!A19" TargetMode="External" Id="rId215" /><Relationship Type="http://schemas.openxmlformats.org/officeDocument/2006/relationships/hyperlink" Target="https://www.ndtv.com/india-news/rahul-gandhis-open-letter-full-text-at-times-i-stood-completely-alone-2063455" TargetMode="External" Id="rId216" /><Relationship Type="http://schemas.openxmlformats.org/officeDocument/2006/relationships/hyperlink" Target="#'Context &amp; Constraints'!A20" TargetMode="External" Id="rId217" /><Relationship Type="http://schemas.openxmlformats.org/officeDocument/2006/relationships/hyperlink" Target="#'Sources'!A19" TargetMode="External" Id="rId218" /><Relationship Type="http://schemas.openxmlformats.org/officeDocument/2006/relationships/hyperlink" Target="https://www.ndtv.com/india-news/rahul-gandhis-open-letter-full-text-at-times-i-stood-completely-alone-2063455" TargetMode="External" Id="rId219" /><Relationship Type="http://schemas.openxmlformats.org/officeDocument/2006/relationships/hyperlink" Target="#'Context &amp; Constraints'!A21" TargetMode="External" Id="rId220" /><Relationship Type="http://schemas.openxmlformats.org/officeDocument/2006/relationships/hyperlink" Target="#'Sources'!A19" TargetMode="External" Id="rId221" /><Relationship Type="http://schemas.openxmlformats.org/officeDocument/2006/relationships/hyperlink" Target="https://www.ndtv.com/india-news/rahul-gandhis-open-letter-full-text-at-times-i-stood-completely-alone-2063455" TargetMode="External" Id="rId222" /><Relationship Type="http://schemas.openxmlformats.org/officeDocument/2006/relationships/hyperlink" Target="#'Context &amp; Constraints'!A22" TargetMode="External" Id="rId223" /><Relationship Type="http://schemas.openxmlformats.org/officeDocument/2006/relationships/hyperlink" Target="#'Sources'!A9" TargetMode="External" Id="rId224" /><Relationship Type="http://schemas.openxmlformats.org/officeDocument/2006/relationships/hyperlink" Target="https://inc.in/leadership/past-party-presidents/shri-rahul-gandhi" TargetMode="External" Id="rId225" /><Relationship Type="http://schemas.openxmlformats.org/officeDocument/2006/relationships/hyperlink" Target="#'Context &amp; Constraints'!A22" TargetMode="External" Id="rId226" /><Relationship Type="http://schemas.openxmlformats.org/officeDocument/2006/relationships/hyperlink" Target="#'Sources'!A26" TargetMode="External" Id="rId227" /><Relationship Type="http://schemas.openxmlformats.org/officeDocument/2006/relationships/hyperlink" Target="https://indianexpress.com/article/political-pulse/in-kerala-youth-cong-dissent-over-rahuls-internal-election-system/" TargetMode="External" Id="rId228" /><Relationship Type="http://schemas.openxmlformats.org/officeDocument/2006/relationships/hyperlink" Target="#'Context &amp; Constraints'!A22" TargetMode="External" Id="rId229" /><Relationship Type="http://schemas.openxmlformats.org/officeDocument/2006/relationships/hyperlink" Target="#'Sources'!A27" TargetMode="External" Id="rId230" /><Relationship Type="http://schemas.openxmlformats.org/officeDocument/2006/relationships/hyperlink" Target="https://timesofindia.indiatimes.com/india/youth-congress-to-retain-internal-polls/articleshow/36734347.cms" TargetMode="External" Id="rId231" /><Relationship Type="http://schemas.openxmlformats.org/officeDocument/2006/relationships/hyperlink" Target="#'Context &amp; Constraints'!A22" TargetMode="External" Id="rId232" /><Relationship Type="http://schemas.openxmlformats.org/officeDocument/2006/relationships/hyperlink" Target="#'Sources'!A19" TargetMode="External" Id="rId233" /><Relationship Type="http://schemas.openxmlformats.org/officeDocument/2006/relationships/hyperlink" Target="https://www.ndtv.com/india-news/rahul-gandhis-open-letter-full-text-at-times-i-stood-completely-alone-2063455" TargetMode="External" Id="rId234" /><Relationship Type="http://schemas.openxmlformats.org/officeDocument/2006/relationships/hyperlink" Target="#'Context &amp; Constraints'!A23" TargetMode="External" Id="rId235" /><Relationship Type="http://schemas.openxmlformats.org/officeDocument/2006/relationships/hyperlink" Target="#'Sources'!A42" TargetMode="External" Id="rId236" /><Relationship Type="http://schemas.openxmlformats.org/officeDocument/2006/relationships/hyperlink" Target="https://economictimes.indiatimes.com/news/politics-and-nation/rahul-gandhi-vows-to-oppose-land-bill-inside-and-outside-parliament/articleshow/47249971.cms" TargetMode="External" Id="rId237" /><Relationship Type="http://schemas.openxmlformats.org/officeDocument/2006/relationships/hyperlink" Target="#'Context &amp; Constraints'!A23" TargetMode="External" Id="rId238" /><Relationship Type="http://schemas.openxmlformats.org/officeDocument/2006/relationships/hyperlink" Target="#'Sources'!A33" TargetMode="External" Id="rId239" /><Relationship Type="http://schemas.openxmlformats.org/officeDocument/2006/relationships/hyperlink" Target="https://www.ndtv.com/india-news/rs-72-000-will-be-given-to-beneficiaries-under-nyay-scheme-rahul-gandhi-2031993" TargetMode="External" Id="rId240" /><Relationship Type="http://schemas.openxmlformats.org/officeDocument/2006/relationships/hyperlink" Target="#'Context &amp; Constraints'!A24" TargetMode="External" Id="rId241" /><Relationship Type="http://schemas.openxmlformats.org/officeDocument/2006/relationships/hyperlink" Target="#'Sources'!A12" TargetMode="External" Id="rId242" /><Relationship Type="http://schemas.openxmlformats.org/officeDocument/2006/relationships/hyperlink" Target="https://adrindia.org/sites/default/files/Analysis_of_Vote_Share_Margin_Of_Victory_Lok_Sabha__2019.pdf" TargetMode="External" Id="rId243" /><Relationship Type="http://schemas.openxmlformats.org/officeDocument/2006/relationships/hyperlink" Target="#'Context &amp; Constraints'!A24" TargetMode="External" Id="rId244" /><Relationship Type="http://schemas.openxmlformats.org/officeDocument/2006/relationships/hyperlink" Target="#'Sources'!A46" TargetMode="External" Id="rId245" /><Relationship Type="http://schemas.openxmlformats.org/officeDocument/2006/relationships/hyperlink" Target="https://www.ceo.kerala.gov.in/electedmembers" TargetMode="External" Id="rId246" /><Relationship Type="http://schemas.openxmlformats.org/officeDocument/2006/relationships/hyperlink" Target="#'Context &amp; Constraints'!A25" TargetMode="External" Id="rId247" /><Relationship Type="http://schemas.openxmlformats.org/officeDocument/2006/relationships/hyperlink" Target="#'Sources'!A26" TargetMode="External" Id="rId248" /><Relationship Type="http://schemas.openxmlformats.org/officeDocument/2006/relationships/hyperlink" Target="https://indianexpress.com/article/political-pulse/in-kerala-youth-cong-dissent-over-rahuls-internal-election-system/" TargetMode="External" Id="rId249" /><Relationship Type="http://schemas.openxmlformats.org/officeDocument/2006/relationships/hyperlink" Target="#'Context &amp; Constraints'!A25" TargetMode="External" Id="rId250" /><Relationship Type="http://schemas.openxmlformats.org/officeDocument/2006/relationships/hyperlink" Target="#'Sources'!A27" TargetMode="External" Id="rId251" /><Relationship Type="http://schemas.openxmlformats.org/officeDocument/2006/relationships/hyperlink" Target="https://timesofindia.indiatimes.com/india/youth-congress-to-retain-internal-polls/articleshow/36734347.cms" TargetMode="External" Id="rId252" /><Relationship Type="http://schemas.openxmlformats.org/officeDocument/2006/relationships/hyperlink" Target="#'Context &amp; Constraints'!A25" TargetMode="External" Id="rId253" /><Relationship Type="http://schemas.openxmlformats.org/officeDocument/2006/relationships/hyperlink" Target="#'Sources'!A13" TargetMode="External" Id="rId254" /><Relationship Type="http://schemas.openxmlformats.org/officeDocument/2006/relationships/hyperlink" Target="https://www.moneycontrol.com/elections/lok-sabha-election/uttar-pradesh/constituencies/amethi-constituency-s24led2008p037/" TargetMode="External" Id="rId255" /><Relationship Type="http://schemas.openxmlformats.org/officeDocument/2006/relationships/hyperlink" Target="#'Context &amp; Constraints'!A26" TargetMode="External" Id="rId256" /><Relationship Type="http://schemas.openxmlformats.org/officeDocument/2006/relationships/hyperlink" Target="#'Sources'!A19" TargetMode="External" Id="rId257" /><Relationship Type="http://schemas.openxmlformats.org/officeDocument/2006/relationships/hyperlink" Target="https://www.ndtv.com/india-news/rahul-gandhis-open-letter-full-text-at-times-i-stood-completely-alone-2063455" TargetMode="External" Id="rId258" /><Relationship Type="http://schemas.openxmlformats.org/officeDocument/2006/relationships/hyperlink" Target="#'Context &amp; Constraints'!A26" TargetMode="External" Id="rId259" /><Relationship Type="http://schemas.openxmlformats.org/officeDocument/2006/relationships/hyperlink" Target="#'Sources'!A28" TargetMode="External" Id="rId260" /><Relationship Type="http://schemas.openxmlformats.org/officeDocument/2006/relationships/hyperlink" Target="https://www.marketscreener.com/news/latest/Ridiculed-for-a-decade-India-s-Rahul-Gandhi-slows-Modi-juggernaut-46900641/" TargetMode="External" Id="rId261" /><Relationship Type="http://schemas.openxmlformats.org/officeDocument/2006/relationships/hyperlink" Target="#'Context &amp; Constraints'!A27" TargetMode="External" Id="rId262" /><Relationship Type="http://schemas.openxmlformats.org/officeDocument/2006/relationships/hyperlink" Target="#'Sources'!A15" TargetMode="External" Id="rId263" /><Relationship Type="http://schemas.openxmlformats.org/officeDocument/2006/relationships/hyperlink" Target="https://api.sci.gov.in/supremecourt/2023/27941/27941_2023_4_55_45901_Order_04-Aug-2023.pdf" TargetMode="External" Id="rId264" /><Relationship Type="http://schemas.openxmlformats.org/officeDocument/2006/relationships/hyperlink" Target="#'Context &amp; Constraints'!A27" TargetMode="External" Id="rId265" /><Relationship Type="http://schemas.openxmlformats.org/officeDocument/2006/relationships/hyperlink" Target="#'Sources'!A16" TargetMode="External" Id="rId266" /><Relationship Type="http://schemas.openxmlformats.org/officeDocument/2006/relationships/hyperlink" Target="https://indianexpress.com/article/political-pulse/rahul-gandhi-returns-mp-lok-sabha-supreme-court-8880307/" TargetMode="External" Id="rId267" /><Relationship Type="http://schemas.openxmlformats.org/officeDocument/2006/relationships/hyperlink" Target="#'Context &amp; Constraints'!A28" TargetMode="External" Id="rId268" /><Relationship Type="http://schemas.openxmlformats.org/officeDocument/2006/relationships/hyperlink" Target="#'Sources'!A47" TargetMode="External" Id="rId269" /><Relationship Type="http://schemas.openxmlformats.org/officeDocument/2006/relationships/hyperlink" Target="https://prsindia.org/mptrack/17-lok-sabha/rahul-gandhi" TargetMode="External" Id="rId270" /><Relationship Type="http://schemas.openxmlformats.org/officeDocument/2006/relationships/hyperlink" Target="#'Context &amp; Constraints'!A28" TargetMode="External" Id="rId271" /><Relationship Type="http://schemas.openxmlformats.org/officeDocument/2006/relationships/hyperlink" Target="#'Sources'!A16" TargetMode="External" Id="rId272" /><Relationship Type="http://schemas.openxmlformats.org/officeDocument/2006/relationships/hyperlink" Target="https://indianexpress.com/article/political-pulse/rahul-gandhi-returns-mp-lok-sabha-supreme-court-8880307/" TargetMode="External" Id="rId273" /><Relationship Type="http://schemas.openxmlformats.org/officeDocument/2006/relationships/hyperlink" Target="#'Context &amp; Constraints'!A29" TargetMode="External" Id="rId274" /><Relationship Type="http://schemas.openxmlformats.org/officeDocument/2006/relationships/hyperlink" Target="#'Sources'!A23" TargetMode="External" Id="rId275" /><Relationship Type="http://schemas.openxmlformats.org/officeDocument/2006/relationships/hyperlink" Target="https://manifesto.inc.in/en/youth/" TargetMode="External" Id="rId276" /><Relationship Type="http://schemas.openxmlformats.org/officeDocument/2006/relationships/hyperlink" Target="#'Context &amp; Constraints'!A29" TargetMode="External" Id="rId277" /><Relationship Type="http://schemas.openxmlformats.org/officeDocument/2006/relationships/hyperlink" Target="#'Sources'!A24" TargetMode="External" Id="rId278" /><Relationship Type="http://schemas.openxmlformats.org/officeDocument/2006/relationships/hyperlink" Target="https://manifesto.inc.in/en/farmers/" TargetMode="External" Id="rId279" /><Relationship Type="http://schemas.openxmlformats.org/officeDocument/2006/relationships/hyperlink" Target="#'Context &amp; Constraints'!A29" TargetMode="External" Id="rId280" /><Relationship Type="http://schemas.openxmlformats.org/officeDocument/2006/relationships/hyperlink" Target="#'Sources'!A22" TargetMode="External" Id="rId281" /><Relationship Type="http://schemas.openxmlformats.org/officeDocument/2006/relationships/hyperlink" Target="https://manifesto.inc.in/en/women/" TargetMode="External" Id="rId282" /><Relationship Type="http://schemas.openxmlformats.org/officeDocument/2006/relationships/hyperlink" Target="#'Context &amp; Constraints'!A30" TargetMode="External" Id="rId283" /><Relationship Type="http://schemas.openxmlformats.org/officeDocument/2006/relationships/hyperlink" Target="#'Sources'!A25" TargetMode="External" Id="rId284" /><Relationship Type="http://schemas.openxmlformats.org/officeDocument/2006/relationships/hyperlink" Target="https://manifesto.inc.in/en/national-security/" TargetMode="External" Id="rId285" /><Relationship Type="http://schemas.openxmlformats.org/officeDocument/2006/relationships/hyperlink" Target="#'Context &amp; Constraints'!A31" TargetMode="External" Id="rId286" /><Relationship Type="http://schemas.openxmlformats.org/officeDocument/2006/relationships/hyperlink" Target="#'Sources'!A20" TargetMode="External" Id="rId287" /><Relationship Type="http://schemas.openxmlformats.org/officeDocument/2006/relationships/hyperlink" Target="https://indianexpress.com/article/political-pulse/rahul-modi-shah-doval-srinagar-bharat-jodo-yatra-8413548/" TargetMode="External" Id="rId288" /><Relationship Type="http://schemas.openxmlformats.org/officeDocument/2006/relationships/hyperlink" Target="#'Context &amp; Constraints'!A31" TargetMode="External" Id="rId289" /><Relationship Type="http://schemas.openxmlformats.org/officeDocument/2006/relationships/hyperlink" Target="#'Sources'!A30" TargetMode="External" Id="rId290" /><Relationship Type="http://schemas.openxmlformats.org/officeDocument/2006/relationships/hyperlink" Target="https://m.thewire.in/article/politics/rahul-gandhi-t-shirt" TargetMode="External" Id="rId291" /><Relationship Type="http://schemas.openxmlformats.org/officeDocument/2006/relationships/hyperlink" Target="#'Context &amp; Constraints'!A31" TargetMode="External" Id="rId292" /><Relationship Type="http://schemas.openxmlformats.org/officeDocument/2006/relationships/hyperlink" Target="#'Sources'!A28" TargetMode="External" Id="rId293" /><Relationship Type="http://schemas.openxmlformats.org/officeDocument/2006/relationships/hyperlink" Target="https://www.marketscreener.com/news/latest/Ridiculed-for-a-decade-India-s-Rahul-Gandhi-slows-Modi-juggernaut-46900641/" TargetMode="External" Id="rId294" /><Relationship Type="http://schemas.openxmlformats.org/officeDocument/2006/relationships/hyperlink" Target="#'Context &amp; Constraints'!A32" TargetMode="External" Id="rId295" /><Relationship Type="http://schemas.openxmlformats.org/officeDocument/2006/relationships/hyperlink" Target="#'Sources'!A9" TargetMode="External" Id="rId296" /><Relationship Type="http://schemas.openxmlformats.org/officeDocument/2006/relationships/hyperlink" Target="https://inc.in/leadership/past-party-presidents/shri-rahul-gandhi" TargetMode="External" Id="rId297" /><Relationship Type="http://schemas.openxmlformats.org/officeDocument/2006/relationships/hyperlink" Target="#'Context &amp; Constraints'!A32" TargetMode="External" Id="rId298" /><Relationship Type="http://schemas.openxmlformats.org/officeDocument/2006/relationships/hyperlink" Target="#'Sources'!A20" TargetMode="External" Id="rId299" /><Relationship Type="http://schemas.openxmlformats.org/officeDocument/2006/relationships/hyperlink" Target="https://indianexpress.com/article/political-pulse/rahul-modi-shah-doval-srinagar-bharat-jodo-yatra-8413548/" TargetMode="External" Id="rId300" /><Relationship Type="http://schemas.openxmlformats.org/officeDocument/2006/relationships/hyperlink" Target="#'Context &amp; Constraints'!A32" TargetMode="External" Id="rId301" /><Relationship Type="http://schemas.openxmlformats.org/officeDocument/2006/relationships/hyperlink" Target="#'Sources'!A28" TargetMode="External" Id="rId302" /><Relationship Type="http://schemas.openxmlformats.org/officeDocument/2006/relationships/hyperlink" Target="https://www.marketscreener.com/news/latest/Ridiculed-for-a-decade-India-s-Rahul-Gandhi-slows-Modi-juggernaut-46900641/" TargetMode="External" Id="rId303" /><Relationship Type="http://schemas.openxmlformats.org/officeDocument/2006/relationships/hyperlink" Target="#'Context &amp; Constraints'!A33" TargetMode="External" Id="rId304" /><Relationship Type="http://schemas.openxmlformats.org/officeDocument/2006/relationships/hyperlink" Target="#'Sources'!A20" TargetMode="External" Id="rId305" /><Relationship Type="http://schemas.openxmlformats.org/officeDocument/2006/relationships/hyperlink" Target="https://indianexpress.com/article/political-pulse/rahul-modi-shah-doval-srinagar-bharat-jodo-yatra-8413548/" TargetMode="External" Id="rId306" /><Relationship Type="http://schemas.openxmlformats.org/officeDocument/2006/relationships/hyperlink" Target="#'Context &amp; Constraints'!A33" TargetMode="External" Id="rId307" /><Relationship Type="http://schemas.openxmlformats.org/officeDocument/2006/relationships/hyperlink" Target="#'Sources'!A21" TargetMode="External" Id="rId308" /><Relationship Type="http://schemas.openxmlformats.org/officeDocument/2006/relationships/hyperlink" Target="https://manifesto.inc.in/en/equity/" TargetMode="External" Id="rId309" /><Relationship Type="http://schemas.openxmlformats.org/officeDocument/2006/relationships/hyperlink" Target="#'Context &amp; Constraints'!A34" TargetMode="External" Id="rId310" /><Relationship Type="http://schemas.openxmlformats.org/officeDocument/2006/relationships/hyperlink" Target="#'Sources'!A47" TargetMode="External" Id="rId311" /><Relationship Type="http://schemas.openxmlformats.org/officeDocument/2006/relationships/hyperlink" Target="https://prsindia.org/mptrack/17-lok-sabha/rahul-gandhi" TargetMode="External" Id="rId312" /><Relationship Type="http://schemas.openxmlformats.org/officeDocument/2006/relationships/hyperlink" Target="#'Context &amp; Constraints'!A34" TargetMode="External" Id="rId313" /><Relationship Type="http://schemas.openxmlformats.org/officeDocument/2006/relationships/hyperlink" Target="#'Sources'!A9" TargetMode="External" Id="rId314" /><Relationship Type="http://schemas.openxmlformats.org/officeDocument/2006/relationships/hyperlink" Target="https://inc.in/leadership/past-party-presidents/shri-rahul-gandhi" TargetMode="External" Id="rId315" /><Relationship Type="http://schemas.openxmlformats.org/officeDocument/2006/relationships/hyperlink" Target="#'Context &amp; Constraints'!A35" TargetMode="External" Id="rId316" /><Relationship Type="http://schemas.openxmlformats.org/officeDocument/2006/relationships/hyperlink" Target="#'Sources'!A15" TargetMode="External" Id="rId317" /><Relationship Type="http://schemas.openxmlformats.org/officeDocument/2006/relationships/hyperlink" Target="https://api.sci.gov.in/supremecourt/2023/27941/27941_2023_4_55_45901_Order_04-Aug-2023.pdf" TargetMode="External" Id="rId318" /><Relationship Type="http://schemas.openxmlformats.org/officeDocument/2006/relationships/hyperlink" Target="#'Context &amp; Constraints'!A35" TargetMode="External" Id="rId319" /><Relationship Type="http://schemas.openxmlformats.org/officeDocument/2006/relationships/hyperlink" Target="#'Sources'!A16" TargetMode="External" Id="rId320" /><Relationship Type="http://schemas.openxmlformats.org/officeDocument/2006/relationships/hyperlink" Target="https://indianexpress.com/article/political-pulse/rahul-gandhi-returns-mp-lok-sabha-supreme-court-8880307/" TargetMode="External" Id="rId321" /><Relationship Type="http://schemas.openxmlformats.org/officeDocument/2006/relationships/hyperlink" Target="#'Context &amp; Constraints'!A36" TargetMode="External" Id="rId322" /><Relationship Type="http://schemas.openxmlformats.org/officeDocument/2006/relationships/hyperlink" Target="#'Sources'!A29" TargetMode="External" Id="rId323" /><Relationship Type="http://schemas.openxmlformats.org/officeDocument/2006/relationships/hyperlink" Target="https://carnegieendowment.org/research/2024/09/india-election-bjp-party-politics" TargetMode="External" Id="rId324" /><Relationship Type="http://schemas.openxmlformats.org/officeDocument/2006/relationships/hyperlink" Target="#'Context &amp; Constraints'!A36" TargetMode="External" Id="rId325" /><Relationship Type="http://schemas.openxmlformats.org/officeDocument/2006/relationships/hyperlink" Target="#'Sources'!A7" TargetMode="External" Id="rId326" /><Relationship Type="http://schemas.openxmlformats.org/officeDocument/2006/relationships/hyperlink" Target="https://sansad.in/ls/about/leader-of-opposition" TargetMode="External" Id="rId327" /><Relationship Type="http://schemas.openxmlformats.org/officeDocument/2006/relationships/hyperlink" Target="#'Context &amp; Constraints'!A37" TargetMode="External" Id="rId328" /><Relationship Type="http://schemas.openxmlformats.org/officeDocument/2006/relationships/hyperlink" Target="#'Sources'!A7" TargetMode="External" Id="rId329" /><Relationship Type="http://schemas.openxmlformats.org/officeDocument/2006/relationships/hyperlink" Target="https://sansad.in/ls/about/leader-of-opposition" TargetMode="External" Id="rId330" /><Relationship Type="http://schemas.openxmlformats.org/officeDocument/2006/relationships/hyperlink" Target="#'Context &amp; Constraints'!A37" TargetMode="External" Id="rId331" /><Relationship Type="http://schemas.openxmlformats.org/officeDocument/2006/relationships/hyperlink" Target="#'Sources'!A8" TargetMode="External" Id="rId332" /><Relationship Type="http://schemas.openxmlformats.org/officeDocument/2006/relationships/hyperlink" Target="https://prsindia.org/mptrack/18-lok-sabha/rahul-gandhi" TargetMode="External" Id="rId333" /><Relationship Type="http://schemas.openxmlformats.org/officeDocument/2006/relationships/hyperlink" Target="#'Context &amp; Constraints'!A38" TargetMode="External" Id="rId334" /><Relationship Type="http://schemas.openxmlformats.org/officeDocument/2006/relationships/hyperlink" Target="#'Sources'!A11" TargetMode="External" Id="rId335" /><Relationship Type="http://schemas.openxmlformats.org/officeDocument/2006/relationships/hyperlink" Target="https://www.eci.gov.in/eci-backend/public/all_files/GE-2024-statistical-report/33-Constituency-Wise-Detailed-Result.pdf" TargetMode="External" Id="rId336" /><Relationship Type="http://schemas.openxmlformats.org/officeDocument/2006/relationships/hyperlink" Target="#'Context &amp; Constraints'!A38" TargetMode="External" Id="rId337" /><Relationship Type="http://schemas.openxmlformats.org/officeDocument/2006/relationships/hyperlink" Target="#'Sources'!A48" TargetMode="External" Id="rId338" /><Relationship Type="http://schemas.openxmlformats.org/officeDocument/2006/relationships/hyperlink" Target="https://www.ndtv.com/india-news/rahul-gandhi-resigns-from-wayanad-seat-retains-raebareli-5918402" TargetMode="External" Id="rId339" /><Relationship Type="http://schemas.openxmlformats.org/officeDocument/2006/relationships/hyperlink" Target="#'Context &amp; Constraints'!A38" TargetMode="External" Id="rId340" /><Relationship Type="http://schemas.openxmlformats.org/officeDocument/2006/relationships/hyperlink" Target="#'Sources'!A31" TargetMode="External" Id="rId341" /><Relationship Type="http://schemas.openxmlformats.org/officeDocument/2006/relationships/hyperlink" Target="https://indianexpress.com/article/political-pulse/congress-camps-bihar-post-mortem-rahul-yatra-fiasco-allavaru-problem-weak-structure-10375553/" TargetMode="External" Id="rId342" /><Relationship Type="http://schemas.openxmlformats.org/officeDocument/2006/relationships/hyperlink" Target="#'Context &amp; Constraints'!A39" TargetMode="External" Id="rId343" /><Relationship Type="http://schemas.openxmlformats.org/officeDocument/2006/relationships/hyperlink" Target="#'Sources'!A8" TargetMode="External" Id="rId344" /><Relationship Type="http://schemas.openxmlformats.org/officeDocument/2006/relationships/hyperlink" Target="https://prsindia.org/mptrack/18-lok-sabha/rahul-gandhi" TargetMode="External" Id="rId345" /><Relationship Type="http://schemas.openxmlformats.org/officeDocument/2006/relationships/hyperlink" Target="#'Context &amp; Constraints'!A39" TargetMode="External" Id="rId346" /><Relationship Type="http://schemas.openxmlformats.org/officeDocument/2006/relationships/hyperlink" Target="#'Sources'!A22" TargetMode="External" Id="rId347" /><Relationship Type="http://schemas.openxmlformats.org/officeDocument/2006/relationships/hyperlink" Target="https://manifesto.inc.in/en/women/" TargetMode="External" Id="rId348" /><Relationship Type="http://schemas.openxmlformats.org/officeDocument/2006/relationships/hyperlink" Target="#'Context &amp; Constraints'!A39" TargetMode="External" Id="rId349" /><Relationship Type="http://schemas.openxmlformats.org/officeDocument/2006/relationships/hyperlink" Target="#'Sources'!A23" TargetMode="External" Id="rId350" /><Relationship Type="http://schemas.openxmlformats.org/officeDocument/2006/relationships/hyperlink" Target="https://manifesto.inc.in/en/youth/" TargetMode="External" Id="rId351" /><Relationship Type="http://schemas.openxmlformats.org/officeDocument/2006/relationships/hyperlink" Target="#'Context &amp; Constraints'!A40" TargetMode="External" Id="rId352" /><Relationship Type="http://schemas.openxmlformats.org/officeDocument/2006/relationships/hyperlink" Target="#'Sources'!A25" TargetMode="External" Id="rId353" /><Relationship Type="http://schemas.openxmlformats.org/officeDocument/2006/relationships/hyperlink" Target="https://manifesto.inc.in/en/national-security/" TargetMode="External" Id="rId354" /><Relationship Type="http://schemas.openxmlformats.org/officeDocument/2006/relationships/hyperlink" Target="#'Context &amp; Constraints'!A40" TargetMode="External" Id="rId355" /><Relationship Type="http://schemas.openxmlformats.org/officeDocument/2006/relationships/hyperlink" Target="#'Sources'!A7" TargetMode="External" Id="rId356" /><Relationship Type="http://schemas.openxmlformats.org/officeDocument/2006/relationships/hyperlink" Target="https://sansad.in/ls/about/leader-of-opposition" TargetMode="External" Id="rId357" /><Relationship Type="http://schemas.openxmlformats.org/officeDocument/2006/relationships/hyperlink" Target="#'Context &amp; Constraints'!A41" TargetMode="External" Id="rId358" /><Relationship Type="http://schemas.openxmlformats.org/officeDocument/2006/relationships/hyperlink" Target="#'Sources'!A36" TargetMode="External" Id="rId359" /><Relationship Type="http://schemas.openxmlformats.org/officeDocument/2006/relationships/hyperlink" Target="https://indianexpress.com/article/india/rahul-gandhi-vote-chori-cec-gyanesh-kumar-protecting-killing-democracy-10257103/" TargetMode="External" Id="rId360" /><Relationship Type="http://schemas.openxmlformats.org/officeDocument/2006/relationships/hyperlink" Target="#'Context &amp; Constraints'!A41" TargetMode="External" Id="rId361" /><Relationship Type="http://schemas.openxmlformats.org/officeDocument/2006/relationships/hyperlink" Target="#'Sources'!A35" TargetMode="External" Id="rId362" /><Relationship Type="http://schemas.openxmlformats.org/officeDocument/2006/relationships/hyperlink" Target="https://timesofindia.indiatimes.com/india/rahul-gandhi-press-conference-on-ec-gyanesh-kumar-resignation-sir-congress-vote-chori-election-bjp/articleshow/134457370.cms" TargetMode="External" Id="rId363" /><Relationship Type="http://schemas.openxmlformats.org/officeDocument/2006/relationships/hyperlink" Target="#'Context &amp; Constraints'!A42" TargetMode="External" Id="rId364" /><Relationship Type="http://schemas.openxmlformats.org/officeDocument/2006/relationships/hyperlink" Target="#'Sources'!A31" TargetMode="External" Id="rId365" /><Relationship Type="http://schemas.openxmlformats.org/officeDocument/2006/relationships/hyperlink" Target="https://indianexpress.com/article/political-pulse/congress-camps-bihar-post-mortem-rahul-yatra-fiasco-allavaru-problem-weak-structure-10375553/" TargetMode="External" Id="rId366" /><Relationship Type="http://schemas.openxmlformats.org/officeDocument/2006/relationships/hyperlink" Target="#'Context &amp; Constraints'!A42" TargetMode="External" Id="rId367" /><Relationship Type="http://schemas.openxmlformats.org/officeDocument/2006/relationships/hyperlink" Target="#'Sources'!A32" TargetMode="External" Id="rId368" /><Relationship Type="http://schemas.openxmlformats.org/officeDocument/2006/relationships/hyperlink" Target="https://indianexpress.com/article/political-pulse/rahul-equallyresponsible-bihar-loss-poll-review-10390484/" TargetMode="External" Id="rId369" /><Relationship Type="http://schemas.openxmlformats.org/officeDocument/2006/relationships/hyperlink" Target="#'Context &amp; Constraints'!A43" TargetMode="External" Id="rId370" /><Relationship Type="http://schemas.openxmlformats.org/officeDocument/2006/relationships/hyperlink" Target="#'Sources'!A40" TargetMode="External" Id="rId371" /><Relationship Type="http://schemas.openxmlformats.org/officeDocument/2006/relationships/hyperlink" Target="https://indianexpress.com/article/india/rahul-gandhi-caste-census-population-congress-centre-cabinet-9975117/" TargetMode="External" Id="rId372" /><Relationship Type="http://schemas.openxmlformats.org/officeDocument/2006/relationships/hyperlink" Target="#'Context &amp; Constraints'!A43" TargetMode="External" Id="rId373" /><Relationship Type="http://schemas.openxmlformats.org/officeDocument/2006/relationships/hyperlink" Target="#'Sources'!A41" TargetMode="External" Id="rId374" /><Relationship Type="http://schemas.openxmlformats.org/officeDocument/2006/relationships/hyperlink" Target="https://www.pib.gov.in/PressReleasePage.aspx?PRID=2125576" TargetMode="External" Id="rId375" /><Relationship Type="http://schemas.openxmlformats.org/officeDocument/2006/relationships/hyperlink" Target="#'Context &amp; Constraints'!A44" TargetMode="External" Id="rId376" /><Relationship Type="http://schemas.openxmlformats.org/officeDocument/2006/relationships/hyperlink" Target="#'Sources'!A8" TargetMode="External" Id="rId377" /><Relationship Type="http://schemas.openxmlformats.org/officeDocument/2006/relationships/hyperlink" Target="https://prsindia.org/mptrack/18-lok-sabha/rahul-gandhi" TargetMode="External" Id="rId378" /><Relationship Type="http://schemas.openxmlformats.org/officeDocument/2006/relationships/hyperlink" Target="#'Context &amp; Constraints'!A44" TargetMode="External" Id="rId379" /><Relationship Type="http://schemas.openxmlformats.org/officeDocument/2006/relationships/hyperlink" Target="#'Sources'!A48" TargetMode="External" Id="rId380" /><Relationship Type="http://schemas.openxmlformats.org/officeDocument/2006/relationships/hyperlink" Target="https://www.ndtv.com/india-news/rahul-gandhi-resigns-from-wayanad-seat-retains-raebareli-5918402" TargetMode="External" Id="rId381" /><Relationship Type="http://schemas.openxmlformats.org/officeDocument/2006/relationships/hyperlink" Target="#'Context &amp; Constraints'!A45" TargetMode="External" Id="rId382" /><Relationship Type="http://schemas.openxmlformats.org/officeDocument/2006/relationships/hyperlink" Target="#'Sources'!A8" TargetMode="External" Id="rId383" /><Relationship Type="http://schemas.openxmlformats.org/officeDocument/2006/relationships/hyperlink" Target="https://prsindia.org/mptrack/18-lok-sabha/rahul-gandhi" TargetMode="External" Id="rId384" /><Relationship Type="http://schemas.openxmlformats.org/officeDocument/2006/relationships/hyperlink" Target="#'Context &amp; Constraints'!A45" TargetMode="External" Id="rId385" /><Relationship Type="http://schemas.openxmlformats.org/officeDocument/2006/relationships/hyperlink" Target="#'Sources'!A17" TargetMode="External" Id="rId386" /><Relationship Type="http://schemas.openxmlformats.org/officeDocument/2006/relationships/hyperlink" Target="https://indianexpress.com/article/legal-news/national-herald-case-gandhis-oppose-ed-plea-private-complaint-10889668/" TargetMode="External" Id="rId387" /><Relationship Type="http://schemas.openxmlformats.org/officeDocument/2006/relationships/hyperlink" Target="#'Context &amp; Constraints'!A45" TargetMode="External" Id="rId388" /><Relationship Type="http://schemas.openxmlformats.org/officeDocument/2006/relationships/hyperlink" Target="#'Sources'!A18" TargetMode="External" Id="rId389" /><Relationship Type="http://schemas.openxmlformats.org/officeDocument/2006/relationships/hyperlink" Target="https://www.barandbench.com/news/only-case-where-ed-proceeded-on-private-complaint-sonia-and-rahul-gandhi-to-delhi-high-court-on-national-herald-case" TargetMode="External" Id="rId390" /><Relationship Type="http://schemas.openxmlformats.org/officeDocument/2006/relationships/hyperlink" Target="#'Context &amp; Constraints'!A46" TargetMode="External" Id="rId391" /><Relationship Type="http://schemas.openxmlformats.org/officeDocument/2006/relationships/hyperlink" Target="#'Sources'!A9" TargetMode="External" Id="rId392" /><Relationship Type="http://schemas.openxmlformats.org/officeDocument/2006/relationships/hyperlink" Target="https://inc.in/leadership/past-party-presidents/shri-rahul-gandhi" TargetMode="External" Id="rId393" /><Relationship Type="http://schemas.openxmlformats.org/officeDocument/2006/relationships/hyperlink" Target="#'Context &amp; Constraints'!A46" TargetMode="External" Id="rId394" /><Relationship Type="http://schemas.openxmlformats.org/officeDocument/2006/relationships/hyperlink" Target="#'Sources'!A10" TargetMode="External" Id="rId395" /><Relationship Type="http://schemas.openxmlformats.org/officeDocument/2006/relationships/hyperlink" Target="https://indianexpress.com/article/explained/explained-politics/rahul-gandhi-turns-53-what-he-was-doing-before-politics-8672843/lite/" TargetMode="External" Id="rId396" /><Relationship Type="http://schemas.openxmlformats.org/officeDocument/2006/relationships/hyperlink" Target="#'Context &amp; Constraints'!A46" TargetMode="External" Id="rId397" /><Relationship Type="http://schemas.openxmlformats.org/officeDocument/2006/relationships/hyperlink" Target="#'Sources'!A28" TargetMode="External" Id="rId398" /><Relationship Type="http://schemas.openxmlformats.org/officeDocument/2006/relationships/hyperlink" Target="https://www.marketscreener.com/news/latest/Ridiculed-for-a-decade-India-s-Rahul-Gandhi-slows-Modi-juggernaut-46900641/" TargetMode="External" Id="rId399" /><Relationship Type="http://schemas.openxmlformats.org/officeDocument/2006/relationships/hyperlink" Target="#'Context &amp; Constraints'!A47" TargetMode="External" Id="rId400" /><Relationship Type="http://schemas.openxmlformats.org/officeDocument/2006/relationships/hyperlink" Target="#'Sources'!A7" TargetMode="External" Id="rId401" /><Relationship Type="http://schemas.openxmlformats.org/officeDocument/2006/relationships/hyperlink" Target="https://sansad.in/ls/about/leader-of-opposition" TargetMode="External" Id="rId402" /><Relationship Type="http://schemas.openxmlformats.org/officeDocument/2006/relationships/hyperlink" Target="#'Context &amp; Constraints'!A47" TargetMode="External" Id="rId403" /><Relationship Type="http://schemas.openxmlformats.org/officeDocument/2006/relationships/hyperlink" Target="#'Sources'!A9" TargetMode="External" Id="rId404" /><Relationship Type="http://schemas.openxmlformats.org/officeDocument/2006/relationships/hyperlink" Target="https://inc.in/leadership/past-party-presidents/shri-rahul-gandhi" TargetMode="External" Id="rId405" /><Relationship Type="http://schemas.openxmlformats.org/officeDocument/2006/relationships/hyperlink" Target="#'Context &amp; Constraints'!A48" TargetMode="External" Id="rId406" /><Relationship Type="http://schemas.openxmlformats.org/officeDocument/2006/relationships/hyperlink" Target="#'Sources'!A9" TargetMode="External" Id="rId407" /><Relationship Type="http://schemas.openxmlformats.org/officeDocument/2006/relationships/hyperlink" Target="https://inc.in/leadership/past-party-presidents/shri-rahul-gandhi" TargetMode="External" Id="rId408" /><Relationship Type="http://schemas.openxmlformats.org/officeDocument/2006/relationships/hyperlink" Target="#'Context &amp; Constraints'!A48" TargetMode="External" Id="rId409" /><Relationship Type="http://schemas.openxmlformats.org/officeDocument/2006/relationships/hyperlink" Target="#'Sources'!A10" TargetMode="External" Id="rId410" /><Relationship Type="http://schemas.openxmlformats.org/officeDocument/2006/relationships/hyperlink" Target="https://indianexpress.com/article/explained/explained-politics/rahul-gandhi-turns-53-what-he-was-doing-before-politics-8672843/lite/" TargetMode="External" Id="rId411" /><Relationship Type="http://schemas.openxmlformats.org/officeDocument/2006/relationships/hyperlink" Target="#'Context &amp; Constraints'!A49" TargetMode="External" Id="rId412" /><Relationship Type="http://schemas.openxmlformats.org/officeDocument/2006/relationships/hyperlink" Target="#'Sources'!A9" TargetMode="External" Id="rId413" /><Relationship Type="http://schemas.openxmlformats.org/officeDocument/2006/relationships/hyperlink" Target="https://inc.in/leadership/past-party-presidents/shri-rahul-gandhi" TargetMode="External" Id="rId414" /><Relationship Type="http://schemas.openxmlformats.org/officeDocument/2006/relationships/hyperlink" Target="#'Context &amp; Constraints'!A50" TargetMode="External" Id="rId415" /><Relationship Type="http://schemas.openxmlformats.org/officeDocument/2006/relationships/hyperlink" Target="#'Sources'!A30" TargetMode="External" Id="rId416" /><Relationship Type="http://schemas.openxmlformats.org/officeDocument/2006/relationships/hyperlink" Target="https://m.thewire.in/article/politics/rahul-gandhi-t-shirt" TargetMode="External" Id="rId417" /><Relationship Type="http://schemas.openxmlformats.org/officeDocument/2006/relationships/hyperlink" Target="#'Context &amp; Constraints'!A51" TargetMode="External" Id="rId418" /><Relationship Type="http://schemas.openxmlformats.org/officeDocument/2006/relationships/hyperlink" Target="#'Sources'!A10" TargetMode="External" Id="rId419" /><Relationship Type="http://schemas.openxmlformats.org/officeDocument/2006/relationships/hyperlink" Target="https://indianexpress.com/article/explained/explained-politics/rahul-gandhi-turns-53-what-he-was-doing-before-politics-8672843/lite/" TargetMode="External" Id="rId420" /><Relationship Type="http://schemas.openxmlformats.org/officeDocument/2006/relationships/hyperlink" Target="#'Context &amp; Constraints'!A52" TargetMode="External" Id="rId421" /><Relationship Type="http://schemas.openxmlformats.org/officeDocument/2006/relationships/hyperlink" Target="#'Sources'!A38" TargetMode="External" Id="rId422" /><Relationship Type="http://schemas.openxmlformats.org/officeDocument/2006/relationships/hyperlink" Target="https://indianexpress.com/article/india/lok-sabha-rahul-gandhi-women-reservation-bill-obc-quota-8948629/" TargetMode="External" Id="rId423" /><Relationship Type="http://schemas.openxmlformats.org/officeDocument/2006/relationships/hyperlink" Target="#'Context &amp; Constraints'!A52" TargetMode="External" Id="rId424" /><Relationship Type="http://schemas.openxmlformats.org/officeDocument/2006/relationships/hyperlink" Target="#'Sources'!A22" TargetMode="External" Id="rId425" /><Relationship Type="http://schemas.openxmlformats.org/officeDocument/2006/relationships/hyperlink" Target="https://manifesto.inc.in/en/women/" TargetMode="External" Id="rId426" /><Relationship Type="http://schemas.openxmlformats.org/officeDocument/2006/relationships/hyperlink" Target="#'Context &amp; Constraints'!A53" TargetMode="External" Id="rId427" /><Relationship Type="http://schemas.openxmlformats.org/officeDocument/2006/relationships/hyperlink" Target="#'Sources'!A30" TargetMode="External" Id="rId428" /><Relationship Type="http://schemas.openxmlformats.org/officeDocument/2006/relationships/hyperlink" Target="https://m.thewire.in/article/politics/rahul-gandhi-t-shirt" TargetMode="External" Id="rId429" /><Relationship Type="http://schemas.openxmlformats.org/officeDocument/2006/relationships/hyperlink" Target="#'Context &amp; Constraints'!A54" TargetMode="External" Id="rId430" /><Relationship Type="http://schemas.openxmlformats.org/officeDocument/2006/relationships/hyperlink" Target="#'Sources'!A38" TargetMode="External" Id="rId431" /><Relationship Type="http://schemas.openxmlformats.org/officeDocument/2006/relationships/hyperlink" Target="https://indianexpress.com/article/india/lok-sabha-rahul-gandhi-women-reservation-bill-obc-quota-8948629/" TargetMode="External" Id="rId432" /><Relationship Type="http://schemas.openxmlformats.org/officeDocument/2006/relationships/hyperlink" Target="#'Context &amp; Constraints'!A54" TargetMode="External" Id="rId433" /><Relationship Type="http://schemas.openxmlformats.org/officeDocument/2006/relationships/hyperlink" Target="#'Sources'!A22" TargetMode="External" Id="rId434" /><Relationship Type="http://schemas.openxmlformats.org/officeDocument/2006/relationships/hyperlink" Target="https://manifesto.inc.in/en/women/" TargetMode="External" Id="rId435" /><Relationship Type="http://schemas.openxmlformats.org/officeDocument/2006/relationships/hyperlink" Target="#'Context &amp; Constraints'!A55" TargetMode="External" Id="rId436" /><Relationship Type="http://schemas.openxmlformats.org/officeDocument/2006/relationships/hyperlink" Target="#'Sources'!A30" TargetMode="External" Id="rId437" /><Relationship Type="http://schemas.openxmlformats.org/officeDocument/2006/relationships/hyperlink" Target="https://m.thewire.in/article/politics/rahul-gandhi-t-shirt" TargetMode="External" Id="rId438" /><Relationship Type="http://schemas.openxmlformats.org/officeDocument/2006/relationships/hyperlink" Target="#'Context &amp; Constraints'!A55" TargetMode="External" Id="rId439" /><Relationship Type="http://schemas.openxmlformats.org/officeDocument/2006/relationships/hyperlink" Target="#'Sources'!A38" TargetMode="External" Id="rId440" /><Relationship Type="http://schemas.openxmlformats.org/officeDocument/2006/relationships/hyperlink" Target="https://indianexpress.com/article/india/lok-sabha-rahul-gandhi-women-reservation-bill-obc-quota-8948629/" TargetMode="External" Id="rId441" /><Relationship Type="http://schemas.openxmlformats.org/officeDocument/2006/relationships/hyperlink" Target="#'Context &amp; Constraints'!A55" TargetMode="External" Id="rId442" /><Relationship Type="http://schemas.openxmlformats.org/officeDocument/2006/relationships/hyperlink" Target="#'Sources'!A22" TargetMode="External" Id="rId443" /><Relationship Type="http://schemas.openxmlformats.org/officeDocument/2006/relationships/hyperlink" Target="https://manifesto.inc.in/en/women/" TargetMode="External" Id="rId444" /><Relationship Type="http://schemas.openxmlformats.org/officeDocument/2006/relationships/hyperlink" Target="#'Career Timeline'!A6" TargetMode="External" Id="rId445" /><Relationship Type="http://schemas.openxmlformats.org/officeDocument/2006/relationships/hyperlink" Target="#'Sources'!A9" TargetMode="External" Id="rId446" /><Relationship Type="http://schemas.openxmlformats.org/officeDocument/2006/relationships/hyperlink" Target="https://inc.in/leadership/past-party-presidents/shri-rahul-gandhi" TargetMode="External" Id="rId447" /><Relationship Type="http://schemas.openxmlformats.org/officeDocument/2006/relationships/hyperlink" Target="#'Career Timeline'!A7" TargetMode="External" Id="rId448" /><Relationship Type="http://schemas.openxmlformats.org/officeDocument/2006/relationships/hyperlink" Target="#'Sources'!A10" TargetMode="External" Id="rId449" /><Relationship Type="http://schemas.openxmlformats.org/officeDocument/2006/relationships/hyperlink" Target="https://indianexpress.com/article/explained/explained-politics/rahul-gandhi-turns-53-what-he-was-doing-before-politics-8672843/lite/" TargetMode="External" Id="rId450" /><Relationship Type="http://schemas.openxmlformats.org/officeDocument/2006/relationships/hyperlink" Target="#'Career Timeline'!A8" TargetMode="External" Id="rId451" /><Relationship Type="http://schemas.openxmlformats.org/officeDocument/2006/relationships/hyperlink" Target="#'Sources'!A10" TargetMode="External" Id="rId452" /><Relationship Type="http://schemas.openxmlformats.org/officeDocument/2006/relationships/hyperlink" Target="https://indianexpress.com/article/explained/explained-politics/rahul-gandhi-turns-53-what-he-was-doing-before-politics-8672843/lite/" TargetMode="External" Id="rId453" /><Relationship Type="http://schemas.openxmlformats.org/officeDocument/2006/relationships/hyperlink" Target="#'Career Timeline'!A9" TargetMode="External" Id="rId454" /><Relationship Type="http://schemas.openxmlformats.org/officeDocument/2006/relationships/hyperlink" Target="#'Sources'!A14" TargetMode="External" Id="rId455" /><Relationship Type="http://schemas.openxmlformats.org/officeDocument/2006/relationships/hyperlink" Target="https://www.elections.in/parliamentary-constituencies/2004-election-results.html" TargetMode="External" Id="rId456" /><Relationship Type="http://schemas.openxmlformats.org/officeDocument/2006/relationships/hyperlink" Target="#'Career Timeline'!A9" TargetMode="External" Id="rId457" /><Relationship Type="http://schemas.openxmlformats.org/officeDocument/2006/relationships/hyperlink" Target="#'Sources'!A9" TargetMode="External" Id="rId458" /><Relationship Type="http://schemas.openxmlformats.org/officeDocument/2006/relationships/hyperlink" Target="https://inc.in/leadership/past-party-presidents/shri-rahul-gandhi" TargetMode="External" Id="rId459" /><Relationship Type="http://schemas.openxmlformats.org/officeDocument/2006/relationships/hyperlink" Target="#'Career Timeline'!A10" TargetMode="External" Id="rId460" /><Relationship Type="http://schemas.openxmlformats.org/officeDocument/2006/relationships/hyperlink" Target="#'Sources'!A9" TargetMode="External" Id="rId461" /><Relationship Type="http://schemas.openxmlformats.org/officeDocument/2006/relationships/hyperlink" Target="https://inc.in/leadership/past-party-presidents/shri-rahul-gandhi" TargetMode="External" Id="rId462" /><Relationship Type="http://schemas.openxmlformats.org/officeDocument/2006/relationships/hyperlink" Target="#'Career Timeline'!A11" TargetMode="External" Id="rId463" /><Relationship Type="http://schemas.openxmlformats.org/officeDocument/2006/relationships/hyperlink" Target="#'Sources'!A13" TargetMode="External" Id="rId464" /><Relationship Type="http://schemas.openxmlformats.org/officeDocument/2006/relationships/hyperlink" Target="https://www.moneycontrol.com/elections/lok-sabha-election/uttar-pradesh/constituencies/amethi-constituency-s24led2008p037/" TargetMode="External" Id="rId465" /><Relationship Type="http://schemas.openxmlformats.org/officeDocument/2006/relationships/hyperlink" Target="#'Career Timeline'!A12" TargetMode="External" Id="rId466" /><Relationship Type="http://schemas.openxmlformats.org/officeDocument/2006/relationships/hyperlink" Target="#'Sources'!A9" TargetMode="External" Id="rId467" /><Relationship Type="http://schemas.openxmlformats.org/officeDocument/2006/relationships/hyperlink" Target="https://inc.in/leadership/past-party-presidents/shri-rahul-gandhi" TargetMode="External" Id="rId468" /><Relationship Type="http://schemas.openxmlformats.org/officeDocument/2006/relationships/hyperlink" Target="#'Career Timeline'!A13" TargetMode="External" Id="rId469" /><Relationship Type="http://schemas.openxmlformats.org/officeDocument/2006/relationships/hyperlink" Target="#'Sources'!A39" TargetMode="External" Id="rId470" /><Relationship Type="http://schemas.openxmlformats.org/officeDocument/2006/relationships/hyperlink" Target="https://www.ndtv.com/assembly/i-take-responsibility-says-rahul-gandhi-about-up-results-470319" TargetMode="External" Id="rId471" /><Relationship Type="http://schemas.openxmlformats.org/officeDocument/2006/relationships/hyperlink" Target="#'Career Timeline'!A14" TargetMode="External" Id="rId472" /><Relationship Type="http://schemas.openxmlformats.org/officeDocument/2006/relationships/hyperlink" Target="#'Sources'!A9" TargetMode="External" Id="rId473" /><Relationship Type="http://schemas.openxmlformats.org/officeDocument/2006/relationships/hyperlink" Target="https://inc.in/leadership/past-party-presidents/shri-rahul-gandhi" TargetMode="External" Id="rId474" /><Relationship Type="http://schemas.openxmlformats.org/officeDocument/2006/relationships/hyperlink" Target="#'Career Timeline'!A15" TargetMode="External" Id="rId475" /><Relationship Type="http://schemas.openxmlformats.org/officeDocument/2006/relationships/hyperlink" Target="#'Sources'!A43" TargetMode="External" Id="rId476" /><Relationship Type="http://schemas.openxmlformats.org/officeDocument/2006/relationships/hyperlink" Target="https://www.ndtv.com/india-news/rahul-gandhi-calls-ordinance-on-convicted-lawmakers-nonsense-huge-embarrassment-for-pm-535906" TargetMode="External" Id="rId477" /><Relationship Type="http://schemas.openxmlformats.org/officeDocument/2006/relationships/hyperlink" Target="#'Career Timeline'!A15" TargetMode="External" Id="rId478" /><Relationship Type="http://schemas.openxmlformats.org/officeDocument/2006/relationships/hyperlink" Target="#'Sources'!A44" TargetMode="External" Id="rId479" /><Relationship Type="http://schemas.openxmlformats.org/officeDocument/2006/relationships/hyperlink" Target="https://www.business-standard.com/article/politics/govt-bows-before-rahul-withdraws-ordinance-plan-113100200706_1.html" TargetMode="External" Id="rId480" /><Relationship Type="http://schemas.openxmlformats.org/officeDocument/2006/relationships/hyperlink" Target="#'Career Timeline'!A16" TargetMode="External" Id="rId481" /><Relationship Type="http://schemas.openxmlformats.org/officeDocument/2006/relationships/hyperlink" Target="#'Sources'!A13" TargetMode="External" Id="rId482" /><Relationship Type="http://schemas.openxmlformats.org/officeDocument/2006/relationships/hyperlink" Target="https://www.moneycontrol.com/elections/lok-sabha-election/uttar-pradesh/constituencies/amethi-constituency-s24led2008p037/" TargetMode="External" Id="rId483" /><Relationship Type="http://schemas.openxmlformats.org/officeDocument/2006/relationships/hyperlink" Target="#'Career Timeline'!A16" TargetMode="External" Id="rId484" /><Relationship Type="http://schemas.openxmlformats.org/officeDocument/2006/relationships/hyperlink" Target="#'Sources'!A29" TargetMode="External" Id="rId485" /><Relationship Type="http://schemas.openxmlformats.org/officeDocument/2006/relationships/hyperlink" Target="https://carnegieendowment.org/research/2024/09/india-election-bjp-party-politics" TargetMode="External" Id="rId486" /><Relationship Type="http://schemas.openxmlformats.org/officeDocument/2006/relationships/hyperlink" Target="#'Career Timeline'!A17" TargetMode="External" Id="rId487" /><Relationship Type="http://schemas.openxmlformats.org/officeDocument/2006/relationships/hyperlink" Target="#'Sources'!A42" TargetMode="External" Id="rId488" /><Relationship Type="http://schemas.openxmlformats.org/officeDocument/2006/relationships/hyperlink" Target="https://economictimes.indiatimes.com/news/politics-and-nation/rahul-gandhi-vows-to-oppose-land-bill-inside-and-outside-parliament/articleshow/47249971.cms" TargetMode="External" Id="rId489" /><Relationship Type="http://schemas.openxmlformats.org/officeDocument/2006/relationships/hyperlink" Target="#'Career Timeline'!A18" TargetMode="External" Id="rId490" /><Relationship Type="http://schemas.openxmlformats.org/officeDocument/2006/relationships/hyperlink" Target="#'Sources'!A9" TargetMode="External" Id="rId491" /><Relationship Type="http://schemas.openxmlformats.org/officeDocument/2006/relationships/hyperlink" Target="https://inc.in/leadership/past-party-presidents/shri-rahul-gandhi" TargetMode="External" Id="rId492" /><Relationship Type="http://schemas.openxmlformats.org/officeDocument/2006/relationships/hyperlink" Target="#'Career Timeline'!A19" TargetMode="External" Id="rId493" /><Relationship Type="http://schemas.openxmlformats.org/officeDocument/2006/relationships/hyperlink" Target="#'Sources'!A45" TargetMode="External" Id="rId494" /><Relationship Type="http://schemas.openxmlformats.org/officeDocument/2006/relationships/hyperlink" Target="https://www.ndtv.com/india-news/election-results-2018-live-rajasthan-madhya-pradesh-telangana-chhattisgarh-mizoram-1960481" TargetMode="External" Id="rId495" /><Relationship Type="http://schemas.openxmlformats.org/officeDocument/2006/relationships/hyperlink" Target="#'Career Timeline'!A20" TargetMode="External" Id="rId496" /><Relationship Type="http://schemas.openxmlformats.org/officeDocument/2006/relationships/hyperlink" Target="#'Sources'!A12" TargetMode="External" Id="rId497" /><Relationship Type="http://schemas.openxmlformats.org/officeDocument/2006/relationships/hyperlink" Target="https://adrindia.org/sites/default/files/Analysis_of_Vote_Share_Margin_Of_Victory_Lok_Sabha__2019.pdf" TargetMode="External" Id="rId498" /><Relationship Type="http://schemas.openxmlformats.org/officeDocument/2006/relationships/hyperlink" Target="#'Career Timeline'!A20" TargetMode="External" Id="rId499" /><Relationship Type="http://schemas.openxmlformats.org/officeDocument/2006/relationships/hyperlink" Target="#'Sources'!A19" TargetMode="External" Id="rId500" /><Relationship Type="http://schemas.openxmlformats.org/officeDocument/2006/relationships/hyperlink" Target="https://www.ndtv.com/india-news/rahul-gandhis-open-letter-full-text-at-times-i-stood-completely-alone-2063455" TargetMode="External" Id="rId501" /><Relationship Type="http://schemas.openxmlformats.org/officeDocument/2006/relationships/hyperlink" Target="#'Career Timeline'!A21" TargetMode="External" Id="rId502" /><Relationship Type="http://schemas.openxmlformats.org/officeDocument/2006/relationships/hyperlink" Target="#'Sources'!A19" TargetMode="External" Id="rId503" /><Relationship Type="http://schemas.openxmlformats.org/officeDocument/2006/relationships/hyperlink" Target="https://www.ndtv.com/india-news/rahul-gandhis-open-letter-full-text-at-times-i-stood-completely-alone-2063455" TargetMode="External" Id="rId504" /><Relationship Type="http://schemas.openxmlformats.org/officeDocument/2006/relationships/hyperlink" Target="#'Career Timeline'!A22" TargetMode="External" Id="rId505" /><Relationship Type="http://schemas.openxmlformats.org/officeDocument/2006/relationships/hyperlink" Target="#'Sources'!A34" TargetMode="External" Id="rId506" /><Relationship Type="http://schemas.openxmlformats.org/officeDocument/2006/relationships/hyperlink" Target="https://indianexpress.com/article/india/rafale-case-sc-closes-defamation-case-against-rahul-gandhi-says-he-needs-to-be-more-careful/" TargetMode="External" Id="rId507" /><Relationship Type="http://schemas.openxmlformats.org/officeDocument/2006/relationships/hyperlink" Target="#'Career Timeline'!A23" TargetMode="External" Id="rId508" /><Relationship Type="http://schemas.openxmlformats.org/officeDocument/2006/relationships/hyperlink" Target="#'Sources'!A20" TargetMode="External" Id="rId509" /><Relationship Type="http://schemas.openxmlformats.org/officeDocument/2006/relationships/hyperlink" Target="https://indianexpress.com/article/political-pulse/rahul-modi-shah-doval-srinagar-bharat-jodo-yatra-8413548/" TargetMode="External" Id="rId510" /><Relationship Type="http://schemas.openxmlformats.org/officeDocument/2006/relationships/hyperlink" Target="#'Career Timeline'!A24" TargetMode="External" Id="rId511" /><Relationship Type="http://schemas.openxmlformats.org/officeDocument/2006/relationships/hyperlink" Target="#'Sources'!A15" TargetMode="External" Id="rId512" /><Relationship Type="http://schemas.openxmlformats.org/officeDocument/2006/relationships/hyperlink" Target="https://api.sci.gov.in/supremecourt/2023/27941/27941_2023_4_55_45901_Order_04-Aug-2023.pdf" TargetMode="External" Id="rId513" /><Relationship Type="http://schemas.openxmlformats.org/officeDocument/2006/relationships/hyperlink" Target="#'Career Timeline'!A24" TargetMode="External" Id="rId514" /><Relationship Type="http://schemas.openxmlformats.org/officeDocument/2006/relationships/hyperlink" Target="#'Sources'!A16" TargetMode="External" Id="rId515" /><Relationship Type="http://schemas.openxmlformats.org/officeDocument/2006/relationships/hyperlink" Target="https://indianexpress.com/article/political-pulse/rahul-gandhi-returns-mp-lok-sabha-supreme-court-8880307/" TargetMode="External" Id="rId516" /><Relationship Type="http://schemas.openxmlformats.org/officeDocument/2006/relationships/hyperlink" Target="#'Career Timeline'!A25" TargetMode="External" Id="rId517" /><Relationship Type="http://schemas.openxmlformats.org/officeDocument/2006/relationships/hyperlink" Target="#'Sources'!A9" TargetMode="External" Id="rId518" /><Relationship Type="http://schemas.openxmlformats.org/officeDocument/2006/relationships/hyperlink" Target="https://inc.in/leadership/past-party-presidents/shri-rahul-gandhi" TargetMode="External" Id="rId519" /><Relationship Type="http://schemas.openxmlformats.org/officeDocument/2006/relationships/hyperlink" Target="#'Career Timeline'!A26" TargetMode="External" Id="rId520" /><Relationship Type="http://schemas.openxmlformats.org/officeDocument/2006/relationships/hyperlink" Target="#'Sources'!A11" TargetMode="External" Id="rId521" /><Relationship Type="http://schemas.openxmlformats.org/officeDocument/2006/relationships/hyperlink" Target="https://www.eci.gov.in/eci-backend/public/all_files/GE-2024-statistical-report/33-Constituency-Wise-Detailed-Result.pdf" TargetMode="External" Id="rId522" /><Relationship Type="http://schemas.openxmlformats.org/officeDocument/2006/relationships/hyperlink" Target="#'Career Timeline'!A26" TargetMode="External" Id="rId523" /><Relationship Type="http://schemas.openxmlformats.org/officeDocument/2006/relationships/hyperlink" Target="#'Sources'!A48" TargetMode="External" Id="rId524" /><Relationship Type="http://schemas.openxmlformats.org/officeDocument/2006/relationships/hyperlink" Target="https://www.ndtv.com/india-news/rahul-gandhi-resigns-from-wayanad-seat-retains-raebareli-5918402" TargetMode="External" Id="rId525" /><Relationship Type="http://schemas.openxmlformats.org/officeDocument/2006/relationships/hyperlink" Target="#'Career Timeline'!A27" TargetMode="External" Id="rId526" /><Relationship Type="http://schemas.openxmlformats.org/officeDocument/2006/relationships/hyperlink" Target="#'Sources'!A7" TargetMode="External" Id="rId527" /><Relationship Type="http://schemas.openxmlformats.org/officeDocument/2006/relationships/hyperlink" Target="https://sansad.in/ls/about/leader-of-opposition" TargetMode="External" Id="rId528" /><Relationship Type="http://schemas.openxmlformats.org/officeDocument/2006/relationships/hyperlink" Target="#'Career Timeline'!A28" TargetMode="External" Id="rId529" /><Relationship Type="http://schemas.openxmlformats.org/officeDocument/2006/relationships/hyperlink" Target="#'Sources'!A40" TargetMode="External" Id="rId530" /><Relationship Type="http://schemas.openxmlformats.org/officeDocument/2006/relationships/hyperlink" Target="https://indianexpress.com/article/india/rahul-gandhi-caste-census-population-congress-centre-cabinet-9975117/" TargetMode="External" Id="rId531" /><Relationship Type="http://schemas.openxmlformats.org/officeDocument/2006/relationships/hyperlink" Target="#'Career Timeline'!A28" TargetMode="External" Id="rId532" /><Relationship Type="http://schemas.openxmlformats.org/officeDocument/2006/relationships/hyperlink" Target="#'Sources'!A41" TargetMode="External" Id="rId533" /><Relationship Type="http://schemas.openxmlformats.org/officeDocument/2006/relationships/hyperlink" Target="https://www.pib.gov.in/PressReleasePage.aspx?PRID=2125576" TargetMode="External" Id="rId534" /><Relationship Type="http://schemas.openxmlformats.org/officeDocument/2006/relationships/hyperlink" Target="#'Career Timeline'!A29" TargetMode="External" Id="rId535" /><Relationship Type="http://schemas.openxmlformats.org/officeDocument/2006/relationships/hyperlink" Target="#'Sources'!A31" TargetMode="External" Id="rId536" /><Relationship Type="http://schemas.openxmlformats.org/officeDocument/2006/relationships/hyperlink" Target="https://indianexpress.com/article/political-pulse/congress-camps-bihar-post-mortem-rahul-yatra-fiasco-allavaru-problem-weak-structure-10375553/" TargetMode="External" Id="rId537" /><Relationship Type="http://schemas.openxmlformats.org/officeDocument/2006/relationships/hyperlink" Target="#'Career Timeline'!A29" TargetMode="External" Id="rId538" /><Relationship Type="http://schemas.openxmlformats.org/officeDocument/2006/relationships/hyperlink" Target="#'Sources'!A32" TargetMode="External" Id="rId539" /><Relationship Type="http://schemas.openxmlformats.org/officeDocument/2006/relationships/hyperlink" Target="https://indianexpress.com/article/political-pulse/rahul-equallyresponsible-bihar-loss-poll-review-10390484/" TargetMode="External" Id="rId540" /><Relationship Type="http://schemas.openxmlformats.org/officeDocument/2006/relationships/hyperlink" Target="#'Career Timeline'!A30" TargetMode="External" Id="rId541" /><Relationship Type="http://schemas.openxmlformats.org/officeDocument/2006/relationships/hyperlink" Target="#'Sources'!A18" TargetMode="External" Id="rId542" /><Relationship Type="http://schemas.openxmlformats.org/officeDocument/2006/relationships/hyperlink" Target="https://www.barandbench.com/news/only-case-where-ed-proceeded-on-private-complaint-sonia-and-rahul-gandhi-to-delhi-high-court-on-national-herald-case" TargetMode="External" Id="rId543" /><Relationship Type="http://schemas.openxmlformats.org/officeDocument/2006/relationships/hyperlink" Target="#'Career Timeline'!A30" TargetMode="External" Id="rId544" /><Relationship Type="http://schemas.openxmlformats.org/officeDocument/2006/relationships/hyperlink" Target="#'Sources'!A35" TargetMode="External" Id="rId545" /><Relationship Type="http://schemas.openxmlformats.org/officeDocument/2006/relationships/hyperlink" Target="https://timesofindia.indiatimes.com/india/rahul-gandhi-press-conference-on-ec-gyanesh-kumar-resignation-sir-congress-vote-chori-election-bjp/articleshow/134457370.cms" TargetMode="External" Id="rId546" /><Relationship Type="http://schemas.openxmlformats.org/officeDocument/2006/relationships/hyperlink" Target="#'Elections'!A6" TargetMode="External" Id="rId547" /><Relationship Type="http://schemas.openxmlformats.org/officeDocument/2006/relationships/hyperlink" Target="#'Sources'!A14" TargetMode="External" Id="rId548" /><Relationship Type="http://schemas.openxmlformats.org/officeDocument/2006/relationships/hyperlink" Target="https://www.elections.in/parliamentary-constituencies/2004-election-results.html" TargetMode="External" Id="rId549" /><Relationship Type="http://schemas.openxmlformats.org/officeDocument/2006/relationships/hyperlink" Target="#'Elections'!A7" TargetMode="External" Id="rId550" /><Relationship Type="http://schemas.openxmlformats.org/officeDocument/2006/relationships/hyperlink" Target="#'Sources'!A13" TargetMode="External" Id="rId551" /><Relationship Type="http://schemas.openxmlformats.org/officeDocument/2006/relationships/hyperlink" Target="https://www.moneycontrol.com/elections/lok-sabha-election/uttar-pradesh/constituencies/amethi-constituency-s24led2008p037/" TargetMode="External" Id="rId552" /><Relationship Type="http://schemas.openxmlformats.org/officeDocument/2006/relationships/hyperlink" Target="#'Elections'!A8" TargetMode="External" Id="rId553" /><Relationship Type="http://schemas.openxmlformats.org/officeDocument/2006/relationships/hyperlink" Target="#'Sources'!A13" TargetMode="External" Id="rId554" /><Relationship Type="http://schemas.openxmlformats.org/officeDocument/2006/relationships/hyperlink" Target="https://www.moneycontrol.com/elections/lok-sabha-election/uttar-pradesh/constituencies/amethi-constituency-s24led2008p037/" TargetMode="External" Id="rId555" /><Relationship Type="http://schemas.openxmlformats.org/officeDocument/2006/relationships/hyperlink" Target="#'Elections'!A9" TargetMode="External" Id="rId556" /><Relationship Type="http://schemas.openxmlformats.org/officeDocument/2006/relationships/hyperlink" Target="#'Sources'!A12" TargetMode="External" Id="rId557" /><Relationship Type="http://schemas.openxmlformats.org/officeDocument/2006/relationships/hyperlink" Target="https://adrindia.org/sites/default/files/Analysis_of_Vote_Share_Margin_Of_Victory_Lok_Sabha__2019.pdf" TargetMode="External" Id="rId558" /><Relationship Type="http://schemas.openxmlformats.org/officeDocument/2006/relationships/hyperlink" Target="#'Elections'!A10" TargetMode="External" Id="rId559" /><Relationship Type="http://schemas.openxmlformats.org/officeDocument/2006/relationships/hyperlink" Target="#'Sources'!A12" TargetMode="External" Id="rId560" /><Relationship Type="http://schemas.openxmlformats.org/officeDocument/2006/relationships/hyperlink" Target="https://adrindia.org/sites/default/files/Analysis_of_Vote_Share_Margin_Of_Victory_Lok_Sabha__2019.pdf" TargetMode="External" Id="rId561" /><Relationship Type="http://schemas.openxmlformats.org/officeDocument/2006/relationships/hyperlink" Target="#'Elections'!A10" TargetMode="External" Id="rId562" /><Relationship Type="http://schemas.openxmlformats.org/officeDocument/2006/relationships/hyperlink" Target="#'Sources'!A46" TargetMode="External" Id="rId563" /><Relationship Type="http://schemas.openxmlformats.org/officeDocument/2006/relationships/hyperlink" Target="https://www.ceo.kerala.gov.in/electedmembers" TargetMode="External" Id="rId564" /><Relationship Type="http://schemas.openxmlformats.org/officeDocument/2006/relationships/hyperlink" Target="#'Elections'!A11" TargetMode="External" Id="rId565" /><Relationship Type="http://schemas.openxmlformats.org/officeDocument/2006/relationships/hyperlink" Target="#'Sources'!A11" TargetMode="External" Id="rId566" /><Relationship Type="http://schemas.openxmlformats.org/officeDocument/2006/relationships/hyperlink" Target="https://www.eci.gov.in/eci-backend/public/all_files/GE-2024-statistical-report/33-Constituency-Wise-Detailed-Result.pdf" TargetMode="External" Id="rId567" /><Relationship Type="http://schemas.openxmlformats.org/officeDocument/2006/relationships/hyperlink" Target="#'Elections'!A12" TargetMode="External" Id="rId568" /><Relationship Type="http://schemas.openxmlformats.org/officeDocument/2006/relationships/hyperlink" Target="#'Sources'!A11" TargetMode="External" Id="rId569" /><Relationship Type="http://schemas.openxmlformats.org/officeDocument/2006/relationships/hyperlink" Target="https://www.eci.gov.in/eci-backend/public/all_files/GE-2024-statistical-report/33-Constituency-Wise-Detailed-Result.pdf" TargetMode="External" Id="rId570" /><Relationship Type="http://schemas.openxmlformats.org/officeDocument/2006/relationships/hyperlink" Target="#'Elections'!A12" TargetMode="External" Id="rId571" /><Relationship Type="http://schemas.openxmlformats.org/officeDocument/2006/relationships/hyperlink" Target="#'Sources'!A48" TargetMode="External" Id="rId572" /><Relationship Type="http://schemas.openxmlformats.org/officeDocument/2006/relationships/hyperlink" Target="https://www.ndtv.com/india-news/rahul-gandhi-resigns-from-wayanad-seat-retains-raebareli-5918402" TargetMode="External" Id="rId573" /><Relationship Type="http://schemas.openxmlformats.org/officeDocument/2006/relationships/hyperlink" Target="#'Offices &amp; Party'!A6" TargetMode="External" Id="rId574" /><Relationship Type="http://schemas.openxmlformats.org/officeDocument/2006/relationships/hyperlink" Target="#'Sources'!A9" TargetMode="External" Id="rId575" /><Relationship Type="http://schemas.openxmlformats.org/officeDocument/2006/relationships/hyperlink" Target="https://inc.in/leadership/past-party-presidents/shri-rahul-gandhi" TargetMode="External" Id="rId576" /><Relationship Type="http://schemas.openxmlformats.org/officeDocument/2006/relationships/hyperlink" Target="#'Offices &amp; Party'!A6" TargetMode="External" Id="rId577" /><Relationship Type="http://schemas.openxmlformats.org/officeDocument/2006/relationships/hyperlink" Target="#'Sources'!A14" TargetMode="External" Id="rId578" /><Relationship Type="http://schemas.openxmlformats.org/officeDocument/2006/relationships/hyperlink" Target="https://www.elections.in/parliamentary-constituencies/2004-election-results.html" TargetMode="External" Id="rId579" /><Relationship Type="http://schemas.openxmlformats.org/officeDocument/2006/relationships/hyperlink" Target="#'Offices &amp; Party'!A7" TargetMode="External" Id="rId580" /><Relationship Type="http://schemas.openxmlformats.org/officeDocument/2006/relationships/hyperlink" Target="#'Sources'!A9" TargetMode="External" Id="rId581" /><Relationship Type="http://schemas.openxmlformats.org/officeDocument/2006/relationships/hyperlink" Target="https://inc.in/leadership/past-party-presidents/shri-rahul-gandhi" TargetMode="External" Id="rId582" /><Relationship Type="http://schemas.openxmlformats.org/officeDocument/2006/relationships/hyperlink" Target="#'Offices &amp; Party'!A7" TargetMode="External" Id="rId583" /><Relationship Type="http://schemas.openxmlformats.org/officeDocument/2006/relationships/hyperlink" Target="#'Sources'!A13" TargetMode="External" Id="rId584" /><Relationship Type="http://schemas.openxmlformats.org/officeDocument/2006/relationships/hyperlink" Target="https://www.moneycontrol.com/elections/lok-sabha-election/uttar-pradesh/constituencies/amethi-constituency-s24led2008p037/" TargetMode="External" Id="rId585" /><Relationship Type="http://schemas.openxmlformats.org/officeDocument/2006/relationships/hyperlink" Target="#'Offices &amp; Party'!A8" TargetMode="External" Id="rId586" /><Relationship Type="http://schemas.openxmlformats.org/officeDocument/2006/relationships/hyperlink" Target="#'Sources'!A9" TargetMode="External" Id="rId587" /><Relationship Type="http://schemas.openxmlformats.org/officeDocument/2006/relationships/hyperlink" Target="https://inc.in/leadership/past-party-presidents/shri-rahul-gandhi" TargetMode="External" Id="rId588" /><Relationship Type="http://schemas.openxmlformats.org/officeDocument/2006/relationships/hyperlink" Target="#'Offices &amp; Party'!A8" TargetMode="External" Id="rId589" /><Relationship Type="http://schemas.openxmlformats.org/officeDocument/2006/relationships/hyperlink" Target="#'Sources'!A12" TargetMode="External" Id="rId590" /><Relationship Type="http://schemas.openxmlformats.org/officeDocument/2006/relationships/hyperlink" Target="https://adrindia.org/sites/default/files/Analysis_of_Vote_Share_Margin_Of_Victory_Lok_Sabha__2019.pdf" TargetMode="External" Id="rId591" /><Relationship Type="http://schemas.openxmlformats.org/officeDocument/2006/relationships/hyperlink" Target="#'Offices &amp; Party'!A8" TargetMode="External" Id="rId592" /><Relationship Type="http://schemas.openxmlformats.org/officeDocument/2006/relationships/hyperlink" Target="#'Sources'!A13" TargetMode="External" Id="rId593" /><Relationship Type="http://schemas.openxmlformats.org/officeDocument/2006/relationships/hyperlink" Target="https://www.moneycontrol.com/elections/lok-sabha-election/uttar-pradesh/constituencies/amethi-constituency-s24led2008p037/" TargetMode="External" Id="rId594" /><Relationship Type="http://schemas.openxmlformats.org/officeDocument/2006/relationships/hyperlink" Target="#'Offices &amp; Party'!A9" TargetMode="External" Id="rId595" /><Relationship Type="http://schemas.openxmlformats.org/officeDocument/2006/relationships/hyperlink" Target="#'Sources'!A47" TargetMode="External" Id="rId596" /><Relationship Type="http://schemas.openxmlformats.org/officeDocument/2006/relationships/hyperlink" Target="https://prsindia.org/mptrack/17-lok-sabha/rahul-gandhi" TargetMode="External" Id="rId597" /><Relationship Type="http://schemas.openxmlformats.org/officeDocument/2006/relationships/hyperlink" Target="#'Offices &amp; Party'!A9" TargetMode="External" Id="rId598" /><Relationship Type="http://schemas.openxmlformats.org/officeDocument/2006/relationships/hyperlink" Target="#'Sources'!A16" TargetMode="External" Id="rId599" /><Relationship Type="http://schemas.openxmlformats.org/officeDocument/2006/relationships/hyperlink" Target="https://indianexpress.com/article/political-pulse/rahul-gandhi-returns-mp-lok-sabha-supreme-court-8880307/" TargetMode="External" Id="rId600" /><Relationship Type="http://schemas.openxmlformats.org/officeDocument/2006/relationships/hyperlink" Target="#'Offices &amp; Party'!A10" TargetMode="External" Id="rId601" /><Relationship Type="http://schemas.openxmlformats.org/officeDocument/2006/relationships/hyperlink" Target="#'Sources'!A16" TargetMode="External" Id="rId602" /><Relationship Type="http://schemas.openxmlformats.org/officeDocument/2006/relationships/hyperlink" Target="https://indianexpress.com/article/political-pulse/rahul-gandhi-returns-mp-lok-sabha-supreme-court-8880307/" TargetMode="External" Id="rId603" /><Relationship Type="http://schemas.openxmlformats.org/officeDocument/2006/relationships/hyperlink" Target="#'Offices &amp; Party'!A10" TargetMode="External" Id="rId604" /><Relationship Type="http://schemas.openxmlformats.org/officeDocument/2006/relationships/hyperlink" Target="#'Sources'!A47" TargetMode="External" Id="rId605" /><Relationship Type="http://schemas.openxmlformats.org/officeDocument/2006/relationships/hyperlink" Target="https://prsindia.org/mptrack/17-lok-sabha/rahul-gandhi" TargetMode="External" Id="rId606" /><Relationship Type="http://schemas.openxmlformats.org/officeDocument/2006/relationships/hyperlink" Target="#'Offices &amp; Party'!A11" TargetMode="External" Id="rId607" /><Relationship Type="http://schemas.openxmlformats.org/officeDocument/2006/relationships/hyperlink" Target="#'Sources'!A11" TargetMode="External" Id="rId608" /><Relationship Type="http://schemas.openxmlformats.org/officeDocument/2006/relationships/hyperlink" Target="https://www.eci.gov.in/eci-backend/public/all_files/GE-2024-statistical-report/33-Constituency-Wise-Detailed-Result.pdf" TargetMode="External" Id="rId609" /><Relationship Type="http://schemas.openxmlformats.org/officeDocument/2006/relationships/hyperlink" Target="#'Offices &amp; Party'!A11" TargetMode="External" Id="rId610" /><Relationship Type="http://schemas.openxmlformats.org/officeDocument/2006/relationships/hyperlink" Target="#'Sources'!A48" TargetMode="External" Id="rId611" /><Relationship Type="http://schemas.openxmlformats.org/officeDocument/2006/relationships/hyperlink" Target="https://www.ndtv.com/india-news/rahul-gandhi-resigns-from-wayanad-seat-retains-raebareli-5918402" TargetMode="External" Id="rId612" /><Relationship Type="http://schemas.openxmlformats.org/officeDocument/2006/relationships/hyperlink" Target="#'Offices &amp; Party'!A12" TargetMode="External" Id="rId613" /><Relationship Type="http://schemas.openxmlformats.org/officeDocument/2006/relationships/hyperlink" Target="#'Sources'!A8" TargetMode="External" Id="rId614" /><Relationship Type="http://schemas.openxmlformats.org/officeDocument/2006/relationships/hyperlink" Target="https://prsindia.org/mptrack/18-lok-sabha/rahul-gandhi" TargetMode="External" Id="rId615" /><Relationship Type="http://schemas.openxmlformats.org/officeDocument/2006/relationships/hyperlink" Target="#'Offices &amp; Party'!A12" TargetMode="External" Id="rId616" /><Relationship Type="http://schemas.openxmlformats.org/officeDocument/2006/relationships/hyperlink" Target="#'Sources'!A48" TargetMode="External" Id="rId617" /><Relationship Type="http://schemas.openxmlformats.org/officeDocument/2006/relationships/hyperlink" Target="https://www.ndtv.com/india-news/rahul-gandhi-resigns-from-wayanad-seat-retains-raebareli-5918402" TargetMode="External" Id="rId618" /><Relationship Type="http://schemas.openxmlformats.org/officeDocument/2006/relationships/hyperlink" Target="#'Offices &amp; Party'!A13" TargetMode="External" Id="rId619" /><Relationship Type="http://schemas.openxmlformats.org/officeDocument/2006/relationships/hyperlink" Target="#'Sources'!A7" TargetMode="External" Id="rId620" /><Relationship Type="http://schemas.openxmlformats.org/officeDocument/2006/relationships/hyperlink" Target="https://sansad.in/ls/about/leader-of-opposition" TargetMode="External" Id="rId621" /><Relationship Type="http://schemas.openxmlformats.org/officeDocument/2006/relationships/hyperlink" Target="#'Offices &amp; Party'!A13" TargetMode="External" Id="rId622" /><Relationship Type="http://schemas.openxmlformats.org/officeDocument/2006/relationships/hyperlink" Target="#'Sources'!A8" TargetMode="External" Id="rId623" /><Relationship Type="http://schemas.openxmlformats.org/officeDocument/2006/relationships/hyperlink" Target="https://prsindia.org/mptrack/18-lok-sabha/rahul-gandhi" TargetMode="External" Id="rId624" /><Relationship Type="http://schemas.openxmlformats.org/officeDocument/2006/relationships/hyperlink" Target="#'Offices &amp; Party'!A14" TargetMode="External" Id="rId625" /><Relationship Type="http://schemas.openxmlformats.org/officeDocument/2006/relationships/hyperlink" Target="#'Sources'!A9" TargetMode="External" Id="rId626" /><Relationship Type="http://schemas.openxmlformats.org/officeDocument/2006/relationships/hyperlink" Target="https://inc.in/leadership/past-party-presidents/shri-rahul-gandhi" TargetMode="External" Id="rId627" /><Relationship Type="http://schemas.openxmlformats.org/officeDocument/2006/relationships/hyperlink" Target="#'Offices &amp; Party'!A15" TargetMode="External" Id="rId628" /><Relationship Type="http://schemas.openxmlformats.org/officeDocument/2006/relationships/hyperlink" Target="#'Sources'!A9" TargetMode="External" Id="rId629" /><Relationship Type="http://schemas.openxmlformats.org/officeDocument/2006/relationships/hyperlink" Target="https://inc.in/leadership/past-party-presidents/shri-rahul-gandhi" TargetMode="External" Id="rId630" /><Relationship Type="http://schemas.openxmlformats.org/officeDocument/2006/relationships/hyperlink" Target="#'Offices &amp; Party'!A16" TargetMode="External" Id="rId631" /><Relationship Type="http://schemas.openxmlformats.org/officeDocument/2006/relationships/hyperlink" Target="#'Sources'!A9" TargetMode="External" Id="rId632" /><Relationship Type="http://schemas.openxmlformats.org/officeDocument/2006/relationships/hyperlink" Target="https://inc.in/leadership/past-party-presidents/shri-rahul-gandhi" TargetMode="External" Id="rId633" /><Relationship Type="http://schemas.openxmlformats.org/officeDocument/2006/relationships/hyperlink" Target="#'Offices &amp; Party'!A16" TargetMode="External" Id="rId634" /><Relationship Type="http://schemas.openxmlformats.org/officeDocument/2006/relationships/hyperlink" Target="#'Sources'!A19" TargetMode="External" Id="rId635" /><Relationship Type="http://schemas.openxmlformats.org/officeDocument/2006/relationships/hyperlink" Target="https://www.ndtv.com/india-news/rahul-gandhis-open-letter-full-text-at-times-i-stood-completely-alone-2063455" TargetMode="External" Id="rId636" /><Relationship Type="http://schemas.openxmlformats.org/officeDocument/2006/relationships/hyperlink" Target="#'Offices &amp; Party'!A17" TargetMode="External" Id="rId637" /><Relationship Type="http://schemas.openxmlformats.org/officeDocument/2006/relationships/hyperlink" Target="#'Sources'!A9" TargetMode="External" Id="rId638" /><Relationship Type="http://schemas.openxmlformats.org/officeDocument/2006/relationships/hyperlink" Target="https://inc.in/leadership/past-party-presidents/shri-rahul-gandhi" TargetMode="External" Id="rId639" /><Relationship Type="http://schemas.openxmlformats.org/officeDocument/2006/relationships/hyperlink" Target="#'Offices &amp; Party'!A18" TargetMode="External" Id="rId640" /><Relationship Type="http://schemas.openxmlformats.org/officeDocument/2006/relationships/hyperlink" Target="#'Sources'!A9" TargetMode="External" Id="rId641" /><Relationship Type="http://schemas.openxmlformats.org/officeDocument/2006/relationships/hyperlink" Target="https://inc.in/leadership/past-party-presidents/shri-rahul-gandhi" TargetMode="External" Id="rId642" /><Relationship Type="http://schemas.openxmlformats.org/officeDocument/2006/relationships/hyperlink" Target="#'Offices &amp; Party'!A18" TargetMode="External" Id="rId643" /><Relationship Type="http://schemas.openxmlformats.org/officeDocument/2006/relationships/hyperlink" Target="#'Sources'!A20" TargetMode="External" Id="rId644" /><Relationship Type="http://schemas.openxmlformats.org/officeDocument/2006/relationships/hyperlink" Target="https://indianexpress.com/article/political-pulse/rahul-modi-shah-doval-srinagar-bharat-jodo-yatra-8413548/" TargetMode="External" Id="rId645" /><Relationship Type="http://schemas.openxmlformats.org/officeDocument/2006/relationships/hyperlink" Target="#'Policy &amp; Governance'!A6" TargetMode="External" Id="rId646" /><Relationship Type="http://schemas.openxmlformats.org/officeDocument/2006/relationships/hyperlink" Target="#'Sources'!A26" TargetMode="External" Id="rId647" /><Relationship Type="http://schemas.openxmlformats.org/officeDocument/2006/relationships/hyperlink" Target="https://indianexpress.com/article/political-pulse/in-kerala-youth-cong-dissent-over-rahuls-internal-election-system/" TargetMode="External" Id="rId648" /><Relationship Type="http://schemas.openxmlformats.org/officeDocument/2006/relationships/hyperlink" Target="#'Policy &amp; Governance'!A6" TargetMode="External" Id="rId649" /><Relationship Type="http://schemas.openxmlformats.org/officeDocument/2006/relationships/hyperlink" Target="#'Sources'!A27" TargetMode="External" Id="rId650" /><Relationship Type="http://schemas.openxmlformats.org/officeDocument/2006/relationships/hyperlink" Target="https://timesofindia.indiatimes.com/india/youth-congress-to-retain-internal-polls/articleshow/36734347.cms" TargetMode="External" Id="rId651" /><Relationship Type="http://schemas.openxmlformats.org/officeDocument/2006/relationships/hyperlink" Target="#'Policy &amp; Governance'!A7" TargetMode="External" Id="rId652" /><Relationship Type="http://schemas.openxmlformats.org/officeDocument/2006/relationships/hyperlink" Target="#'Sources'!A43" TargetMode="External" Id="rId653" /><Relationship Type="http://schemas.openxmlformats.org/officeDocument/2006/relationships/hyperlink" Target="https://www.ndtv.com/india-news/rahul-gandhi-calls-ordinance-on-convicted-lawmakers-nonsense-huge-embarrassment-for-pm-535906" TargetMode="External" Id="rId654" /><Relationship Type="http://schemas.openxmlformats.org/officeDocument/2006/relationships/hyperlink" Target="#'Policy &amp; Governance'!A7" TargetMode="External" Id="rId655" /><Relationship Type="http://schemas.openxmlformats.org/officeDocument/2006/relationships/hyperlink" Target="#'Sources'!A44" TargetMode="External" Id="rId656" /><Relationship Type="http://schemas.openxmlformats.org/officeDocument/2006/relationships/hyperlink" Target="https://www.business-standard.com/article/politics/govt-bows-before-rahul-withdraws-ordinance-plan-113100200706_1.html" TargetMode="External" Id="rId657" /><Relationship Type="http://schemas.openxmlformats.org/officeDocument/2006/relationships/hyperlink" Target="#'Policy &amp; Governance'!A8" TargetMode="External" Id="rId658" /><Relationship Type="http://schemas.openxmlformats.org/officeDocument/2006/relationships/hyperlink" Target="#'Sources'!A42" TargetMode="External" Id="rId659" /><Relationship Type="http://schemas.openxmlformats.org/officeDocument/2006/relationships/hyperlink" Target="https://economictimes.indiatimes.com/news/politics-and-nation/rahul-gandhi-vows-to-oppose-land-bill-inside-and-outside-parliament/articleshow/47249971.cms" TargetMode="External" Id="rId660" /><Relationship Type="http://schemas.openxmlformats.org/officeDocument/2006/relationships/hyperlink" Target="#'Policy &amp; Governance'!A8" TargetMode="External" Id="rId661" /><Relationship Type="http://schemas.openxmlformats.org/officeDocument/2006/relationships/hyperlink" Target="#'Sources'!A37" TargetMode="External" Id="rId662" /><Relationship Type="http://schemas.openxmlformats.org/officeDocument/2006/relationships/hyperlink" Target="https://prsindia.org/billtrack/the-right-to-fair-compensation-and-transparency-in-land-acquisition-rehabilitation-and-resettlement-second-amendment-bill-2015" TargetMode="External" Id="rId663" /><Relationship Type="http://schemas.openxmlformats.org/officeDocument/2006/relationships/hyperlink" Target="#'Policy &amp; Governance'!A9" TargetMode="External" Id="rId664" /><Relationship Type="http://schemas.openxmlformats.org/officeDocument/2006/relationships/hyperlink" Target="#'Sources'!A33" TargetMode="External" Id="rId665" /><Relationship Type="http://schemas.openxmlformats.org/officeDocument/2006/relationships/hyperlink" Target="https://www.ndtv.com/india-news/rs-72-000-will-be-given-to-beneficiaries-under-nyay-scheme-rahul-gandhi-2031993" TargetMode="External" Id="rId666" /><Relationship Type="http://schemas.openxmlformats.org/officeDocument/2006/relationships/hyperlink" Target="#'Policy &amp; Governance'!A9" TargetMode="External" Id="rId667" /><Relationship Type="http://schemas.openxmlformats.org/officeDocument/2006/relationships/hyperlink" Target="#'Sources'!A19" TargetMode="External" Id="rId668" /><Relationship Type="http://schemas.openxmlformats.org/officeDocument/2006/relationships/hyperlink" Target="https://www.ndtv.com/india-news/rahul-gandhis-open-letter-full-text-at-times-i-stood-completely-alone-2063455" TargetMode="External" Id="rId669" /><Relationship Type="http://schemas.openxmlformats.org/officeDocument/2006/relationships/hyperlink" Target="#'Policy &amp; Governance'!A10" TargetMode="External" Id="rId670" /><Relationship Type="http://schemas.openxmlformats.org/officeDocument/2006/relationships/hyperlink" Target="#'Sources'!A21" TargetMode="External" Id="rId671" /><Relationship Type="http://schemas.openxmlformats.org/officeDocument/2006/relationships/hyperlink" Target="https://manifesto.inc.in/en/equity/" TargetMode="External" Id="rId672" /><Relationship Type="http://schemas.openxmlformats.org/officeDocument/2006/relationships/hyperlink" Target="#'Policy &amp; Governance'!A10" TargetMode="External" Id="rId673" /><Relationship Type="http://schemas.openxmlformats.org/officeDocument/2006/relationships/hyperlink" Target="#'Sources'!A40" TargetMode="External" Id="rId674" /><Relationship Type="http://schemas.openxmlformats.org/officeDocument/2006/relationships/hyperlink" Target="https://indianexpress.com/article/india/rahul-gandhi-caste-census-population-congress-centre-cabinet-9975117/" TargetMode="External" Id="rId675" /><Relationship Type="http://schemas.openxmlformats.org/officeDocument/2006/relationships/hyperlink" Target="#'Policy &amp; Governance'!A10" TargetMode="External" Id="rId676" /><Relationship Type="http://schemas.openxmlformats.org/officeDocument/2006/relationships/hyperlink" Target="#'Sources'!A41" TargetMode="External" Id="rId677" /><Relationship Type="http://schemas.openxmlformats.org/officeDocument/2006/relationships/hyperlink" Target="https://www.pib.gov.in/PressReleasePage.aspx?PRID=2125576" TargetMode="External" Id="rId678" /><Relationship Type="http://schemas.openxmlformats.org/officeDocument/2006/relationships/hyperlink" Target="#'Policy &amp; Governance'!A11" TargetMode="External" Id="rId679" /><Relationship Type="http://schemas.openxmlformats.org/officeDocument/2006/relationships/hyperlink" Target="#'Sources'!A38" TargetMode="External" Id="rId680" /><Relationship Type="http://schemas.openxmlformats.org/officeDocument/2006/relationships/hyperlink" Target="https://indianexpress.com/article/india/lok-sabha-rahul-gandhi-women-reservation-bill-obc-quota-8948629/" TargetMode="External" Id="rId681" /><Relationship Type="http://schemas.openxmlformats.org/officeDocument/2006/relationships/hyperlink" Target="#'Policy &amp; Governance'!A12" TargetMode="External" Id="rId682" /><Relationship Type="http://schemas.openxmlformats.org/officeDocument/2006/relationships/hyperlink" Target="#'Sources'!A22" TargetMode="External" Id="rId683" /><Relationship Type="http://schemas.openxmlformats.org/officeDocument/2006/relationships/hyperlink" Target="https://manifesto.inc.in/en/women/" TargetMode="External" Id="rId684" /><Relationship Type="http://schemas.openxmlformats.org/officeDocument/2006/relationships/hyperlink" Target="#'Policy &amp; Governance'!A13" TargetMode="External" Id="rId685" /><Relationship Type="http://schemas.openxmlformats.org/officeDocument/2006/relationships/hyperlink" Target="#'Sources'!A23" TargetMode="External" Id="rId686" /><Relationship Type="http://schemas.openxmlformats.org/officeDocument/2006/relationships/hyperlink" Target="https://manifesto.inc.in/en/youth/" TargetMode="External" Id="rId687" /><Relationship Type="http://schemas.openxmlformats.org/officeDocument/2006/relationships/hyperlink" Target="#'Policy &amp; Governance'!A14" TargetMode="External" Id="rId688" /><Relationship Type="http://schemas.openxmlformats.org/officeDocument/2006/relationships/hyperlink" Target="#'Sources'!A24" TargetMode="External" Id="rId689" /><Relationship Type="http://schemas.openxmlformats.org/officeDocument/2006/relationships/hyperlink" Target="https://manifesto.inc.in/en/farmers/" TargetMode="External" Id="rId690" /><Relationship Type="http://schemas.openxmlformats.org/officeDocument/2006/relationships/hyperlink" Target="#'Policy &amp; Governance'!A15" TargetMode="External" Id="rId691" /><Relationship Type="http://schemas.openxmlformats.org/officeDocument/2006/relationships/hyperlink" Target="#'Sources'!A25" TargetMode="External" Id="rId692" /><Relationship Type="http://schemas.openxmlformats.org/officeDocument/2006/relationships/hyperlink" Target="https://manifesto.inc.in/en/national-security/" TargetMode="External" Id="rId693" /><Relationship Type="http://schemas.openxmlformats.org/officeDocument/2006/relationships/hyperlink" Target="#'Policy &amp; Governance'!A16" TargetMode="External" Id="rId694" /><Relationship Type="http://schemas.openxmlformats.org/officeDocument/2006/relationships/hyperlink" Target="#'Sources'!A47" TargetMode="External" Id="rId695" /><Relationship Type="http://schemas.openxmlformats.org/officeDocument/2006/relationships/hyperlink" Target="https://prsindia.org/mptrack/17-lok-sabha/rahul-gandhi" TargetMode="External" Id="rId696" /><Relationship Type="http://schemas.openxmlformats.org/officeDocument/2006/relationships/hyperlink" Target="#'Policy &amp; Governance'!A16" TargetMode="External" Id="rId697" /><Relationship Type="http://schemas.openxmlformats.org/officeDocument/2006/relationships/hyperlink" Target="#'Sources'!A8" TargetMode="External" Id="rId698" /><Relationship Type="http://schemas.openxmlformats.org/officeDocument/2006/relationships/hyperlink" Target="https://prsindia.org/mptrack/18-lok-sabha/rahul-gandhi" TargetMode="External" Id="rId699" /><Relationship Type="http://schemas.openxmlformats.org/officeDocument/2006/relationships/hyperlink" Target="#'Policy &amp; Governance'!A17" TargetMode="External" Id="rId700" /><Relationship Type="http://schemas.openxmlformats.org/officeDocument/2006/relationships/hyperlink" Target="#'Sources'!A47" TargetMode="External" Id="rId701" /><Relationship Type="http://schemas.openxmlformats.org/officeDocument/2006/relationships/hyperlink" Target="https://prsindia.org/mptrack/17-lok-sabha/rahul-gandhi" TargetMode="External" Id="rId702" /><Relationship Type="http://schemas.openxmlformats.org/officeDocument/2006/relationships/hyperlink" Target="#'Policy &amp; Governance'!A18" TargetMode="External" Id="rId703" /><Relationship Type="http://schemas.openxmlformats.org/officeDocument/2006/relationships/hyperlink" Target="#'Sources'!A8" TargetMode="External" Id="rId704" /><Relationship Type="http://schemas.openxmlformats.org/officeDocument/2006/relationships/hyperlink" Target="https://prsindia.org/mptrack/18-lok-sabha/rahul-gandhi" TargetMode="External" Id="rId705" /><Relationship Type="http://schemas.openxmlformats.org/officeDocument/2006/relationships/hyperlink" Target="#'Ideas &amp; Political Method'!A6" TargetMode="External" Id="rId706" /><Relationship Type="http://schemas.openxmlformats.org/officeDocument/2006/relationships/hyperlink" Target="#'Sources'!A9" TargetMode="External" Id="rId707" /><Relationship Type="http://schemas.openxmlformats.org/officeDocument/2006/relationships/hyperlink" Target="https://inc.in/leadership/past-party-presidents/shri-rahul-gandhi" TargetMode="External" Id="rId708" /><Relationship Type="http://schemas.openxmlformats.org/officeDocument/2006/relationships/hyperlink" Target="#'Ideas &amp; Political Method'!A6" TargetMode="External" Id="rId709" /><Relationship Type="http://schemas.openxmlformats.org/officeDocument/2006/relationships/hyperlink" Target="#'Sources'!A28" TargetMode="External" Id="rId710" /><Relationship Type="http://schemas.openxmlformats.org/officeDocument/2006/relationships/hyperlink" Target="https://www.marketscreener.com/news/latest/Ridiculed-for-a-decade-India-s-Rahul-Gandhi-slows-Modi-juggernaut-46900641/" TargetMode="External" Id="rId711" /><Relationship Type="http://schemas.openxmlformats.org/officeDocument/2006/relationships/hyperlink" Target="#'Ideas &amp; Political Method'!A7" TargetMode="External" Id="rId712" /><Relationship Type="http://schemas.openxmlformats.org/officeDocument/2006/relationships/hyperlink" Target="#'Sources'!A26" TargetMode="External" Id="rId713" /><Relationship Type="http://schemas.openxmlformats.org/officeDocument/2006/relationships/hyperlink" Target="https://indianexpress.com/article/political-pulse/in-kerala-youth-cong-dissent-over-rahuls-internal-election-system/" TargetMode="External" Id="rId714" /><Relationship Type="http://schemas.openxmlformats.org/officeDocument/2006/relationships/hyperlink" Target="#'Ideas &amp; Political Method'!A7" TargetMode="External" Id="rId715" /><Relationship Type="http://schemas.openxmlformats.org/officeDocument/2006/relationships/hyperlink" Target="#'Sources'!A27" TargetMode="External" Id="rId716" /><Relationship Type="http://schemas.openxmlformats.org/officeDocument/2006/relationships/hyperlink" Target="https://timesofindia.indiatimes.com/india/youth-congress-to-retain-internal-polls/articleshow/36734347.cms" TargetMode="External" Id="rId717" /><Relationship Type="http://schemas.openxmlformats.org/officeDocument/2006/relationships/hyperlink" Target="#'Ideas &amp; Political Method'!A8" TargetMode="External" Id="rId718" /><Relationship Type="http://schemas.openxmlformats.org/officeDocument/2006/relationships/hyperlink" Target="#'Sources'!A43" TargetMode="External" Id="rId719" /><Relationship Type="http://schemas.openxmlformats.org/officeDocument/2006/relationships/hyperlink" Target="https://www.ndtv.com/india-news/rahul-gandhi-calls-ordinance-on-convicted-lawmakers-nonsense-huge-embarrassment-for-pm-535906" TargetMode="External" Id="rId720" /><Relationship Type="http://schemas.openxmlformats.org/officeDocument/2006/relationships/hyperlink" Target="#'Ideas &amp; Political Method'!A8" TargetMode="External" Id="rId721" /><Relationship Type="http://schemas.openxmlformats.org/officeDocument/2006/relationships/hyperlink" Target="#'Sources'!A44" TargetMode="External" Id="rId722" /><Relationship Type="http://schemas.openxmlformats.org/officeDocument/2006/relationships/hyperlink" Target="https://www.business-standard.com/article/politics/govt-bows-before-rahul-withdraws-ordinance-plan-113100200706_1.html" TargetMode="External" Id="rId723" /><Relationship Type="http://schemas.openxmlformats.org/officeDocument/2006/relationships/hyperlink" Target="#'Ideas &amp; Political Method'!A9" TargetMode="External" Id="rId724" /><Relationship Type="http://schemas.openxmlformats.org/officeDocument/2006/relationships/hyperlink" Target="#'Sources'!A42" TargetMode="External" Id="rId725" /><Relationship Type="http://schemas.openxmlformats.org/officeDocument/2006/relationships/hyperlink" Target="https://economictimes.indiatimes.com/news/politics-and-nation/rahul-gandhi-vows-to-oppose-land-bill-inside-and-outside-parliament/articleshow/47249971.cms" TargetMode="External" Id="rId726" /><Relationship Type="http://schemas.openxmlformats.org/officeDocument/2006/relationships/hyperlink" Target="#'Ideas &amp; Political Method'!A9" TargetMode="External" Id="rId727" /><Relationship Type="http://schemas.openxmlformats.org/officeDocument/2006/relationships/hyperlink" Target="#'Sources'!A33" TargetMode="External" Id="rId728" /><Relationship Type="http://schemas.openxmlformats.org/officeDocument/2006/relationships/hyperlink" Target="https://www.ndtv.com/india-news/rs-72-000-will-be-given-to-beneficiaries-under-nyay-scheme-rahul-gandhi-2031993" TargetMode="External" Id="rId729" /><Relationship Type="http://schemas.openxmlformats.org/officeDocument/2006/relationships/hyperlink" Target="#'Ideas &amp; Political Method'!A10" TargetMode="External" Id="rId730" /><Relationship Type="http://schemas.openxmlformats.org/officeDocument/2006/relationships/hyperlink" Target="#'Sources'!A19" TargetMode="External" Id="rId731" /><Relationship Type="http://schemas.openxmlformats.org/officeDocument/2006/relationships/hyperlink" Target="https://www.ndtv.com/india-news/rahul-gandhis-open-letter-full-text-at-times-i-stood-completely-alone-2063455" TargetMode="External" Id="rId732" /><Relationship Type="http://schemas.openxmlformats.org/officeDocument/2006/relationships/hyperlink" Target="#'Ideas &amp; Political Method'!A11" TargetMode="External" Id="rId733" /><Relationship Type="http://schemas.openxmlformats.org/officeDocument/2006/relationships/hyperlink" Target="#'Sources'!A20" TargetMode="External" Id="rId734" /><Relationship Type="http://schemas.openxmlformats.org/officeDocument/2006/relationships/hyperlink" Target="https://indianexpress.com/article/political-pulse/rahul-modi-shah-doval-srinagar-bharat-jodo-yatra-8413548/" TargetMode="External" Id="rId735" /><Relationship Type="http://schemas.openxmlformats.org/officeDocument/2006/relationships/hyperlink" Target="#'Ideas &amp; Political Method'!A11" TargetMode="External" Id="rId736" /><Relationship Type="http://schemas.openxmlformats.org/officeDocument/2006/relationships/hyperlink" Target="#'Sources'!A28" TargetMode="External" Id="rId737" /><Relationship Type="http://schemas.openxmlformats.org/officeDocument/2006/relationships/hyperlink" Target="https://www.marketscreener.com/news/latest/Ridiculed-for-a-decade-India-s-Rahul-Gandhi-slows-Modi-juggernaut-46900641/" TargetMode="External" Id="rId738" /><Relationship Type="http://schemas.openxmlformats.org/officeDocument/2006/relationships/hyperlink" Target="#'Ideas &amp; Political Method'!A12" TargetMode="External" Id="rId739" /><Relationship Type="http://schemas.openxmlformats.org/officeDocument/2006/relationships/hyperlink" Target="#'Sources'!A21" TargetMode="External" Id="rId740" /><Relationship Type="http://schemas.openxmlformats.org/officeDocument/2006/relationships/hyperlink" Target="https://manifesto.inc.in/en/equity/" TargetMode="External" Id="rId741" /><Relationship Type="http://schemas.openxmlformats.org/officeDocument/2006/relationships/hyperlink" Target="#'Ideas &amp; Political Method'!A12" TargetMode="External" Id="rId742" /><Relationship Type="http://schemas.openxmlformats.org/officeDocument/2006/relationships/hyperlink" Target="#'Sources'!A40" TargetMode="External" Id="rId743" /><Relationship Type="http://schemas.openxmlformats.org/officeDocument/2006/relationships/hyperlink" Target="https://indianexpress.com/article/india/rahul-gandhi-caste-census-population-congress-centre-cabinet-9975117/" TargetMode="External" Id="rId744" /><Relationship Type="http://schemas.openxmlformats.org/officeDocument/2006/relationships/hyperlink" Target="#'Ideas &amp; Political Method'!A13" TargetMode="External" Id="rId745" /><Relationship Type="http://schemas.openxmlformats.org/officeDocument/2006/relationships/hyperlink" Target="#'Sources'!A21" TargetMode="External" Id="rId746" /><Relationship Type="http://schemas.openxmlformats.org/officeDocument/2006/relationships/hyperlink" Target="https://manifesto.inc.in/en/equity/" TargetMode="External" Id="rId747" /><Relationship Type="http://schemas.openxmlformats.org/officeDocument/2006/relationships/hyperlink" Target="#'Ideas &amp; Political Method'!A13" TargetMode="External" Id="rId748" /><Relationship Type="http://schemas.openxmlformats.org/officeDocument/2006/relationships/hyperlink" Target="#'Sources'!A20" TargetMode="External" Id="rId749" /><Relationship Type="http://schemas.openxmlformats.org/officeDocument/2006/relationships/hyperlink" Target="https://indianexpress.com/article/political-pulse/rahul-modi-shah-doval-srinagar-bharat-jodo-yatra-8413548/" TargetMode="External" Id="rId750" /><Relationship Type="http://schemas.openxmlformats.org/officeDocument/2006/relationships/hyperlink" Target="#'Ideas &amp; Political Method'!A14" TargetMode="External" Id="rId751" /><Relationship Type="http://schemas.openxmlformats.org/officeDocument/2006/relationships/hyperlink" Target="#'Sources'!A28" TargetMode="External" Id="rId752" /><Relationship Type="http://schemas.openxmlformats.org/officeDocument/2006/relationships/hyperlink" Target="https://www.marketscreener.com/news/latest/Ridiculed-for-a-decade-India-s-Rahul-Gandhi-slows-Modi-juggernaut-46900641/" TargetMode="External" Id="rId753" /><Relationship Type="http://schemas.openxmlformats.org/officeDocument/2006/relationships/hyperlink" Target="#'Ideas &amp; Political Method'!A14" TargetMode="External" Id="rId754" /><Relationship Type="http://schemas.openxmlformats.org/officeDocument/2006/relationships/hyperlink" Target="#'Sources'!A29" TargetMode="External" Id="rId755" /><Relationship Type="http://schemas.openxmlformats.org/officeDocument/2006/relationships/hyperlink" Target="https://carnegieendowment.org/research/2024/09/india-election-bjp-party-politics" TargetMode="External" Id="rId756" /><Relationship Type="http://schemas.openxmlformats.org/officeDocument/2006/relationships/hyperlink" Target="#'Ideas &amp; Political Method'!A15" TargetMode="External" Id="rId757" /><Relationship Type="http://schemas.openxmlformats.org/officeDocument/2006/relationships/hyperlink" Target="#'Sources'!A30" TargetMode="External" Id="rId758" /><Relationship Type="http://schemas.openxmlformats.org/officeDocument/2006/relationships/hyperlink" Target="https://m.thewire.in/article/politics/rahul-gandhi-t-shirt" TargetMode="External" Id="rId759" /><Relationship Type="http://schemas.openxmlformats.org/officeDocument/2006/relationships/hyperlink" Target="#'Ideas &amp; Political Method'!A16" TargetMode="External" Id="rId760" /><Relationship Type="http://schemas.openxmlformats.org/officeDocument/2006/relationships/hyperlink" Target="#'Sources'!A36" TargetMode="External" Id="rId761" /><Relationship Type="http://schemas.openxmlformats.org/officeDocument/2006/relationships/hyperlink" Target="https://indianexpress.com/article/india/rahul-gandhi-vote-chori-cec-gyanesh-kumar-protecting-killing-democracy-10257103/" TargetMode="External" Id="rId762" /><Relationship Type="http://schemas.openxmlformats.org/officeDocument/2006/relationships/hyperlink" Target="#'Ideas &amp; Political Method'!A16" TargetMode="External" Id="rId763" /><Relationship Type="http://schemas.openxmlformats.org/officeDocument/2006/relationships/hyperlink" Target="#'Sources'!A35" TargetMode="External" Id="rId764" /><Relationship Type="http://schemas.openxmlformats.org/officeDocument/2006/relationships/hyperlink" Target="https://timesofindia.indiatimes.com/india/rahul-gandhi-press-conference-on-ec-gyanesh-kumar-resignation-sir-congress-vote-chori-election-bjp/articleshow/134457370.cms" TargetMode="External" Id="rId765" /><Relationship Type="http://schemas.openxmlformats.org/officeDocument/2006/relationships/hyperlink" Target="#'Ideas &amp; Political Method'!A17" TargetMode="External" Id="rId766" /><Relationship Type="http://schemas.openxmlformats.org/officeDocument/2006/relationships/hyperlink" Target="#'Sources'!A25" TargetMode="External" Id="rId767" /><Relationship Type="http://schemas.openxmlformats.org/officeDocument/2006/relationships/hyperlink" Target="https://manifesto.inc.in/en/national-security/" TargetMode="External" Id="rId768" /><Relationship Type="http://schemas.openxmlformats.org/officeDocument/2006/relationships/hyperlink" Target="#'Controversies'!A6" TargetMode="External" Id="rId769" /><Relationship Type="http://schemas.openxmlformats.org/officeDocument/2006/relationships/hyperlink" Target="#'Sources'!A15" TargetMode="External" Id="rId770" /><Relationship Type="http://schemas.openxmlformats.org/officeDocument/2006/relationships/hyperlink" Target="https://api.sci.gov.in/supremecourt/2023/27941/27941_2023_4_55_45901_Order_04-Aug-2023.pdf" TargetMode="External" Id="rId771" /><Relationship Type="http://schemas.openxmlformats.org/officeDocument/2006/relationships/hyperlink" Target="#'Controversies'!A6" TargetMode="External" Id="rId772" /><Relationship Type="http://schemas.openxmlformats.org/officeDocument/2006/relationships/hyperlink" Target="#'Sources'!A16" TargetMode="External" Id="rId773" /><Relationship Type="http://schemas.openxmlformats.org/officeDocument/2006/relationships/hyperlink" Target="https://indianexpress.com/article/political-pulse/rahul-gandhi-returns-mp-lok-sabha-supreme-court-8880307/" TargetMode="External" Id="rId774" /><Relationship Type="http://schemas.openxmlformats.org/officeDocument/2006/relationships/hyperlink" Target="#'Controversies'!A7" TargetMode="External" Id="rId775" /><Relationship Type="http://schemas.openxmlformats.org/officeDocument/2006/relationships/hyperlink" Target="#'Sources'!A17" TargetMode="External" Id="rId776" /><Relationship Type="http://schemas.openxmlformats.org/officeDocument/2006/relationships/hyperlink" Target="https://indianexpress.com/article/legal-news/national-herald-case-gandhis-oppose-ed-plea-private-complaint-10889668/" TargetMode="External" Id="rId777" /><Relationship Type="http://schemas.openxmlformats.org/officeDocument/2006/relationships/hyperlink" Target="#'Controversies'!A7" TargetMode="External" Id="rId778" /><Relationship Type="http://schemas.openxmlformats.org/officeDocument/2006/relationships/hyperlink" Target="#'Sources'!A18" TargetMode="External" Id="rId779" /><Relationship Type="http://schemas.openxmlformats.org/officeDocument/2006/relationships/hyperlink" Target="https://www.barandbench.com/news/only-case-where-ed-proceeded-on-private-complaint-sonia-and-rahul-gandhi-to-delhi-high-court-on-national-herald-case" TargetMode="External" Id="rId780" /><Relationship Type="http://schemas.openxmlformats.org/officeDocument/2006/relationships/hyperlink" Target="#'Controversies'!A8" TargetMode="External" Id="rId781" /><Relationship Type="http://schemas.openxmlformats.org/officeDocument/2006/relationships/hyperlink" Target="#'Sources'!A34" TargetMode="External" Id="rId782" /><Relationship Type="http://schemas.openxmlformats.org/officeDocument/2006/relationships/hyperlink" Target="https://indianexpress.com/article/india/rafale-case-sc-closes-defamation-case-against-rahul-gandhi-says-he-needs-to-be-more-careful/" TargetMode="External" Id="rId783" /><Relationship Type="http://schemas.openxmlformats.org/officeDocument/2006/relationships/hyperlink" Target="#'Controversies'!A8" TargetMode="External" Id="rId784" /><Relationship Type="http://schemas.openxmlformats.org/officeDocument/2006/relationships/hyperlink" Target="#'Sources'!A15" TargetMode="External" Id="rId785" /><Relationship Type="http://schemas.openxmlformats.org/officeDocument/2006/relationships/hyperlink" Target="https://api.sci.gov.in/supremecourt/2023/27941/27941_2023_4_55_45901_Order_04-Aug-2023.pdf" TargetMode="External" Id="rId786" /><Relationship Type="http://schemas.openxmlformats.org/officeDocument/2006/relationships/hyperlink" Target="#'Controversies'!A9" TargetMode="External" Id="rId787" /><Relationship Type="http://schemas.openxmlformats.org/officeDocument/2006/relationships/hyperlink" Target="#'Sources'!A43" TargetMode="External" Id="rId788" /><Relationship Type="http://schemas.openxmlformats.org/officeDocument/2006/relationships/hyperlink" Target="https://www.ndtv.com/india-news/rahul-gandhi-calls-ordinance-on-convicted-lawmakers-nonsense-huge-embarrassment-for-pm-535906" TargetMode="External" Id="rId789" /><Relationship Type="http://schemas.openxmlformats.org/officeDocument/2006/relationships/hyperlink" Target="#'Controversies'!A9" TargetMode="External" Id="rId790" /><Relationship Type="http://schemas.openxmlformats.org/officeDocument/2006/relationships/hyperlink" Target="#'Sources'!A44" TargetMode="External" Id="rId791" /><Relationship Type="http://schemas.openxmlformats.org/officeDocument/2006/relationships/hyperlink" Target="https://www.business-standard.com/article/politics/govt-bows-before-rahul-withdraws-ordinance-plan-113100200706_1.html" TargetMode="External" Id="rId792" /><Relationship Type="http://schemas.openxmlformats.org/officeDocument/2006/relationships/hyperlink" Target="#'Controversies'!A10" TargetMode="External" Id="rId793" /><Relationship Type="http://schemas.openxmlformats.org/officeDocument/2006/relationships/hyperlink" Target="#'Sources'!A26" TargetMode="External" Id="rId794" /><Relationship Type="http://schemas.openxmlformats.org/officeDocument/2006/relationships/hyperlink" Target="https://indianexpress.com/article/political-pulse/in-kerala-youth-cong-dissent-over-rahuls-internal-election-system/" TargetMode="External" Id="rId795" /><Relationship Type="http://schemas.openxmlformats.org/officeDocument/2006/relationships/hyperlink" Target="#'Controversies'!A10" TargetMode="External" Id="rId796" /><Relationship Type="http://schemas.openxmlformats.org/officeDocument/2006/relationships/hyperlink" Target="#'Sources'!A27" TargetMode="External" Id="rId797" /><Relationship Type="http://schemas.openxmlformats.org/officeDocument/2006/relationships/hyperlink" Target="https://timesofindia.indiatimes.com/india/youth-congress-to-retain-internal-polls/articleshow/36734347.cms" TargetMode="External" Id="rId798" /><Relationship Type="http://schemas.openxmlformats.org/officeDocument/2006/relationships/hyperlink" Target="#'Controversies'!A10" TargetMode="External" Id="rId799" /><Relationship Type="http://schemas.openxmlformats.org/officeDocument/2006/relationships/hyperlink" Target="#'Sources'!A28" TargetMode="External" Id="rId800" /><Relationship Type="http://schemas.openxmlformats.org/officeDocument/2006/relationships/hyperlink" Target="https://www.marketscreener.com/news/latest/Ridiculed-for-a-decade-India-s-Rahul-Gandhi-slows-Modi-juggernaut-46900641/" TargetMode="External" Id="rId801" /><Relationship Type="http://schemas.openxmlformats.org/officeDocument/2006/relationships/hyperlink" Target="#'Controversies'!A11" TargetMode="External" Id="rId802" /><Relationship Type="http://schemas.openxmlformats.org/officeDocument/2006/relationships/hyperlink" Target="#'Sources'!A36" TargetMode="External" Id="rId803" /><Relationship Type="http://schemas.openxmlformats.org/officeDocument/2006/relationships/hyperlink" Target="https://indianexpress.com/article/india/rahul-gandhi-vote-chori-cec-gyanesh-kumar-protecting-killing-democracy-10257103/" TargetMode="External" Id="rId804" /><Relationship Type="http://schemas.openxmlformats.org/officeDocument/2006/relationships/hyperlink" Target="#'Controversies'!A11" TargetMode="External" Id="rId805" /><Relationship Type="http://schemas.openxmlformats.org/officeDocument/2006/relationships/hyperlink" Target="#'Sources'!A35" TargetMode="External" Id="rId806" /><Relationship Type="http://schemas.openxmlformats.org/officeDocument/2006/relationships/hyperlink" Target="https://timesofindia.indiatimes.com/india/rahul-gandhi-press-conference-on-ec-gyanesh-kumar-resignation-sir-congress-vote-chori-election-bjp/articleshow/134457370.cms" TargetMode="External" Id="rId807" /><Relationship Type="http://schemas.openxmlformats.org/officeDocument/2006/relationships/hyperlink" Target="#'Controversies'!A12" TargetMode="External" Id="rId808" /><Relationship Type="http://schemas.openxmlformats.org/officeDocument/2006/relationships/hyperlink" Target="#'Sources'!A39" TargetMode="External" Id="rId809" /><Relationship Type="http://schemas.openxmlformats.org/officeDocument/2006/relationships/hyperlink" Target="https://www.ndtv.com/assembly/i-take-responsibility-says-rahul-gandhi-about-up-results-470319" TargetMode="External" Id="rId810" /><Relationship Type="http://schemas.openxmlformats.org/officeDocument/2006/relationships/hyperlink" Target="#'Controversies'!A12" TargetMode="External" Id="rId811" /><Relationship Type="http://schemas.openxmlformats.org/officeDocument/2006/relationships/hyperlink" Target="#'Sources'!A19" TargetMode="External" Id="rId812" /><Relationship Type="http://schemas.openxmlformats.org/officeDocument/2006/relationships/hyperlink" Target="https://www.ndtv.com/india-news/rahul-gandhis-open-letter-full-text-at-times-i-stood-completely-alone-2063455" TargetMode="External" Id="rId813" /><Relationship Type="http://schemas.openxmlformats.org/officeDocument/2006/relationships/hyperlink" Target="#'Controversies'!A12" TargetMode="External" Id="rId814" /><Relationship Type="http://schemas.openxmlformats.org/officeDocument/2006/relationships/hyperlink" Target="#'Sources'!A31" TargetMode="External" Id="rId815" /><Relationship Type="http://schemas.openxmlformats.org/officeDocument/2006/relationships/hyperlink" Target="https://indianexpress.com/article/political-pulse/congress-camps-bihar-post-mortem-rahul-yatra-fiasco-allavaru-problem-weak-structure-10375553/" TargetMode="External" Id="rId816" /><Relationship Type="http://schemas.openxmlformats.org/officeDocument/2006/relationships/hyperlink" Target="#'Controversies'!A12" TargetMode="External" Id="rId817" /><Relationship Type="http://schemas.openxmlformats.org/officeDocument/2006/relationships/hyperlink" Target="#'Sources'!A32" TargetMode="External" Id="rId818" /><Relationship Type="http://schemas.openxmlformats.org/officeDocument/2006/relationships/hyperlink" Target="https://indianexpress.com/article/political-pulse/rahul-equallyresponsible-bihar-loss-poll-review-10390484/" TargetMode="External" Id="rId819" /><Relationship Type="http://schemas.openxmlformats.org/officeDocument/2006/relationships/hyperlink" Target="#'Legacy &amp; Assessments'!A6" TargetMode="External" Id="rId820" /><Relationship Type="http://schemas.openxmlformats.org/officeDocument/2006/relationships/hyperlink" Target="#'Sources'!A28" TargetMode="External" Id="rId821" /><Relationship Type="http://schemas.openxmlformats.org/officeDocument/2006/relationships/hyperlink" Target="https://www.marketscreener.com/news/latest/Ridiculed-for-a-decade-India-s-Rahul-Gandhi-slows-Modi-juggernaut-46900641/" TargetMode="External" Id="rId822" /><Relationship Type="http://schemas.openxmlformats.org/officeDocument/2006/relationships/hyperlink" Target="#'Legacy &amp; Assessments'!A7" TargetMode="External" Id="rId823" /><Relationship Type="http://schemas.openxmlformats.org/officeDocument/2006/relationships/hyperlink" Target="#'Sources'!A29" TargetMode="External" Id="rId824" /><Relationship Type="http://schemas.openxmlformats.org/officeDocument/2006/relationships/hyperlink" Target="https://carnegieendowment.org/research/2024/09/india-election-bjp-party-politics" TargetMode="External" Id="rId825" /><Relationship Type="http://schemas.openxmlformats.org/officeDocument/2006/relationships/hyperlink" Target="#'Legacy &amp; Assessments'!A8" TargetMode="External" Id="rId826" /><Relationship Type="http://schemas.openxmlformats.org/officeDocument/2006/relationships/hyperlink" Target="#'Sources'!A26" TargetMode="External" Id="rId827" /><Relationship Type="http://schemas.openxmlformats.org/officeDocument/2006/relationships/hyperlink" Target="https://indianexpress.com/article/political-pulse/in-kerala-youth-cong-dissent-over-rahuls-internal-election-system/" TargetMode="External" Id="rId828" /><Relationship Type="http://schemas.openxmlformats.org/officeDocument/2006/relationships/hyperlink" Target="#'Legacy &amp; Assessments'!A8" TargetMode="External" Id="rId829" /><Relationship Type="http://schemas.openxmlformats.org/officeDocument/2006/relationships/hyperlink" Target="#'Sources'!A27" TargetMode="External" Id="rId830" /><Relationship Type="http://schemas.openxmlformats.org/officeDocument/2006/relationships/hyperlink" Target="https://timesofindia.indiatimes.com/india/youth-congress-to-retain-internal-polls/articleshow/36734347.cms" TargetMode="External" Id="rId831" /><Relationship Type="http://schemas.openxmlformats.org/officeDocument/2006/relationships/hyperlink" Target="#'Legacy &amp; Assessments'!A9" TargetMode="External" Id="rId832" /><Relationship Type="http://schemas.openxmlformats.org/officeDocument/2006/relationships/hyperlink" Target="#'Sources'!A40" TargetMode="External" Id="rId833" /><Relationship Type="http://schemas.openxmlformats.org/officeDocument/2006/relationships/hyperlink" Target="https://indianexpress.com/article/india/rahul-gandhi-caste-census-population-congress-centre-cabinet-9975117/" TargetMode="External" Id="rId834" /><Relationship Type="http://schemas.openxmlformats.org/officeDocument/2006/relationships/hyperlink" Target="#'Legacy &amp; Assessments'!A9" TargetMode="External" Id="rId835" /><Relationship Type="http://schemas.openxmlformats.org/officeDocument/2006/relationships/hyperlink" Target="#'Sources'!A41" TargetMode="External" Id="rId836" /><Relationship Type="http://schemas.openxmlformats.org/officeDocument/2006/relationships/hyperlink" Target="https://www.pib.gov.in/PressReleasePage.aspx?PRID=2125576" TargetMode="External" Id="rId837" /><Relationship Type="http://schemas.openxmlformats.org/officeDocument/2006/relationships/hyperlink" Target="#'Legacy &amp; Assessments'!A10" TargetMode="External" Id="rId838" /><Relationship Type="http://schemas.openxmlformats.org/officeDocument/2006/relationships/hyperlink" Target="#'Sources'!A31" TargetMode="External" Id="rId839" /><Relationship Type="http://schemas.openxmlformats.org/officeDocument/2006/relationships/hyperlink" Target="https://indianexpress.com/article/political-pulse/congress-camps-bihar-post-mortem-rahul-yatra-fiasco-allavaru-problem-weak-structure-10375553/" TargetMode="External" Id="rId840" /><Relationship Type="http://schemas.openxmlformats.org/officeDocument/2006/relationships/hyperlink" Target="#'Legacy &amp; Assessments'!A10" TargetMode="External" Id="rId841" /><Relationship Type="http://schemas.openxmlformats.org/officeDocument/2006/relationships/hyperlink" Target="#'Sources'!A32" TargetMode="External" Id="rId842" /><Relationship Type="http://schemas.openxmlformats.org/officeDocument/2006/relationships/hyperlink" Target="https://indianexpress.com/article/political-pulse/rahul-equallyresponsible-bihar-loss-poll-review-10390484/" TargetMode="External" Id="rId843" /><Relationship Type="http://schemas.openxmlformats.org/officeDocument/2006/relationships/hyperlink" Target="#'Legacy &amp; Assessments'!A11" TargetMode="External" Id="rId844" /><Relationship Type="http://schemas.openxmlformats.org/officeDocument/2006/relationships/hyperlink" Target="#'Sources'!A7" TargetMode="External" Id="rId845" /><Relationship Type="http://schemas.openxmlformats.org/officeDocument/2006/relationships/hyperlink" Target="https://sansad.in/ls/about/leader-of-opposition" TargetMode="External" Id="rId846" /><Relationship Type="http://schemas.openxmlformats.org/officeDocument/2006/relationships/hyperlink" Target="#'Legacy &amp; Assessments'!A11" TargetMode="External" Id="rId847" /><Relationship Type="http://schemas.openxmlformats.org/officeDocument/2006/relationships/hyperlink" Target="#'Sources'!A8" TargetMode="External" Id="rId848" /><Relationship Type="http://schemas.openxmlformats.org/officeDocument/2006/relationships/hyperlink" Target="https://prsindia.org/mptrack/18-lok-sabha/rahul-gandhi" TargetMode="External" Id="rId849" /><Relationship Type="http://schemas.openxmlformats.org/officeDocument/2006/relationships/hyperlink" Target="#'Legacy &amp; Assessments'!A11" TargetMode="External" Id="rId850" /><Relationship Type="http://schemas.openxmlformats.org/officeDocument/2006/relationships/hyperlink" Target="#'Sources'!A28" TargetMode="External" Id="rId851" /><Relationship Type="http://schemas.openxmlformats.org/officeDocument/2006/relationships/hyperlink" Target="https://www.marketscreener.com/news/latest/Ridiculed-for-a-decade-India-s-Rahul-Gandhi-slows-Modi-juggernaut-46900641/" TargetMode="External" Id="rId852" /><Relationship Type="http://schemas.openxmlformats.org/officeDocument/2006/relationships/hyperlink" Target="#'Legacy &amp; Assessments'!A11" TargetMode="External" Id="rId853" /><Relationship Type="http://schemas.openxmlformats.org/officeDocument/2006/relationships/hyperlink" Target="#'Sources'!A40" TargetMode="External" Id="rId854" /><Relationship Type="http://schemas.openxmlformats.org/officeDocument/2006/relationships/hyperlink" Target="https://indianexpress.com/article/india/rahul-gandhi-caste-census-population-congress-centre-cabinet-9975117/" TargetMode="External" Id="rId855" /><Relationship Type="http://schemas.openxmlformats.org/officeDocument/2006/relationships/table" Target="/xl/tables/table13.xml" Id="rId856"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0"/>
    <pageSetUpPr fitToPage="1"/>
  </sheetPr>
  <dimension ref="A1:L3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s>
  <sheetData>
    <row r="1" ht="36" customHeight="1">
      <c r="A1" s="1" t="inlineStr">
        <is>
          <t>Rahul Gandhi | Overview</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Overview ID</t>
        </is>
      </c>
      <c r="B5" s="3" t="inlineStr">
        <is>
          <t>Topic</t>
        </is>
      </c>
      <c r="C5" s="3" t="inlineStr">
        <is>
          <t>Finding / value</t>
        </is>
      </c>
      <c r="D5" s="3" t="inlineStr">
        <is>
          <t>Evidence review</t>
        </is>
      </c>
      <c r="E5" s="3" t="inlineStr">
        <is>
          <t>All citations</t>
        </is>
      </c>
      <c r="F5" s="3" t="inlineStr">
        <is>
          <t>Claim details</t>
        </is>
      </c>
      <c r="G5" s="3" t="inlineStr">
        <is>
          <t>Claim type</t>
        </is>
      </c>
      <c r="H5" s="3" t="inlineStr">
        <is>
          <t>Source IDs</t>
        </is>
      </c>
      <c r="I5" s="3" t="inlineStr">
        <is>
          <t>Corroboration</t>
        </is>
      </c>
      <c r="J5" s="3" t="inlineStr">
        <is>
          <t>Research note</t>
        </is>
      </c>
      <c r="K5" s="3" t="inlineStr">
        <is>
          <t>Context IDs</t>
        </is>
      </c>
      <c r="L5" s="3" t="inlineStr">
        <is>
          <t>Section</t>
        </is>
      </c>
    </row>
    <row r="6" ht="44" customHeight="1">
      <c r="A6" s="4" t="inlineStr">
        <is>
          <t>OV01</t>
        </is>
      </c>
      <c r="B6" s="4" t="inlineStr">
        <is>
          <t>Subject</t>
        </is>
      </c>
      <c r="C6" s="4" t="inlineStr">
        <is>
          <t>Rahul Gandhi (राहुल गांधी); Indian National Congress politician; born 19 June 1970; living.</t>
        </is>
      </c>
      <c r="D6" s="4" t="inlineStr">
        <is>
          <t>Supported</t>
        </is>
      </c>
      <c r="E6" s="5" t="inlineStr">
        <is>
          <t>All citations</t>
        </is>
      </c>
      <c r="F6" s="5" t="inlineStr">
        <is>
          <t>Claims</t>
        </is>
      </c>
      <c r="G6" s="4" t="inlineStr">
        <is>
          <t>Recorded fact</t>
        </is>
      </c>
      <c r="H6" s="4" t="inlineStr">
        <is>
          <t>S004</t>
        </is>
      </c>
      <c r="I6" s="4" t="inlineStr">
        <is>
          <t>Interested source only</t>
        </is>
      </c>
      <c r="J6" s="4" t="n"/>
      <c r="K6" s="4" t="n"/>
      <c r="L6" s="4" t="n"/>
    </row>
    <row r="7" ht="52" customHeight="1">
      <c r="A7" s="6" t="inlineStr">
        <is>
          <t>OV02</t>
        </is>
      </c>
      <c r="B7" s="6" t="inlineStr">
        <is>
          <t>Current office</t>
        </is>
      </c>
      <c r="C7" s="6" t="inlineStr">
        <is>
          <t>MP for Rae Bareli, Uttar Pradesh, in his fifth Lok Sabha term; Leader of Opposition, Lok Sabha, effective 9 June 2024.</t>
        </is>
      </c>
      <c r="D7" s="6" t="inlineStr">
        <is>
          <t>Supported</t>
        </is>
      </c>
      <c r="E7" s="7" t="inlineStr">
        <is>
          <t>All citations</t>
        </is>
      </c>
      <c r="F7" s="7" t="inlineStr">
        <is>
          <t>Claims</t>
        </is>
      </c>
      <c r="G7" s="6" t="inlineStr">
        <is>
          <t>Recorded fact</t>
        </is>
      </c>
      <c r="H7" s="6" t="inlineStr">
        <is>
          <t>S002; S003</t>
        </is>
      </c>
      <c r="I7" s="6" t="inlineStr">
        <is>
          <t>Primary record</t>
        </is>
      </c>
      <c r="J7" s="6" t="n"/>
      <c r="K7" s="6" t="n"/>
      <c r="L7" s="6" t="n"/>
    </row>
    <row r="8" ht="66" customHeight="1">
      <c r="A8" s="4" t="inlineStr">
        <is>
          <t>OV03</t>
        </is>
      </c>
      <c r="B8" s="4" t="inlineStr">
        <is>
          <t>Political geography</t>
        </is>
      </c>
      <c r="C8" s="4" t="inlineStr">
        <is>
          <t>Amethi (2004–2019), Wayanad (2019–2024, with a 2023 disqualification interruption), then Rae Bareli. Won Wayanad again in 2024 and relinquished it effective 18 June.</t>
        </is>
      </c>
      <c r="D8" s="4" t="inlineStr">
        <is>
          <t>Supported</t>
        </is>
      </c>
      <c r="E8" s="5" t="inlineStr">
        <is>
          <t>All citations</t>
        </is>
      </c>
      <c r="F8" s="5" t="inlineStr">
        <is>
          <t>Claims</t>
        </is>
      </c>
      <c r="G8" s="4" t="inlineStr">
        <is>
          <t>Recorded fact</t>
        </is>
      </c>
      <c r="H8" s="4" t="inlineStr">
        <is>
          <t>S004; S011; S042; S043</t>
        </is>
      </c>
      <c r="I8" s="4" t="inlineStr">
        <is>
          <t>Multiple independent sources</t>
        </is>
      </c>
      <c r="J8" s="4" t="n"/>
      <c r="K8" s="4" t="n"/>
      <c r="L8" s="4" t="n"/>
    </row>
    <row r="9" ht="66" customHeight="1">
      <c r="A9" s="6" t="inlineStr">
        <is>
          <t>OV04</t>
        </is>
      </c>
      <c r="B9" s="6" t="inlineStr">
        <is>
          <t>Party leadership</t>
        </is>
      </c>
      <c r="C9" s="6" t="inlineStr">
        <is>
          <t>AICC general secretary from September 2007; Congress vice-president from January 2013; president from 16 December 2017. Resigned after the 2019 defeat; confirmed departure publicly on 3 July.</t>
        </is>
      </c>
      <c r="D9" s="6" t="inlineStr">
        <is>
          <t>Supported</t>
        </is>
      </c>
      <c r="E9" s="7" t="inlineStr">
        <is>
          <t>All citations</t>
        </is>
      </c>
      <c r="F9" s="7" t="inlineStr">
        <is>
          <t>Claims</t>
        </is>
      </c>
      <c r="G9" s="6" t="inlineStr">
        <is>
          <t>Recorded fact</t>
        </is>
      </c>
      <c r="H9" s="6" t="inlineStr">
        <is>
          <t>S004; S014</t>
        </is>
      </c>
      <c r="I9" s="6" t="inlineStr">
        <is>
          <t>Multiple independent sources</t>
        </is>
      </c>
      <c r="J9" s="6" t="n"/>
      <c r="K9" s="6" t="n"/>
      <c r="L9" s="6" t="n"/>
    </row>
    <row r="10" ht="66" customHeight="1">
      <c r="A10" s="4" t="inlineStr">
        <is>
          <t>OV05</t>
        </is>
      </c>
      <c r="B10" s="4" t="inlineStr">
        <is>
          <t>Education and access</t>
        </is>
      </c>
      <c r="C10" s="4" t="inlineStr">
        <is>
          <t>Rollins graduate (1994), Cambridge MPhil in Development Studies (1995). Family political prominence aided access; assassinations and security concerns also shaped his early life.</t>
        </is>
      </c>
      <c r="D10" s="4" t="inlineStr">
        <is>
          <t>Supported</t>
        </is>
      </c>
      <c r="E10" s="5" t="inlineStr">
        <is>
          <t>All citations</t>
        </is>
      </c>
      <c r="F10" s="5" t="inlineStr">
        <is>
          <t>Claims</t>
        </is>
      </c>
      <c r="G10" s="4" t="inlineStr">
        <is>
          <t>Analysis</t>
        </is>
      </c>
      <c r="H10" s="4" t="inlineStr">
        <is>
          <t>S005; S004</t>
        </is>
      </c>
      <c r="I10" s="4" t="inlineStr">
        <is>
          <t>Multiple independent sources</t>
        </is>
      </c>
      <c r="J10" s="4" t="n"/>
      <c r="K10" s="4" t="n"/>
      <c r="L10" s="4" t="n"/>
    </row>
    <row r="11" ht="66" customHeight="1">
      <c r="A11" s="6" t="inlineStr">
        <is>
          <t>OV06</t>
        </is>
      </c>
      <c r="B11" s="6" t="inlineStr">
        <is>
          <t>Electoral record</t>
        </is>
      </c>
      <c r="C11" s="6" t="inlineStr">
        <is>
          <t>Seven constituency contests across five general elections: six wins and one loss. The loss was Amethi in 2019; two wins in 2024 count as one parliamentary term.</t>
        </is>
      </c>
      <c r="D11" s="6" t="inlineStr">
        <is>
          <t>Supported</t>
        </is>
      </c>
      <c r="E11" s="7" t="inlineStr">
        <is>
          <t>All citations</t>
        </is>
      </c>
      <c r="F11" s="7" t="inlineStr">
        <is>
          <t>Claims</t>
        </is>
      </c>
      <c r="G11" s="6" t="inlineStr">
        <is>
          <t>Analysis</t>
        </is>
      </c>
      <c r="H11" s="6" t="inlineStr">
        <is>
          <t>S006; S007; S008; S009</t>
        </is>
      </c>
      <c r="I11" s="6" t="inlineStr">
        <is>
          <t>Primary record</t>
        </is>
      </c>
      <c r="J11" s="6" t="n"/>
      <c r="K11" s="6" t="n"/>
      <c r="L11" s="6" t="n"/>
    </row>
    <row r="12" ht="66" customHeight="1">
      <c r="A12" s="4" t="inlineStr">
        <is>
          <t>OV07</t>
        </is>
      </c>
      <c r="B12" s="4" t="inlineStr">
        <is>
          <t>Career in brief</t>
        </is>
      </c>
      <c r="C12" s="4" t="inlineStr">
        <is>
          <t>He moved from youth-organisation reform and party succession to national opposition campaigning, two cross-country yatras, and formal parliamentary opposition leadership.</t>
        </is>
      </c>
      <c r="D12" s="4" t="inlineStr">
        <is>
          <t>Supported</t>
        </is>
      </c>
      <c r="E12" s="5" t="inlineStr">
        <is>
          <t>All citations</t>
        </is>
      </c>
      <c r="F12" s="5" t="inlineStr">
        <is>
          <t>Claims</t>
        </is>
      </c>
      <c r="G12" s="4" t="inlineStr">
        <is>
          <t>Analysis</t>
        </is>
      </c>
      <c r="H12" s="4" t="inlineStr">
        <is>
          <t>S004; S022; S015; S002</t>
        </is>
      </c>
      <c r="I12" s="4" t="inlineStr">
        <is>
          <t>Primary record</t>
        </is>
      </c>
      <c r="J12" s="4" t="n"/>
      <c r="K12" s="4" t="n"/>
      <c r="L12" s="4" t="n"/>
    </row>
    <row r="13" ht="80" customHeight="1">
      <c r="A13" s="6" t="inlineStr">
        <is>
          <t>OV08</t>
        </is>
      </c>
      <c r="B13" s="6" t="inlineStr">
        <is>
          <t>Principal contributions</t>
        </is>
      </c>
      <c r="C13" s="6" t="inlineStr">
        <is>
          <t>His clearest documented contributions are organisational experimentation, sustained opposition advocacy and public mobilisation. The caste-enumeration debate illustrates agenda influence with disputed credit.</t>
        </is>
      </c>
      <c r="D13" s="6" t="inlineStr">
        <is>
          <t>Supported</t>
        </is>
      </c>
      <c r="E13" s="7" t="inlineStr">
        <is>
          <t>All citations</t>
        </is>
      </c>
      <c r="F13" s="7" t="inlineStr">
        <is>
          <t>Claims</t>
        </is>
      </c>
      <c r="G13" s="6" t="inlineStr">
        <is>
          <t>Analysis</t>
        </is>
      </c>
      <c r="H13" s="6" t="inlineStr">
        <is>
          <t>S021; S022; S023; S035; S036</t>
        </is>
      </c>
      <c r="I13" s="6" t="inlineStr">
        <is>
          <t>Primary record</t>
        </is>
      </c>
      <c r="J13" s="6" t="n"/>
      <c r="K13" s="6" t="n"/>
      <c r="L13" s="6" t="n"/>
    </row>
    <row r="14" ht="66" customHeight="1">
      <c r="A14" s="4" t="inlineStr">
        <is>
          <t>OV09</t>
        </is>
      </c>
      <c r="B14" s="4" t="inlineStr">
        <is>
          <t>Policy focus</t>
        </is>
      </c>
      <c r="C14" s="4" t="inlineStr">
        <is>
          <t>Caste representation, redistribution, employment, farmers’ protections, women’s representation and constitutional pluralism recur in his speeches and Congress’s platform.</t>
        </is>
      </c>
      <c r="D14" s="4" t="inlineStr">
        <is>
          <t>Supported</t>
        </is>
      </c>
      <c r="E14" s="5" t="inlineStr">
        <is>
          <t>All citations</t>
        </is>
      </c>
      <c r="F14" s="5" t="inlineStr">
        <is>
          <t>Claims</t>
        </is>
      </c>
      <c r="G14" s="4" t="inlineStr">
        <is>
          <t>Analysis</t>
        </is>
      </c>
      <c r="H14" s="4" t="inlineStr">
        <is>
          <t>S016; S017; S018; S019; S033; S028</t>
        </is>
      </c>
      <c r="I14" s="4" t="inlineStr">
        <is>
          <t>Multiple independent sources</t>
        </is>
      </c>
      <c r="J14" s="4" t="n"/>
      <c r="K14" s="4" t="n"/>
      <c r="L14" s="4" t="n"/>
    </row>
    <row r="15" ht="66" customHeight="1">
      <c r="A15" s="6" t="inlineStr">
        <is>
          <t>OV10</t>
        </is>
      </c>
      <c r="B15" s="6" t="inlineStr">
        <is>
          <t>Limitations and reversals</t>
        </is>
      </c>
      <c r="C15" s="6" t="inlineStr">
        <is>
          <t>The 2012 UP setback, 2019 national defeat and Amethi loss, and the 2025 Bihar setback show that campaign visibility has not consistently produced electoral recovery.</t>
        </is>
      </c>
      <c r="D15" s="6" t="inlineStr">
        <is>
          <t>Supported</t>
        </is>
      </c>
      <c r="E15" s="7" t="inlineStr">
        <is>
          <t>All citations</t>
        </is>
      </c>
      <c r="F15" s="7" t="inlineStr">
        <is>
          <t>Claims</t>
        </is>
      </c>
      <c r="G15" s="6" t="inlineStr">
        <is>
          <t>Analysis</t>
        </is>
      </c>
      <c r="H15" s="6" t="inlineStr">
        <is>
          <t>S034; S014; S007; S026</t>
        </is>
      </c>
      <c r="I15" s="6" t="inlineStr">
        <is>
          <t>Multiple independent sources</t>
        </is>
      </c>
      <c r="J15" s="6" t="n"/>
      <c r="K15" s="6" t="n"/>
      <c r="L15" s="6" t="n"/>
    </row>
    <row r="16" ht="80" customHeight="1">
      <c r="A16" s="4" t="inlineStr">
        <is>
          <t>OV11</t>
        </is>
      </c>
      <c r="B16" s="4" t="inlineStr">
        <is>
          <t>Legal status</t>
        </is>
      </c>
      <c r="C16" s="4" t="inlineStr">
        <is>
          <t>The 2023 defamation conviction was stayed, not overturned by the inspected order. In the National Herald money-laundering matter, ED’s challenge to refusal of cognisance remained before the High Court in September 2026.</t>
        </is>
      </c>
      <c r="D16" s="4" t="inlineStr">
        <is>
          <t>Supported</t>
        </is>
      </c>
      <c r="E16" s="5" t="inlineStr">
        <is>
          <t>All citations</t>
        </is>
      </c>
      <c r="F16" s="5" t="inlineStr">
        <is>
          <t>Claims</t>
        </is>
      </c>
      <c r="G16" s="4" t="inlineStr">
        <is>
          <t>Recorded fact</t>
        </is>
      </c>
      <c r="H16" s="4" t="inlineStr">
        <is>
          <t>S010; S012; S013</t>
        </is>
      </c>
      <c r="I16" s="4" t="inlineStr">
        <is>
          <t>Primary record</t>
        </is>
      </c>
      <c r="J16" s="4" t="inlineStr">
        <is>
          <t>Defamation appeal merits after the 2023 stay remain an open retrieval gap. National Herald latest inspected hearing report: 22 September 2026.</t>
        </is>
      </c>
      <c r="K16" s="4" t="n"/>
      <c r="L16" s="4" t="n"/>
    </row>
    <row r="17" ht="80" customHeight="1">
      <c r="A17" s="6" t="inlineStr">
        <is>
          <t>OV12</t>
        </is>
      </c>
      <c r="B17" s="6" t="inlineStr">
        <is>
          <t>Gender and political reception</t>
        </is>
      </c>
      <c r="C17" s="6" t="inlineStr">
        <is>
          <t>Dynastic access and security are evidenced; a specifically gender-based barrier to his advancement is not established. Commentary about physical endurance supplies a bounded example of masculine campaign imagery.</t>
        </is>
      </c>
      <c r="D17" s="6" t="inlineStr">
        <is>
          <t>Supported</t>
        </is>
      </c>
      <c r="E17" s="7" t="inlineStr">
        <is>
          <t>All citations</t>
        </is>
      </c>
      <c r="F17" s="7" t="inlineStr">
        <is>
          <t>Claims</t>
        </is>
      </c>
      <c r="G17" s="6" t="inlineStr">
        <is>
          <t>Analysis</t>
        </is>
      </c>
      <c r="H17" s="6" t="inlineStr">
        <is>
          <t>S004; S005; S025</t>
        </is>
      </c>
      <c r="I17" s="6" t="inlineStr">
        <is>
          <t>Multiple independent sources</t>
        </is>
      </c>
      <c r="J17" s="6" t="n"/>
      <c r="K17" s="6" t="inlineStr">
        <is>
          <t>CT-G-05; CT-G-07; CT-G-09</t>
        </is>
      </c>
      <c r="L17" s="6" t="n"/>
    </row>
    <row r="18" ht="80" customHeight="1">
      <c r="A18" s="4" t="inlineStr">
        <is>
          <t>OV13</t>
        </is>
      </c>
      <c r="B18" s="4" t="inlineStr">
        <is>
          <t>Historical significance</t>
        </is>
      </c>
      <c r="C18" s="4" t="inlineStr">
        <is>
          <t>A major test case for Congress’s adaptation to BJP-centred competition. The 2024 recovery enlarged opposition space; it did not itself end BJP centrality or settle Congress’s organisational weaknesses.</t>
        </is>
      </c>
      <c r="D18" s="4" t="inlineStr">
        <is>
          <t>Supported</t>
        </is>
      </c>
      <c r="E18" s="5" t="inlineStr">
        <is>
          <t>All citations</t>
        </is>
      </c>
      <c r="F18" s="5" t="inlineStr">
        <is>
          <t>Claims</t>
        </is>
      </c>
      <c r="G18" s="4" t="inlineStr">
        <is>
          <t>Analysis</t>
        </is>
      </c>
      <c r="H18" s="4" t="inlineStr">
        <is>
          <t>S023; S024; S026</t>
        </is>
      </c>
      <c r="I18" s="4" t="inlineStr">
        <is>
          <t>Multiple independent sources</t>
        </is>
      </c>
      <c r="J18" s="4" t="n"/>
      <c r="K18" s="4" t="n"/>
      <c r="L18" s="4" t="n"/>
    </row>
    <row r="19" ht="66" customHeight="1">
      <c r="A19" s="6" t="inlineStr">
        <is>
          <t>OV14</t>
        </is>
      </c>
      <c r="B19" s="6" t="inlineStr">
        <is>
          <t>Scope and cutoff</t>
        </is>
      </c>
      <c r="C19" s="6" t="inlineStr">
        <is>
          <t>Research snapshot as of 24 September 2026. Four political phases; formative background before 2004. Later developments are included selectively, not as an exhaustive daily chronicle.</t>
        </is>
      </c>
      <c r="D19" s="6" t="inlineStr">
        <is>
          <t>Method / scope</t>
        </is>
      </c>
      <c r="E19" s="6" t="n"/>
      <c r="F19" s="6" t="n"/>
      <c r="G19" s="6" t="inlineStr">
        <is>
          <t>Method / scope</t>
        </is>
      </c>
      <c r="H19" s="6" t="inlineStr"/>
      <c r="I19" s="6" t="inlineStr">
        <is>
          <t>Method / scope</t>
        </is>
      </c>
      <c r="J19" s="6" t="n"/>
      <c r="K19" s="6" t="n"/>
      <c r="L19" s="6" t="n"/>
    </row>
    <row r="20" ht="80" customHeight="1">
      <c r="A20" s="4" t="inlineStr">
        <is>
          <t>OV15</t>
        </is>
      </c>
      <c r="B20" s="4" t="inlineStr">
        <is>
          <t>Reading the evidence</t>
        </is>
      </c>
      <c r="C20" s="4" t="inlineStr">
        <is>
          <t>Supported means the registered field was checked against an inspected passage, or explicitly identified synthesis. It does not certify every contextual implication. Interested sources verify stated positions; an allegation is not a finding.</t>
        </is>
      </c>
      <c r="D20" s="4" t="inlineStr">
        <is>
          <t>Method / scope</t>
        </is>
      </c>
      <c r="E20" s="4" t="n"/>
      <c r="F20" s="4" t="n"/>
      <c r="G20" s="4" t="inlineStr">
        <is>
          <t>Method / scope</t>
        </is>
      </c>
      <c r="H20" s="4" t="inlineStr"/>
      <c r="I20" s="4" t="inlineStr">
        <is>
          <t>Method / scope</t>
        </is>
      </c>
      <c r="J20" s="4" t="n"/>
      <c r="K20" s="4" t="n"/>
      <c r="L20" s="4" t="n"/>
    </row>
    <row r="21" ht="80" customHeight="1">
      <c r="A21" s="6" t="inlineStr">
        <is>
          <t>OV16</t>
        </is>
      </c>
      <c r="B21" s="6" t="inlineStr">
        <is>
          <t>Open gaps</t>
        </is>
      </c>
      <c r="C21" s="6" t="inlineStr">
        <is>
          <t>Original 2004–2014 election returns, two older vote shares, detailed committee tenure dates, later defamation appeal merits, constituency outcome attribution and systematic gender evidence need further work.</t>
        </is>
      </c>
      <c r="D21" s="6" t="inlineStr">
        <is>
          <t>Method / scope</t>
        </is>
      </c>
      <c r="E21" s="6" t="n"/>
      <c r="F21" s="6" t="n"/>
      <c r="G21" s="6" t="inlineStr">
        <is>
          <t>Method / scope</t>
        </is>
      </c>
      <c r="H21" s="6" t="inlineStr"/>
      <c r="I21" s="6" t="inlineStr">
        <is>
          <t>Method / scope</t>
        </is>
      </c>
      <c r="J21" s="6" t="n"/>
      <c r="K21" s="6" t="n"/>
      <c r="L21" s="6" t="n"/>
    </row>
    <row r="22" ht="80" customHeight="1">
      <c r="A22" s="4" t="inlineStr">
        <is>
          <t>OV17</t>
        </is>
      </c>
      <c r="B22" s="4" t="inlineStr">
        <is>
          <t>Numbers and policy rules</t>
        </is>
      </c>
      <c r="C22" s="4" t="inlineStr">
        <is>
          <t>Blank election values mean unresolved data. Signed margins are candidate minus principal opponent votes. 2024 shares use ECI total-polled denominators. Manifesto commitments remain proposals unless a separate adoption record is cited.</t>
        </is>
      </c>
      <c r="D22" s="4" t="inlineStr">
        <is>
          <t>Method / scope</t>
        </is>
      </c>
      <c r="E22" s="4" t="n"/>
      <c r="F22" s="4" t="n"/>
      <c r="G22" s="4" t="inlineStr">
        <is>
          <t>Method / scope</t>
        </is>
      </c>
      <c r="H22" s="4" t="inlineStr"/>
      <c r="I22" s="4" t="inlineStr">
        <is>
          <t>Method / scope</t>
        </is>
      </c>
      <c r="J22" s="4" t="n"/>
      <c r="K22" s="4" t="n"/>
      <c r="L22" s="4" t="n"/>
    </row>
    <row r="23" ht="80" customHeight="1">
      <c r="A23" s="6" t="inlineStr">
        <is>
          <t>OV18</t>
        </is>
      </c>
      <c r="B23" s="6" t="inlineStr">
        <is>
          <t>Application check</t>
        </is>
      </c>
      <c r="C23" s="6" t="inlineStr">
        <is>
          <t>Structural checks, arithmetic, passage review, application recalculation and visual inspection are separate. Formula-only viewers may show blank values before recalculation. The delivery note states the application checks completed.</t>
        </is>
      </c>
      <c r="D23" s="6" t="inlineStr">
        <is>
          <t>Method / scope</t>
        </is>
      </c>
      <c r="E23" s="6" t="n"/>
      <c r="F23" s="6" t="n"/>
      <c r="G23" s="6" t="inlineStr">
        <is>
          <t>Method / scope</t>
        </is>
      </c>
      <c r="H23" s="6" t="inlineStr"/>
      <c r="I23" s="6" t="inlineStr">
        <is>
          <t>Method / scope</t>
        </is>
      </c>
      <c r="J23" s="6" t="n"/>
      <c r="K23" s="6" t="n"/>
      <c r="L23" s="6" t="n"/>
    </row>
    <row r="24" ht="44" customHeight="1">
      <c r="A24" s="4" t="inlineStr">
        <is>
          <t>QA01</t>
        </is>
      </c>
      <c r="B24" s="4" t="inlineStr">
        <is>
          <t>Supported field claims</t>
        </is>
      </c>
      <c r="C24" s="8">
        <f>COUNTIF(Claims!D6:D215,"Supported")</f>
        <v/>
      </c>
      <c r="D24" s="4" t="inlineStr">
        <is>
          <t>Workbook calculation</t>
        </is>
      </c>
      <c r="E24" s="4" t="n"/>
      <c r="F24" s="4" t="n"/>
      <c r="G24" s="4" t="inlineStr">
        <is>
          <t>Derived count</t>
        </is>
      </c>
      <c r="H24" s="4" t="n"/>
      <c r="I24" s="4" t="n"/>
      <c r="J24" s="4" t="n"/>
      <c r="K24" s="4" t="n"/>
      <c r="L24" s="4" t="inlineStr">
        <is>
          <t>Evidence coverage</t>
        </is>
      </c>
    </row>
    <row r="25" ht="44" customHeight="1">
      <c r="A25" s="6" t="inlineStr">
        <is>
          <t>QA02</t>
        </is>
      </c>
      <c r="B25" s="6" t="inlineStr">
        <is>
          <t>Registered field claims</t>
        </is>
      </c>
      <c r="C25" s="9">
        <f>COUNTA(Claims!A6:A215)</f>
        <v/>
      </c>
      <c r="D25" s="6" t="inlineStr">
        <is>
          <t>Workbook calculation</t>
        </is>
      </c>
      <c r="E25" s="6" t="n"/>
      <c r="F25" s="6" t="n"/>
      <c r="G25" s="6" t="inlineStr">
        <is>
          <t>Derived count</t>
        </is>
      </c>
      <c r="H25" s="6" t="n"/>
      <c r="I25" s="6" t="n"/>
      <c r="J25" s="6" t="n"/>
      <c r="K25" s="6" t="n"/>
      <c r="L25" s="6" t="inlineStr">
        <is>
          <t>Evidence coverage</t>
        </is>
      </c>
    </row>
    <row r="26" ht="44" customHeight="1">
      <c r="A26" s="4" t="inlineStr">
        <is>
          <t>QA03</t>
        </is>
      </c>
      <c r="B26" s="4" t="inlineStr">
        <is>
          <t>High-priority claims awaiting support</t>
        </is>
      </c>
      <c r="C26" s="8" t="n">
        <v>0</v>
      </c>
      <c r="D26" s="4" t="inlineStr">
        <is>
          <t>Workbook calculation</t>
        </is>
      </c>
      <c r="E26" s="4" t="n"/>
      <c r="F26" s="4" t="n"/>
      <c r="G26" s="4" t="inlineStr">
        <is>
          <t>Derived count</t>
        </is>
      </c>
      <c r="H26" s="4" t="n"/>
      <c r="I26" s="4" t="n"/>
      <c r="J26" s="4" t="n"/>
      <c r="K26" s="4" t="n"/>
      <c r="L26" s="4" t="inlineStr">
        <is>
          <t>Evidence coverage</t>
        </is>
      </c>
    </row>
    <row r="27" ht="44" customHeight="1">
      <c r="A27" s="6" t="inlineStr">
        <is>
          <t>QA04</t>
        </is>
      </c>
      <c r="B27" s="6" t="inlineStr">
        <is>
          <t>Direct contests missing candidate votes</t>
        </is>
      </c>
      <c r="C27" s="9" t="n">
        <v>0</v>
      </c>
      <c r="D27" s="6" t="inlineStr">
        <is>
          <t>Workbook calculation</t>
        </is>
      </c>
      <c r="E27" s="6" t="n"/>
      <c r="F27" s="6" t="n"/>
      <c r="G27" s="6" t="inlineStr">
        <is>
          <t>Derived count</t>
        </is>
      </c>
      <c r="H27" s="6" t="n"/>
      <c r="I27" s="6" t="n"/>
      <c r="J27" s="6" t="n"/>
      <c r="K27" s="6" t="n"/>
      <c r="L27" s="6" t="inlineStr">
        <is>
          <t>Evidence coverage</t>
        </is>
      </c>
    </row>
    <row r="28" ht="44" customHeight="1">
      <c r="A28" s="4" t="inlineStr">
        <is>
          <t>QA05</t>
        </is>
      </c>
      <c r="B28" s="4" t="inlineStr">
        <is>
          <t>Direct contests missing vote share</t>
        </is>
      </c>
      <c r="C28" s="8" t="n">
        <v>2</v>
      </c>
      <c r="D28" s="4" t="inlineStr">
        <is>
          <t>Workbook calculation</t>
        </is>
      </c>
      <c r="E28" s="4" t="n"/>
      <c r="F28" s="4" t="n"/>
      <c r="G28" s="4" t="inlineStr">
        <is>
          <t>Derived count</t>
        </is>
      </c>
      <c r="H28" s="4" t="n"/>
      <c r="I28" s="4" t="n"/>
      <c r="J28" s="4" t="n"/>
      <c r="K28" s="4" t="n"/>
      <c r="L28" s="4" t="inlineStr">
        <is>
          <t>Evidence coverage</t>
        </is>
      </c>
    </row>
    <row r="29" ht="136" customHeight="1">
      <c r="A29" s="6" t="inlineStr">
        <is>
          <t>GUIDE</t>
        </is>
      </c>
      <c r="B29" s="6" t="inlineStr">
        <is>
          <t>Context guidance</t>
        </is>
      </c>
      <c r="C29" s="6" t="inlineStr">
        <is>
          <t>Four career phases separate governing-party access, opposition presidency, yatra recovery and formal LoP leadership. All ten gender questions and ten era dimensions per phase are reviewed. Dispositions distinguish findings from gaps. Expand grouped columns for context, dates, attribution limits and comparison cautions. Evidence status applies only to registered fields; compound fields are review units, not a count of all historical claims.</t>
        </is>
      </c>
      <c r="D29" s="6" t="inlineStr">
        <is>
          <t>Method / scope</t>
        </is>
      </c>
      <c r="E29" s="6" t="n"/>
      <c r="F29" s="6" t="n"/>
      <c r="G29" s="6" t="inlineStr">
        <is>
          <t>Method / scope</t>
        </is>
      </c>
      <c r="H29" s="6" t="n"/>
      <c r="I29" s="6" t="n"/>
      <c r="J29" s="6" t="n"/>
      <c r="K29" s="6" t="n"/>
      <c r="L29" s="6" t="n"/>
    </row>
    <row r="30" ht="80" customHeight="1">
      <c r="A30" s="4" t="inlineStr">
        <is>
          <t>REVIEW</t>
        </is>
      </c>
      <c r="B30" s="4" t="inlineStr">
        <is>
          <t>How to read evidence coverage</t>
        </is>
      </c>
      <c r="C30" s="4" t="inlineStr">
        <is>
          <t>The register tracks field-level assertions, some compound. Supported requires checking the entire field. Migrated assertions remain Not reviewed until passage evidence is recorded; this is not a finding that they are false.</t>
        </is>
      </c>
      <c r="D30" s="4" t="inlineStr">
        <is>
          <t>Method / scope</t>
        </is>
      </c>
      <c r="E30" s="4" t="n"/>
      <c r="F30" s="4" t="n"/>
      <c r="G30" s="4" t="inlineStr">
        <is>
          <t>Method / scope</t>
        </is>
      </c>
      <c r="H30" s="4" t="n"/>
      <c r="I30" s="4" t="n"/>
      <c r="J30" s="4" t="n"/>
      <c r="K30" s="4" t="n"/>
      <c r="L30" s="4" t="n"/>
    </row>
    <row r="31" ht="80" customHeight="1">
      <c r="A31" s="6" t="inlineStr">
        <is>
          <t>QA</t>
        </is>
      </c>
      <c r="B31" s="6" t="inlineStr">
        <is>
          <t>Validation scope</t>
        </is>
      </c>
      <c r="C31" s="6" t="inlineStr">
        <is>
          <t>Structural checks, arithmetic, evidence review, application recalculation and visual inspection are separate. See validation.json for actual results. Formulas recalculate on opening; no synthetic formula caches are inserted.</t>
        </is>
      </c>
      <c r="D31" s="6" t="inlineStr">
        <is>
          <t>Method / scope</t>
        </is>
      </c>
      <c r="E31" s="6" t="n"/>
      <c r="F31" s="6" t="n"/>
      <c r="G31" s="6" t="inlineStr">
        <is>
          <t>Method / scope</t>
        </is>
      </c>
      <c r="H31" s="6" t="n"/>
      <c r="I31" s="6" t="n"/>
      <c r="J31" s="6" t="n"/>
      <c r="K31" s="6" t="n"/>
      <c r="L31" s="6" t="n"/>
    </row>
  </sheetData>
  <autoFilter ref="A5:L31"/>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 xmlns:r="http://schemas.openxmlformats.org/officeDocument/2006/relationships" ref="E17" r:id="rId23"/>
    <hyperlink xmlns:r="http://schemas.openxmlformats.org/officeDocument/2006/relationships" ref="F17" r:id="rId24"/>
    <hyperlink xmlns:r="http://schemas.openxmlformats.org/officeDocument/2006/relationships" ref="E18" r:id="rId25"/>
    <hyperlink xmlns:r="http://schemas.openxmlformats.org/officeDocument/2006/relationships" ref="F18" r:id="rId26"/>
  </hyperlinks>
  <pageMargins left="0.75" right="0.75" top="1" bottom="1" header="0.5" footer="0.5"/>
  <pageSetup orientation="landscape" paperSize="8" fitToHeight="0" fitToWidth="1"/>
  <tableParts count="1">
    <tablePart xmlns:r="http://schemas.openxmlformats.org/officeDocument/2006/relationships" r:id="rId27"/>
  </tableParts>
</worksheet>
</file>

<file path=xl/worksheets/sheet2.xml><?xml version="1.0" encoding="utf-8"?>
<worksheet xmlns="http://schemas.openxmlformats.org/spreadsheetml/2006/main">
  <sheetPr>
    <outlinePr summaryBelow="1" summaryRight="0"/>
    <pageSetUpPr fitToPage="1"/>
  </sheetPr>
  <dimension ref="A1:U5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 hidden="1" outlineLevel="1" width="44" customWidth="1" min="13" max="13"/>
    <col hidden="1" outlineLevel="1" width="44" customWidth="1" min="14" max="14"/>
    <col hidden="1" outlineLevel="1" width="44" customWidth="1" min="15" max="15"/>
    <col hidden="1" outlineLevel="1" width="24" customWidth="1" min="16" max="16"/>
    <col hidden="1" outlineLevel="1" width="44" customWidth="1" min="17" max="17"/>
    <col hidden="1" outlineLevel="1" width="44" customWidth="1" min="18" max="18"/>
    <col hidden="1" outlineLevel="1" width="44" customWidth="1" min="19" max="19"/>
    <col hidden="1" outlineLevel="1" width="44" customWidth="1" min="20" max="20"/>
    <col hidden="1" outlineLevel="1" width="44" customWidth="1" min="21" max="21"/>
  </cols>
  <sheetData>
    <row r="1" ht="36" customHeight="1">
      <c r="A1" s="1" t="inlineStr">
        <is>
          <t>Rahul Gandhi | Context &amp; Constraints</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Context ID</t>
        </is>
      </c>
      <c r="B5" s="3" t="inlineStr">
        <is>
          <t>Career phase</t>
        </is>
      </c>
      <c r="C5" s="3" t="inlineStr">
        <is>
          <t>Coverage item</t>
        </is>
      </c>
      <c r="D5" s="3" t="inlineStr">
        <is>
          <t>Finding</t>
        </is>
      </c>
      <c r="E5" s="3" t="inlineStr">
        <is>
          <t>Evidence review</t>
        </is>
      </c>
      <c r="F5" s="3" t="inlineStr">
        <is>
          <t>All citations</t>
        </is>
      </c>
      <c r="G5" s="3" t="inlineStr">
        <is>
          <t>Claim details</t>
        </is>
      </c>
      <c r="H5" s="3" t="inlineStr">
        <is>
          <t>Coverage dimension</t>
        </is>
      </c>
      <c r="I5" s="3" t="inlineStr">
        <is>
          <t>Research disposition</t>
        </is>
      </c>
      <c r="J5" s="3" t="inlineStr">
        <is>
          <t>Contemporary comparison group</t>
        </is>
      </c>
      <c r="K5" s="3" t="inlineStr">
        <is>
          <t>Contemporary assessment</t>
        </is>
      </c>
      <c r="L5" s="3" t="inlineStr">
        <is>
          <t>Presentism caution</t>
        </is>
      </c>
      <c r="M5" s="3" t="inlineStr">
        <is>
          <t>Plausible alternatives / limits</t>
        </is>
      </c>
      <c r="N5" s="3" t="inlineStr">
        <is>
          <t>Retrospective assessment</t>
        </is>
      </c>
      <c r="O5" s="3" t="inlineStr">
        <is>
          <t>Evidence-environment limitation</t>
        </is>
      </c>
      <c r="P5" s="3" t="inlineStr">
        <is>
          <t>Claim type</t>
        </is>
      </c>
      <c r="Q5" s="3" t="inlineStr">
        <is>
          <t>Source IDs</t>
        </is>
      </c>
      <c r="R5" s="3" t="inlineStr">
        <is>
          <t>Research note</t>
        </is>
      </c>
      <c r="S5" s="3" t="inlineStr">
        <is>
          <t>Corroboration</t>
        </is>
      </c>
      <c r="T5" s="3" t="inlineStr">
        <is>
          <t>Gender relevance</t>
        </is>
      </c>
      <c r="U5" s="3" t="inlineStr">
        <is>
          <t>Other identity relevance</t>
        </is>
      </c>
    </row>
    <row r="6" ht="80" customHeight="1">
      <c r="A6" s="4" t="inlineStr">
        <is>
          <t>CT-P1-01</t>
        </is>
      </c>
      <c r="B6" s="4" t="inlineStr">
        <is>
          <t>P1 | Entry and UPA years (2004–2013)</t>
        </is>
      </c>
      <c r="C6" s="4" t="inlineStr">
        <is>
          <t>Party system</t>
        </is>
      </c>
      <c r="D6" s="4" t="inlineStr">
        <is>
          <t>Entry occurred within the coalition-party system that Carnegie dates from 1989 to 2014. Access to Congress leadership did not by itself confer government office.</t>
        </is>
      </c>
      <c r="E6" s="4" t="inlineStr">
        <is>
          <t>Supported</t>
        </is>
      </c>
      <c r="F6" s="5" t="inlineStr">
        <is>
          <t>All citations</t>
        </is>
      </c>
      <c r="G6" s="5" t="inlineStr">
        <is>
          <t>Claims</t>
        </is>
      </c>
      <c r="H6" s="4" t="inlineStr">
        <is>
          <t>Era</t>
        </is>
      </c>
      <c r="I6" s="4" t="inlineStr">
        <is>
          <t>Material finding</t>
        </is>
      </c>
      <c r="J6" s="4" t="inlineStr">
        <is>
          <t>Other Congress entrants and youth-organisation leaders; Akhilesh Yadav for the 2012 state campaign comparison.</t>
        </is>
      </c>
      <c r="K6" s="4" t="inlineStr">
        <is>
          <t>Contemporaneous 2012 reporting questioned campaign effectiveness; 2014 organisational reports looked back on youth reforms.</t>
        </is>
      </c>
      <c r="L6" s="4" t="inlineStr">
        <is>
          <t>Keep the 2004–2013 governing-party setting distinct from later opposition leadership; do not project 2024 constituencies backwards.</t>
        </is>
      </c>
      <c r="M6" s="4" t="inlineStr">
        <is>
          <t>Available alternatives included strengthening local organisation and maintaining nomination-based youth appointments; their counterfactual effects are unknown.</t>
        </is>
      </c>
      <c r="N6" s="4" t="inlineStr">
        <is>
          <t>Workbook synthesis bounded by the cited record; see Legacy &amp; Assessments for named interpretations.</t>
        </is>
      </c>
      <c r="O6" s="4" t="inlineStr">
        <is>
          <t>Sources are strongest for formal events and stated positions; effects and motives require additional evidence.</t>
        </is>
      </c>
      <c r="P6" s="4" t="inlineStr">
        <is>
          <t>Analysis</t>
        </is>
      </c>
      <c r="Q6" s="4" t="inlineStr">
        <is>
          <t>S024; S004</t>
        </is>
      </c>
      <c r="R6" s="4" t="inlineStr">
        <is>
          <t>Contextual synthesis; comparison is a scope boundary, not a ranked performance score.</t>
        </is>
      </c>
      <c r="S6" s="4" t="inlineStr">
        <is>
          <t>Multiple independent sources</t>
        </is>
      </c>
      <c r="T6" s="4" t="n"/>
      <c r="U6" s="4" t="n"/>
    </row>
    <row r="7" ht="80" customHeight="1">
      <c r="A7" s="6" t="inlineStr">
        <is>
          <t>CT-P1-02</t>
        </is>
      </c>
      <c r="B7" s="6" t="inlineStr">
        <is>
          <t>P1 | Entry and UPA years (2004–2013)</t>
        </is>
      </c>
      <c r="C7" s="6" t="inlineStr">
        <is>
          <t>Constitutional and institutional environment</t>
        </is>
      </c>
      <c r="D7" s="6" t="inlineStr">
        <is>
          <t>The 2013 ordinance confrontation separated party influence from Cabinet authority: Gandhi publicly objected; Cabinet decided withdrawal.</t>
        </is>
      </c>
      <c r="E7" s="6" t="inlineStr">
        <is>
          <t>Supported</t>
        </is>
      </c>
      <c r="F7" s="7" t="inlineStr">
        <is>
          <t>All citations</t>
        </is>
      </c>
      <c r="G7" s="7" t="inlineStr">
        <is>
          <t>Claims</t>
        </is>
      </c>
      <c r="H7" s="6" t="inlineStr">
        <is>
          <t>Era</t>
        </is>
      </c>
      <c r="I7" s="6" t="inlineStr">
        <is>
          <t>Material finding</t>
        </is>
      </c>
      <c r="J7" s="6" t="inlineStr">
        <is>
          <t>Other Congress entrants and youth-organisation leaders; Akhilesh Yadav for the 2012 state campaign comparison.</t>
        </is>
      </c>
      <c r="K7" s="6" t="inlineStr">
        <is>
          <t>Contemporaneous 2012 reporting questioned campaign effectiveness; 2014 organisational reports looked back on youth reforms.</t>
        </is>
      </c>
      <c r="L7" s="6" t="inlineStr">
        <is>
          <t>Keep the 2004–2013 governing-party setting distinct from later opposition leadership; do not project 2024 constituencies backwards.</t>
        </is>
      </c>
      <c r="M7" s="6" t="inlineStr">
        <is>
          <t>Available alternatives included strengthening local organisation and maintaining nomination-based youth appointments; their counterfactual effects are unknown.</t>
        </is>
      </c>
      <c r="N7" s="6" t="inlineStr">
        <is>
          <t>Workbook synthesis bounded by the cited record; see Legacy &amp; Assessments for named interpretations.</t>
        </is>
      </c>
      <c r="O7" s="6" t="inlineStr">
        <is>
          <t>Sources are strongest for formal events and stated positions; effects and motives require additional evidence.</t>
        </is>
      </c>
      <c r="P7" s="6" t="inlineStr">
        <is>
          <t>Analysis</t>
        </is>
      </c>
      <c r="Q7" s="6" t="inlineStr">
        <is>
          <t>S038; S039</t>
        </is>
      </c>
      <c r="R7" s="6" t="inlineStr">
        <is>
          <t>Contextual synthesis; comparison is a scope boundary, not a ranked performance score.</t>
        </is>
      </c>
      <c r="S7" s="6" t="inlineStr">
        <is>
          <t>Multiple independent sources</t>
        </is>
      </c>
      <c r="T7" s="6" t="n"/>
      <c r="U7" s="6" t="n"/>
    </row>
    <row r="8" ht="80" customHeight="1">
      <c r="A8" s="4" t="inlineStr">
        <is>
          <t>CT-P1-03</t>
        </is>
      </c>
      <c r="B8" s="4" t="inlineStr">
        <is>
          <t>P1 | Entry and UPA years (2004–2013)</t>
        </is>
      </c>
      <c r="C8" s="4" t="inlineStr">
        <is>
          <t>Electoral environment</t>
        </is>
      </c>
      <c r="D8" s="4" t="inlineStr">
        <is>
          <t>His 2004 and 2009 victories were direct Lok Sabha elections from Amethi. The inspected tables use constituency numbers 21 and 37 respectively; boundaries should not be presumed identical.</t>
        </is>
      </c>
      <c r="E8" s="4" t="inlineStr">
        <is>
          <t>Supported</t>
        </is>
      </c>
      <c r="F8" s="5" t="inlineStr">
        <is>
          <t>All citations</t>
        </is>
      </c>
      <c r="G8" s="5" t="inlineStr">
        <is>
          <t>Claims</t>
        </is>
      </c>
      <c r="H8" s="4" t="inlineStr">
        <is>
          <t>Era</t>
        </is>
      </c>
      <c r="I8" s="4" t="inlineStr">
        <is>
          <t>Material finding</t>
        </is>
      </c>
      <c r="J8" s="4" t="inlineStr">
        <is>
          <t>Other Congress entrants and youth-organisation leaders; Akhilesh Yadav for the 2012 state campaign comparison.</t>
        </is>
      </c>
      <c r="K8" s="4" t="inlineStr">
        <is>
          <t>Contemporaneous 2012 reporting questioned campaign effectiveness; 2014 organisational reports looked back on youth reforms.</t>
        </is>
      </c>
      <c r="L8" s="4" t="inlineStr">
        <is>
          <t>Keep the 2004–2013 governing-party setting distinct from later opposition leadership; do not project 2024 constituencies backwards.</t>
        </is>
      </c>
      <c r="M8" s="4" t="inlineStr">
        <is>
          <t>Available alternatives included strengthening local organisation and maintaining nomination-based youth appointments; their counterfactual effects are unknown.</t>
        </is>
      </c>
      <c r="N8" s="4" t="inlineStr">
        <is>
          <t>Workbook synthesis bounded by the cited record; see Legacy &amp; Assessments for named interpretations.</t>
        </is>
      </c>
      <c r="O8" s="4" t="inlineStr">
        <is>
          <t>Sources are strongest for formal events and stated positions; effects and motives require additional evidence.</t>
        </is>
      </c>
      <c r="P8" s="4" t="inlineStr">
        <is>
          <t>Analysis</t>
        </is>
      </c>
      <c r="Q8" s="4" t="inlineStr">
        <is>
          <t>S009; S008</t>
        </is>
      </c>
      <c r="R8" s="4" t="inlineStr">
        <is>
          <t>Contextual synthesis; comparison is a scope boundary, not a ranked performance score.</t>
        </is>
      </c>
      <c r="S8" s="4" t="inlineStr">
        <is>
          <t>Multiple independent sources</t>
        </is>
      </c>
      <c r="T8" s="4" t="n"/>
      <c r="U8" s="4" t="n"/>
    </row>
    <row r="9" ht="80" customHeight="1">
      <c r="A9" s="6" t="inlineStr">
        <is>
          <t>CT-P1-04</t>
        </is>
      </c>
      <c r="B9" s="6" t="inlineStr">
        <is>
          <t>P1 | Entry and UPA years (2004–2013)</t>
        </is>
      </c>
      <c r="C9" s="6" t="inlineStr">
        <is>
          <t>Economic regime</t>
        </is>
      </c>
      <c r="D9" s="6" t="inlineStr">
        <is>
          <t>The inspected record does not establish his personal responsibility for UPA-era economic performance. A phase-specific account of his economic interventions before 2013 needs further primary research.</t>
        </is>
      </c>
      <c r="E9" s="10" t="inlineStr">
        <is>
          <t>Not reviewed</t>
        </is>
      </c>
      <c r="F9" s="7" t="inlineStr">
        <is>
          <t>All citations</t>
        </is>
      </c>
      <c r="G9" s="7" t="inlineStr">
        <is>
          <t>Claims</t>
        </is>
      </c>
      <c r="H9" s="6" t="inlineStr">
        <is>
          <t>Era</t>
        </is>
      </c>
      <c r="I9" s="6" t="inlineStr">
        <is>
          <t>Research limitation</t>
        </is>
      </c>
      <c r="J9" s="6" t="inlineStr">
        <is>
          <t>Other Congress entrants and youth-organisation leaders; Akhilesh Yadav for the 2012 state campaign comparison.</t>
        </is>
      </c>
      <c r="K9" s="6" t="inlineStr">
        <is>
          <t>Contemporaneous 2012 reporting questioned campaign effectiveness; 2014 organisational reports looked back on youth reforms.</t>
        </is>
      </c>
      <c r="L9" s="6" t="inlineStr">
        <is>
          <t>Keep the 2004–2013 governing-party setting distinct from later opposition leadership; do not project 2024 constituencies backwards.</t>
        </is>
      </c>
      <c r="M9" s="6" t="inlineStr">
        <is>
          <t>Available alternatives included strengthening local organisation and maintaining nomination-based youth appointments; their counterfactual effects are unknown.</t>
        </is>
      </c>
      <c r="N9" s="6" t="inlineStr">
        <is>
          <t>Workbook synthesis bounded by the cited record; see Legacy &amp; Assessments for named interpretations.</t>
        </is>
      </c>
      <c r="O9" s="6" t="inlineStr">
        <is>
          <t>Sources are strongest for formal events and stated positions; effects and motives require additional evidence.</t>
        </is>
      </c>
      <c r="P9" s="6" t="inlineStr">
        <is>
          <t>Analysis</t>
        </is>
      </c>
      <c r="Q9" s="6" t="inlineStr">
        <is>
          <t>S004</t>
        </is>
      </c>
      <c r="R9" s="6" t="inlineStr">
        <is>
          <t>Research gap: related sources orient further work but do not prove absence.</t>
        </is>
      </c>
      <c r="S9" s="6" t="inlineStr">
        <is>
          <t>Unresolved</t>
        </is>
      </c>
      <c r="T9" s="6" t="n"/>
      <c r="U9" s="6" t="n"/>
    </row>
    <row r="10" ht="80" customHeight="1">
      <c r="A10" s="4" t="inlineStr">
        <is>
          <t>CT-P1-05</t>
        </is>
      </c>
      <c r="B10" s="4" t="inlineStr">
        <is>
          <t>P1 | Entry and UPA years (2004–2013)</t>
        </is>
      </c>
      <c r="C10" s="4" t="inlineStr">
        <is>
          <t>International system</t>
        </is>
      </c>
      <c r="D10" s="4" t="inlineStr">
        <is>
          <t>A phase-specific foreign-policy record was not established. Overseas education is biographical evidence, not evidence of diplomatic influence or a geopolitical doctrine.</t>
        </is>
      </c>
      <c r="E10" s="10" t="inlineStr">
        <is>
          <t>Not reviewed</t>
        </is>
      </c>
      <c r="F10" s="5" t="inlineStr">
        <is>
          <t>All citations</t>
        </is>
      </c>
      <c r="G10" s="5" t="inlineStr">
        <is>
          <t>Claims</t>
        </is>
      </c>
      <c r="H10" s="4" t="inlineStr">
        <is>
          <t>Era</t>
        </is>
      </c>
      <c r="I10" s="4" t="inlineStr">
        <is>
          <t>Evidence not found</t>
        </is>
      </c>
      <c r="J10" s="4" t="inlineStr">
        <is>
          <t>Other Congress entrants and youth-organisation leaders; Akhilesh Yadav for the 2012 state campaign comparison.</t>
        </is>
      </c>
      <c r="K10" s="4" t="inlineStr">
        <is>
          <t>Contemporaneous 2012 reporting questioned campaign effectiveness; 2014 organisational reports looked back on youth reforms.</t>
        </is>
      </c>
      <c r="L10" s="4" t="inlineStr">
        <is>
          <t>Keep the 2004–2013 governing-party setting distinct from later opposition leadership; do not project 2024 constituencies backwards.</t>
        </is>
      </c>
      <c r="M10" s="4" t="inlineStr">
        <is>
          <t>Available alternatives included strengthening local organisation and maintaining nomination-based youth appointments; their counterfactual effects are unknown.</t>
        </is>
      </c>
      <c r="N10" s="4" t="inlineStr">
        <is>
          <t>Workbook synthesis bounded by the cited record; see Legacy &amp; Assessments for named interpretations.</t>
        </is>
      </c>
      <c r="O10" s="4" t="inlineStr">
        <is>
          <t>Sources are strongest for formal events and stated positions; effects and motives require additional evidence.</t>
        </is>
      </c>
      <c r="P10" s="4" t="inlineStr">
        <is>
          <t>Analysis</t>
        </is>
      </c>
      <c r="Q10" s="4" t="inlineStr">
        <is>
          <t>S005</t>
        </is>
      </c>
      <c r="R10" s="4" t="inlineStr">
        <is>
          <t>Research gap: related sources orient further work but do not prove absence.</t>
        </is>
      </c>
      <c r="S10" s="4" t="inlineStr">
        <is>
          <t>Unresolved</t>
        </is>
      </c>
      <c r="T10" s="4" t="n"/>
      <c r="U10" s="4" t="n"/>
    </row>
    <row r="11" ht="80" customHeight="1">
      <c r="A11" s="6" t="inlineStr">
        <is>
          <t>CT-P1-06</t>
        </is>
      </c>
      <c r="B11" s="6" t="inlineStr">
        <is>
          <t>P1 | Entry and UPA years (2004–2013)</t>
        </is>
      </c>
      <c r="C11" s="6" t="inlineStr">
        <is>
          <t>Media and campaign environment</t>
        </is>
      </c>
      <c r="D11" s="6" t="inlineStr">
        <is>
          <t>Contemporaneous reporting in 2012 scrutinised the relation between prominent campaigning and weak local organisation. Publicity and assembly-seat gains were different measures.</t>
        </is>
      </c>
      <c r="E11" s="6" t="inlineStr">
        <is>
          <t>Supported</t>
        </is>
      </c>
      <c r="F11" s="7" t="inlineStr">
        <is>
          <t>All citations</t>
        </is>
      </c>
      <c r="G11" s="7" t="inlineStr">
        <is>
          <t>Claims</t>
        </is>
      </c>
      <c r="H11" s="6" t="inlineStr">
        <is>
          <t>Era</t>
        </is>
      </c>
      <c r="I11" s="6" t="inlineStr">
        <is>
          <t>Material finding</t>
        </is>
      </c>
      <c r="J11" s="6" t="inlineStr">
        <is>
          <t>Other Congress entrants and youth-organisation leaders; Akhilesh Yadav for the 2012 state campaign comparison.</t>
        </is>
      </c>
      <c r="K11" s="6" t="inlineStr">
        <is>
          <t>Contemporaneous 2012 reporting questioned campaign effectiveness; 2014 organisational reports looked back on youth reforms.</t>
        </is>
      </c>
      <c r="L11" s="6" t="inlineStr">
        <is>
          <t>Keep the 2004–2013 governing-party setting distinct from later opposition leadership; do not project 2024 constituencies backwards.</t>
        </is>
      </c>
      <c r="M11" s="6" t="inlineStr">
        <is>
          <t>Available alternatives included strengthening local organisation and maintaining nomination-based youth appointments; their counterfactual effects are unknown.</t>
        </is>
      </c>
      <c r="N11" s="6" t="inlineStr">
        <is>
          <t>Workbook synthesis bounded by the cited record; see Legacy &amp; Assessments for named interpretations.</t>
        </is>
      </c>
      <c r="O11" s="6" t="inlineStr">
        <is>
          <t>Sources are strongest for formal events and stated positions; effects and motives require additional evidence.</t>
        </is>
      </c>
      <c r="P11" s="6" t="inlineStr">
        <is>
          <t>Analysis</t>
        </is>
      </c>
      <c r="Q11" s="6" t="inlineStr">
        <is>
          <t>S034</t>
        </is>
      </c>
      <c r="R11" s="6" t="inlineStr">
        <is>
          <t>Contextual synthesis; comparison is a scope boundary, not a ranked performance score.</t>
        </is>
      </c>
      <c r="S11" s="6" t="inlineStr">
        <is>
          <t>Single credible source</t>
        </is>
      </c>
      <c r="T11" s="6" t="n"/>
      <c r="U11" s="6" t="n"/>
    </row>
    <row r="12" ht="80" customHeight="1">
      <c r="A12" s="4" t="inlineStr">
        <is>
          <t>CT-P1-07</t>
        </is>
      </c>
      <c r="B12" s="4" t="inlineStr">
        <is>
          <t>P1 | Entry and UPA years (2004–2013)</t>
        </is>
      </c>
      <c r="C12" s="4" t="inlineStr">
        <is>
          <t>Political organization</t>
        </is>
      </c>
      <c r="D12" s="4" t="inlineStr">
        <is>
          <t>Youth-organisation elections were intended to broaden entry beyond nominations. The later 2014 debate supplies evidence of contested institutional effects, rather than a settled reform verdict.</t>
        </is>
      </c>
      <c r="E12" s="4" t="inlineStr">
        <is>
          <t>Supported</t>
        </is>
      </c>
      <c r="F12" s="5" t="inlineStr">
        <is>
          <t>All citations</t>
        </is>
      </c>
      <c r="G12" s="5" t="inlineStr">
        <is>
          <t>Claims</t>
        </is>
      </c>
      <c r="H12" s="4" t="inlineStr">
        <is>
          <t>Era</t>
        </is>
      </c>
      <c r="I12" s="4" t="inlineStr">
        <is>
          <t>Material finding</t>
        </is>
      </c>
      <c r="J12" s="4" t="inlineStr">
        <is>
          <t>Other Congress entrants and youth-organisation leaders; Akhilesh Yadav for the 2012 state campaign comparison.</t>
        </is>
      </c>
      <c r="K12" s="4" t="inlineStr">
        <is>
          <t>Contemporaneous 2012 reporting questioned campaign effectiveness; 2014 organisational reports looked back on youth reforms.</t>
        </is>
      </c>
      <c r="L12" s="4" t="inlineStr">
        <is>
          <t>Keep the 2004–2013 governing-party setting distinct from later opposition leadership; do not project 2024 constituencies backwards.</t>
        </is>
      </c>
      <c r="M12" s="4" t="inlineStr">
        <is>
          <t>Available alternatives included strengthening local organisation and maintaining nomination-based youth appointments; their counterfactual effects are unknown.</t>
        </is>
      </c>
      <c r="N12" s="4" t="inlineStr">
        <is>
          <t>Workbook synthesis bounded by the cited record; see Legacy &amp; Assessments for named interpretations.</t>
        </is>
      </c>
      <c r="O12" s="4" t="inlineStr">
        <is>
          <t>Sources are strongest for formal events and stated positions; effects and motives require additional evidence.</t>
        </is>
      </c>
      <c r="P12" s="4" t="inlineStr">
        <is>
          <t>Analysis</t>
        </is>
      </c>
      <c r="Q12" s="4" t="inlineStr">
        <is>
          <t>S021; S022</t>
        </is>
      </c>
      <c r="R12" s="4" t="inlineStr">
        <is>
          <t>Contextual synthesis; comparison is a scope boundary, not a ranked performance score.</t>
        </is>
      </c>
      <c r="S12" s="4" t="inlineStr">
        <is>
          <t>Multiple independent sources</t>
        </is>
      </c>
      <c r="T12" s="4" t="n"/>
      <c r="U12" s="4" t="n"/>
    </row>
    <row r="13" ht="80" customHeight="1">
      <c r="A13" s="6" t="inlineStr">
        <is>
          <t>CT-P1-08</t>
        </is>
      </c>
      <c r="B13" s="6" t="inlineStr">
        <is>
          <t>P1 | Entry and UPA years (2004–2013)</t>
        </is>
      </c>
      <c r="C13" s="6" t="inlineStr">
        <is>
          <t>Social environment</t>
        </is>
      </c>
      <c r="D13" s="6" t="inlineStr">
        <is>
          <t>Dynastic access and a safe-seat reputation shaped his entry; the 2012 UP setback showed that national family prominence did not ensure state-level campaign success.</t>
        </is>
      </c>
      <c r="E13" s="6" t="inlineStr">
        <is>
          <t>Supported</t>
        </is>
      </c>
      <c r="F13" s="7" t="inlineStr">
        <is>
          <t>All citations</t>
        </is>
      </c>
      <c r="G13" s="7" t="inlineStr">
        <is>
          <t>Claims</t>
        </is>
      </c>
      <c r="H13" s="6" t="inlineStr">
        <is>
          <t>Era</t>
        </is>
      </c>
      <c r="I13" s="6" t="inlineStr">
        <is>
          <t>Material finding</t>
        </is>
      </c>
      <c r="J13" s="6" t="inlineStr">
        <is>
          <t>Other Congress entrants and youth-organisation leaders; Akhilesh Yadav for the 2012 state campaign comparison.</t>
        </is>
      </c>
      <c r="K13" s="6" t="inlineStr">
        <is>
          <t>Contemporaneous 2012 reporting questioned campaign effectiveness; 2014 organisational reports looked back on youth reforms.</t>
        </is>
      </c>
      <c r="L13" s="6" t="inlineStr">
        <is>
          <t>Keep the 2004–2013 governing-party setting distinct from later opposition leadership; do not project 2024 constituencies backwards.</t>
        </is>
      </c>
      <c r="M13" s="6" t="inlineStr">
        <is>
          <t>Available alternatives included strengthening local organisation and maintaining nomination-based youth appointments; their counterfactual effects are unknown.</t>
        </is>
      </c>
      <c r="N13" s="6" t="inlineStr">
        <is>
          <t>Workbook synthesis bounded by the cited record; see Legacy &amp; Assessments for named interpretations.</t>
        </is>
      </c>
      <c r="O13" s="6" t="inlineStr">
        <is>
          <t>Sources are strongest for formal events and stated positions; effects and motives require additional evidence.</t>
        </is>
      </c>
      <c r="P13" s="6" t="inlineStr">
        <is>
          <t>Analysis</t>
        </is>
      </c>
      <c r="Q13" s="6" t="inlineStr">
        <is>
          <t>S004; S034</t>
        </is>
      </c>
      <c r="R13" s="6" t="inlineStr">
        <is>
          <t>Contextual synthesis; comparison is a scope boundary, not a ranked performance score.</t>
        </is>
      </c>
      <c r="S13" s="6" t="inlineStr">
        <is>
          <t>Multiple independent sources</t>
        </is>
      </c>
      <c r="T13" s="6" t="n"/>
      <c r="U13" s="6" t="n"/>
    </row>
    <row r="14" ht="80" customHeight="1">
      <c r="A14" s="4" t="inlineStr">
        <is>
          <t>CT-P1-09</t>
        </is>
      </c>
      <c r="B14" s="4" t="inlineStr">
        <is>
          <t>P1 | Entry and UPA years (2004–2013)</t>
        </is>
      </c>
      <c r="C14" s="4" t="inlineStr">
        <is>
          <t>State structure and political geography</t>
        </is>
      </c>
      <c r="D14" s="4" t="inlineStr">
        <is>
          <t>The early electoral base was Amethi in Uttar Pradesh. State campaign leadership in 2012 must be distinguished from personally standing in a parliamentary constituency.</t>
        </is>
      </c>
      <c r="E14" s="4" t="inlineStr">
        <is>
          <t>Supported</t>
        </is>
      </c>
      <c r="F14" s="5" t="inlineStr">
        <is>
          <t>All citations</t>
        </is>
      </c>
      <c r="G14" s="5" t="inlineStr">
        <is>
          <t>Claims</t>
        </is>
      </c>
      <c r="H14" s="4" t="inlineStr">
        <is>
          <t>Era</t>
        </is>
      </c>
      <c r="I14" s="4" t="inlineStr">
        <is>
          <t>Material finding</t>
        </is>
      </c>
      <c r="J14" s="4" t="inlineStr">
        <is>
          <t>Other Congress entrants and youth-organisation leaders; Akhilesh Yadav for the 2012 state campaign comparison.</t>
        </is>
      </c>
      <c r="K14" s="4" t="inlineStr">
        <is>
          <t>Contemporaneous 2012 reporting questioned campaign effectiveness; 2014 organisational reports looked back on youth reforms.</t>
        </is>
      </c>
      <c r="L14" s="4" t="inlineStr">
        <is>
          <t>Keep the 2004–2013 governing-party setting distinct from later opposition leadership; do not project 2024 constituencies backwards.</t>
        </is>
      </c>
      <c r="M14" s="4" t="inlineStr">
        <is>
          <t>Available alternatives included strengthening local organisation and maintaining nomination-based youth appointments; their counterfactual effects are unknown.</t>
        </is>
      </c>
      <c r="N14" s="4" t="inlineStr">
        <is>
          <t>Workbook synthesis bounded by the cited record; see Legacy &amp; Assessments for named interpretations.</t>
        </is>
      </c>
      <c r="O14" s="4" t="inlineStr">
        <is>
          <t>Sources are strongest for formal events and stated positions; effects and motives require additional evidence.</t>
        </is>
      </c>
      <c r="P14" s="4" t="inlineStr">
        <is>
          <t>Analysis</t>
        </is>
      </c>
      <c r="Q14" s="4" t="inlineStr">
        <is>
          <t>S009; S008; S034</t>
        </is>
      </c>
      <c r="R14" s="4" t="inlineStr">
        <is>
          <t>Contextual synthesis; comparison is a scope boundary, not a ranked performance score.</t>
        </is>
      </c>
      <c r="S14" s="4" t="inlineStr">
        <is>
          <t>Multiple independent sources</t>
        </is>
      </c>
      <c r="T14" s="4" t="n"/>
      <c r="U14" s="4" t="n"/>
    </row>
    <row r="15" ht="80" customHeight="1">
      <c r="A15" s="6" t="inlineStr">
        <is>
          <t>CT-P1-10</t>
        </is>
      </c>
      <c r="B15" s="6" t="inlineStr">
        <is>
          <t>P1 | Entry and UPA years (2004–2013)</t>
        </is>
      </c>
      <c r="C15" s="6" t="inlineStr">
        <is>
          <t>Evidence environment</t>
        </is>
      </c>
      <c r="D15" s="6" t="inlineStr">
        <is>
          <t>The party biography supplies chronology but also partisan framing. Original early election returns remain a gap; the workbook retains inspected secondary totals and leaves an unrecovered share blank.</t>
        </is>
      </c>
      <c r="E15" s="6" t="inlineStr">
        <is>
          <t>Supported</t>
        </is>
      </c>
      <c r="F15" s="7" t="inlineStr">
        <is>
          <t>All citations</t>
        </is>
      </c>
      <c r="G15" s="7" t="inlineStr">
        <is>
          <t>Claims</t>
        </is>
      </c>
      <c r="H15" s="6" t="inlineStr">
        <is>
          <t>Era</t>
        </is>
      </c>
      <c r="I15" s="6" t="inlineStr">
        <is>
          <t>Material finding</t>
        </is>
      </c>
      <c r="J15" s="6" t="inlineStr">
        <is>
          <t>Other Congress entrants and youth-organisation leaders; Akhilesh Yadav for the 2012 state campaign comparison.</t>
        </is>
      </c>
      <c r="K15" s="6" t="inlineStr">
        <is>
          <t>Contemporaneous 2012 reporting questioned campaign effectiveness; 2014 organisational reports looked back on youth reforms.</t>
        </is>
      </c>
      <c r="L15" s="6" t="inlineStr">
        <is>
          <t>Keep the 2004–2013 governing-party setting distinct from later opposition leadership; do not project 2024 constituencies backwards.</t>
        </is>
      </c>
      <c r="M15" s="6" t="inlineStr">
        <is>
          <t>Available alternatives included strengthening local organisation and maintaining nomination-based youth appointments; their counterfactual effects are unknown.</t>
        </is>
      </c>
      <c r="N15" s="6" t="inlineStr">
        <is>
          <t>Workbook synthesis bounded by the cited record; see Legacy &amp; Assessments for named interpretations.</t>
        </is>
      </c>
      <c r="O15" s="6" t="inlineStr">
        <is>
          <t>Sources are strongest for formal events and stated positions; effects and motives require additional evidence.</t>
        </is>
      </c>
      <c r="P15" s="6" t="inlineStr">
        <is>
          <t>Analysis</t>
        </is>
      </c>
      <c r="Q15" s="6" t="inlineStr">
        <is>
          <t>S004; S009; S008</t>
        </is>
      </c>
      <c r="R15" s="6" t="inlineStr">
        <is>
          <t>Contextual synthesis; comparison is a scope boundary, not a ranked performance score.</t>
        </is>
      </c>
      <c r="S15" s="6" t="inlineStr">
        <is>
          <t>Multiple independent sources</t>
        </is>
      </c>
      <c r="T15" s="6" t="n"/>
      <c r="U15" s="6" t="n"/>
    </row>
    <row r="16" ht="80" customHeight="1">
      <c r="A16" s="4" t="inlineStr">
        <is>
          <t>CT-P2-01</t>
        </is>
      </c>
      <c r="B16" s="4" t="inlineStr">
        <is>
          <t>P2 | Opposition and party presidency (2014–2019 election)</t>
        </is>
      </c>
      <c r="C16" s="4" t="inlineStr">
        <is>
          <t>Party system</t>
        </is>
      </c>
      <c r="D16" s="4" t="inlineStr">
        <is>
          <t>Carnegie characterises 2014 as the start of a BJP-centred party system. Congress’s 2019 total of 52 seats formed the immediate setting of Gandhi’s presidential resignation.</t>
        </is>
      </c>
      <c r="E16" s="4" t="inlineStr">
        <is>
          <t>Supported</t>
        </is>
      </c>
      <c r="F16" s="5" t="inlineStr">
        <is>
          <t>All citations</t>
        </is>
      </c>
      <c r="G16" s="5" t="inlineStr">
        <is>
          <t>Claims</t>
        </is>
      </c>
      <c r="H16" s="4" t="inlineStr">
        <is>
          <t>Era</t>
        </is>
      </c>
      <c r="I16" s="4" t="inlineStr">
        <is>
          <t>Material finding</t>
        </is>
      </c>
      <c r="J16" s="4" t="inlineStr">
        <is>
          <t>Congress office-holders and other parliamentary opposition leaders in 2014–2019; distinguish the governing prime minister.</t>
        </is>
      </c>
      <c r="K16" s="4" t="inlineStr">
        <is>
          <t>Internal critics and defenders disagreed about reforms; Gandhi accepted responsibility after the 2019 result.</t>
        </is>
      </c>
      <c r="L16" s="4" t="inlineStr">
        <is>
          <t>Do not interpret a 2019 proposal as later implementation, or use 2024 image recovery as contemporary 2019 consensus.</t>
        </is>
      </c>
      <c r="M16" s="4" t="inlineStr">
        <is>
          <t>Possible organisational responses included leadership retention or resignation and coalition cooperation; the workbook evaluates documented choices only.</t>
        </is>
      </c>
      <c r="N16" s="4" t="inlineStr">
        <is>
          <t>Workbook synthesis bounded by the cited record; see Legacy &amp; Assessments for named interpretations.</t>
        </is>
      </c>
      <c r="O16" s="4" t="inlineStr">
        <is>
          <t>Sources are strongest for formal events and stated positions; effects and motives require additional evidence.</t>
        </is>
      </c>
      <c r="P16" s="4" t="inlineStr">
        <is>
          <t>Analysis</t>
        </is>
      </c>
      <c r="Q16" s="4" t="inlineStr">
        <is>
          <t>S024; S014</t>
        </is>
      </c>
      <c r="R16" s="4" t="inlineStr">
        <is>
          <t>Contextual synthesis; comparison is a scope boundary, not a ranked performance score.</t>
        </is>
      </c>
      <c r="S16" s="4" t="inlineStr">
        <is>
          <t>Multiple independent sources</t>
        </is>
      </c>
      <c r="T16" s="4" t="n"/>
      <c r="U16" s="4" t="n"/>
    </row>
    <row r="17" ht="80" customHeight="1">
      <c r="A17" s="6" t="inlineStr">
        <is>
          <t>CT-P2-02</t>
        </is>
      </c>
      <c r="B17" s="6" t="inlineStr">
        <is>
          <t>P2 | Opposition and party presidency (2014–2019 election)</t>
        </is>
      </c>
      <c r="C17" s="6" t="inlineStr">
        <is>
          <t>Constitutional and institutional environment</t>
        </is>
      </c>
      <c r="D17" s="6" t="inlineStr">
        <is>
          <t>Land-law opposition operated through legislative debate and wider mobilisation. Gandhi acted as an opposition politician; the bill’s text and coalition of opponents are distinct evidence.</t>
        </is>
      </c>
      <c r="E17" s="6" t="inlineStr">
        <is>
          <t>Supported</t>
        </is>
      </c>
      <c r="F17" s="7" t="inlineStr">
        <is>
          <t>All citations</t>
        </is>
      </c>
      <c r="G17" s="7" t="inlineStr">
        <is>
          <t>Claims</t>
        </is>
      </c>
      <c r="H17" s="6" t="inlineStr">
        <is>
          <t>Era</t>
        </is>
      </c>
      <c r="I17" s="6" t="inlineStr">
        <is>
          <t>Material finding</t>
        </is>
      </c>
      <c r="J17" s="6" t="inlineStr">
        <is>
          <t>Congress office-holders and other parliamentary opposition leaders in 2014–2019; distinguish the governing prime minister.</t>
        </is>
      </c>
      <c r="K17" s="6" t="inlineStr">
        <is>
          <t>Internal critics and defenders disagreed about reforms; Gandhi accepted responsibility after the 2019 result.</t>
        </is>
      </c>
      <c r="L17" s="6" t="inlineStr">
        <is>
          <t>Do not interpret a 2019 proposal as later implementation, or use 2024 image recovery as contemporary 2019 consensus.</t>
        </is>
      </c>
      <c r="M17" s="6" t="inlineStr">
        <is>
          <t>Possible organisational responses included leadership retention or resignation and coalition cooperation; the workbook evaluates documented choices only.</t>
        </is>
      </c>
      <c r="N17" s="6" t="inlineStr">
        <is>
          <t>Workbook synthesis bounded by the cited record; see Legacy &amp; Assessments for named interpretations.</t>
        </is>
      </c>
      <c r="O17" s="6" t="inlineStr">
        <is>
          <t>Sources are strongest for formal events and stated positions; effects and motives require additional evidence.</t>
        </is>
      </c>
      <c r="P17" s="6" t="inlineStr">
        <is>
          <t>Analysis</t>
        </is>
      </c>
      <c r="Q17" s="6" t="inlineStr">
        <is>
          <t>S032; S037</t>
        </is>
      </c>
      <c r="R17" s="6" t="inlineStr">
        <is>
          <t>Contextual synthesis; comparison is a scope boundary, not a ranked performance score.</t>
        </is>
      </c>
      <c r="S17" s="6" t="inlineStr">
        <is>
          <t>Multiple independent sources</t>
        </is>
      </c>
      <c r="T17" s="6" t="n"/>
      <c r="U17" s="6" t="n"/>
    </row>
    <row r="18" ht="80" customHeight="1">
      <c r="A18" s="4" t="inlineStr">
        <is>
          <t>CT-P2-03</t>
        </is>
      </c>
      <c r="B18" s="4" t="inlineStr">
        <is>
          <t>P2 | Opposition and party presidency (2014–2019 election)</t>
        </is>
      </c>
      <c r="C18" s="4" t="inlineStr">
        <is>
          <t>Electoral environment</t>
        </is>
      </c>
      <c r="D18" s="4" t="inlineStr">
        <is>
          <t>He won Amethi in 2014, then lost it while winning Wayanad in 2019. Two simultaneous candidacies produced one loss and one victory, not a single national mandate.</t>
        </is>
      </c>
      <c r="E18" s="4" t="inlineStr">
        <is>
          <t>Supported</t>
        </is>
      </c>
      <c r="F18" s="5" t="inlineStr">
        <is>
          <t>All citations</t>
        </is>
      </c>
      <c r="G18" s="5" t="inlineStr">
        <is>
          <t>Claims</t>
        </is>
      </c>
      <c r="H18" s="4" t="inlineStr">
        <is>
          <t>Era</t>
        </is>
      </c>
      <c r="I18" s="4" t="inlineStr">
        <is>
          <t>Material finding</t>
        </is>
      </c>
      <c r="J18" s="4" t="inlineStr">
        <is>
          <t>Congress office-holders and other parliamentary opposition leaders in 2014–2019; distinguish the governing prime minister.</t>
        </is>
      </c>
      <c r="K18" s="4" t="inlineStr">
        <is>
          <t>Internal critics and defenders disagreed about reforms; Gandhi accepted responsibility after the 2019 result.</t>
        </is>
      </c>
      <c r="L18" s="4" t="inlineStr">
        <is>
          <t>Do not interpret a 2019 proposal as later implementation, or use 2024 image recovery as contemporary 2019 consensus.</t>
        </is>
      </c>
      <c r="M18" s="4" t="inlineStr">
        <is>
          <t>Possible organisational responses included leadership retention or resignation and coalition cooperation; the workbook evaluates documented choices only.</t>
        </is>
      </c>
      <c r="N18" s="4" t="inlineStr">
        <is>
          <t>Workbook synthesis bounded by the cited record; see Legacy &amp; Assessments for named interpretations.</t>
        </is>
      </c>
      <c r="O18" s="4" t="inlineStr">
        <is>
          <t>Sources are strongest for formal events and stated positions; effects and motives require additional evidence.</t>
        </is>
      </c>
      <c r="P18" s="4" t="inlineStr">
        <is>
          <t>Analysis</t>
        </is>
      </c>
      <c r="Q18" s="4" t="inlineStr">
        <is>
          <t>S008; S007; S041</t>
        </is>
      </c>
      <c r="R18" s="4" t="inlineStr">
        <is>
          <t>Contextual synthesis; comparison is a scope boundary, not a ranked performance score.</t>
        </is>
      </c>
      <c r="S18" s="4" t="inlineStr">
        <is>
          <t>Primary record</t>
        </is>
      </c>
      <c r="T18" s="4" t="n"/>
      <c r="U18" s="4" t="n"/>
    </row>
    <row r="19" ht="80" customHeight="1">
      <c r="A19" s="6" t="inlineStr">
        <is>
          <t>CT-P2-04</t>
        </is>
      </c>
      <c r="B19" s="6" t="inlineStr">
        <is>
          <t>P2 | Opposition and party presidency (2014–2019 election)</t>
        </is>
      </c>
      <c r="C19" s="6" t="inlineStr">
        <is>
          <t>Economic regime</t>
        </is>
      </c>
      <c r="D19" s="6" t="inlineStr">
        <is>
          <t>Land acquisition and the NYAY transfer proposal framed his economic opposition. NYAY remained a campaign promise after Congress’s defeat; no delivered income effect follows from the promise.</t>
        </is>
      </c>
      <c r="E19" s="6" t="inlineStr">
        <is>
          <t>Supported</t>
        </is>
      </c>
      <c r="F19" s="7" t="inlineStr">
        <is>
          <t>All citations</t>
        </is>
      </c>
      <c r="G19" s="7" t="inlineStr">
        <is>
          <t>Claims</t>
        </is>
      </c>
      <c r="H19" s="6" t="inlineStr">
        <is>
          <t>Era</t>
        </is>
      </c>
      <c r="I19" s="6" t="inlineStr">
        <is>
          <t>Material finding</t>
        </is>
      </c>
      <c r="J19" s="6" t="inlineStr">
        <is>
          <t>Congress office-holders and other parliamentary opposition leaders in 2014–2019; distinguish the governing prime minister.</t>
        </is>
      </c>
      <c r="K19" s="6" t="inlineStr">
        <is>
          <t>Internal critics and defenders disagreed about reforms; Gandhi accepted responsibility after the 2019 result.</t>
        </is>
      </c>
      <c r="L19" s="6" t="inlineStr">
        <is>
          <t>Do not interpret a 2019 proposal as later implementation, or use 2024 image recovery as contemporary 2019 consensus.</t>
        </is>
      </c>
      <c r="M19" s="6" t="inlineStr">
        <is>
          <t>Possible organisational responses included leadership retention or resignation and coalition cooperation; the workbook evaluates documented choices only.</t>
        </is>
      </c>
      <c r="N19" s="6" t="inlineStr">
        <is>
          <t>Workbook synthesis bounded by the cited record; see Legacy &amp; Assessments for named interpretations.</t>
        </is>
      </c>
      <c r="O19" s="6" t="inlineStr">
        <is>
          <t>Sources are strongest for formal events and stated positions; effects and motives require additional evidence.</t>
        </is>
      </c>
      <c r="P19" s="6" t="inlineStr">
        <is>
          <t>Analysis</t>
        </is>
      </c>
      <c r="Q19" s="6" t="inlineStr">
        <is>
          <t>S037; S028; S014</t>
        </is>
      </c>
      <c r="R19" s="6" t="inlineStr">
        <is>
          <t>Contextual synthesis; comparison is a scope boundary, not a ranked performance score.</t>
        </is>
      </c>
      <c r="S19" s="6" t="inlineStr">
        <is>
          <t>Multiple independent sources</t>
        </is>
      </c>
      <c r="T19" s="6" t="n"/>
      <c r="U19" s="6" t="n"/>
    </row>
    <row r="20" ht="80" customHeight="1">
      <c r="A20" s="4" t="inlineStr">
        <is>
          <t>CT-P2-05</t>
        </is>
      </c>
      <c r="B20" s="4" t="inlineStr">
        <is>
          <t>P2 | Opposition and party presidency (2014–2019 election)</t>
        </is>
      </c>
      <c r="C20" s="4" t="inlineStr">
        <is>
          <t>International system</t>
        </is>
      </c>
      <c r="D20" s="4" t="inlineStr">
        <is>
          <t>The inspected materials do not support a systematic account of his foreign-policy positions during 2014–2019. Comparison with the prime minister’s diplomatic output would use unlike offices.</t>
        </is>
      </c>
      <c r="E20" s="10" t="inlineStr">
        <is>
          <t>Not reviewed</t>
        </is>
      </c>
      <c r="F20" s="5" t="inlineStr">
        <is>
          <t>All citations</t>
        </is>
      </c>
      <c r="G20" s="5" t="inlineStr">
        <is>
          <t>Claims</t>
        </is>
      </c>
      <c r="H20" s="4" t="inlineStr">
        <is>
          <t>Era</t>
        </is>
      </c>
      <c r="I20" s="4" t="inlineStr">
        <is>
          <t>Research limitation</t>
        </is>
      </c>
      <c r="J20" s="4" t="inlineStr">
        <is>
          <t>Congress office-holders and other parliamentary opposition leaders in 2014–2019; distinguish the governing prime minister.</t>
        </is>
      </c>
      <c r="K20" s="4" t="inlineStr">
        <is>
          <t>Internal critics and defenders disagreed about reforms; Gandhi accepted responsibility after the 2019 result.</t>
        </is>
      </c>
      <c r="L20" s="4" t="inlineStr">
        <is>
          <t>Do not interpret a 2019 proposal as later implementation, or use 2024 image recovery as contemporary 2019 consensus.</t>
        </is>
      </c>
      <c r="M20" s="4" t="inlineStr">
        <is>
          <t>Possible organisational responses included leadership retention or resignation and coalition cooperation; the workbook evaluates documented choices only.</t>
        </is>
      </c>
      <c r="N20" s="4" t="inlineStr">
        <is>
          <t>Workbook synthesis bounded by the cited record; see Legacy &amp; Assessments for named interpretations.</t>
        </is>
      </c>
      <c r="O20" s="4" t="inlineStr">
        <is>
          <t>Sources are strongest for formal events and stated positions; effects and motives require additional evidence.</t>
        </is>
      </c>
      <c r="P20" s="4" t="inlineStr">
        <is>
          <t>Analysis</t>
        </is>
      </c>
      <c r="Q20" s="4" t="inlineStr">
        <is>
          <t>S014</t>
        </is>
      </c>
      <c r="R20" s="4" t="inlineStr">
        <is>
          <t>Research gap: related sources orient further work but do not prove absence.</t>
        </is>
      </c>
      <c r="S20" s="4" t="inlineStr">
        <is>
          <t>Unresolved</t>
        </is>
      </c>
      <c r="T20" s="4" t="n"/>
      <c r="U20" s="4" t="n"/>
    </row>
    <row r="21" ht="80" customHeight="1">
      <c r="A21" s="6" t="inlineStr">
        <is>
          <t>CT-P2-06</t>
        </is>
      </c>
      <c r="B21" s="6" t="inlineStr">
        <is>
          <t>P2 | Opposition and party presidency (2014–2019 election)</t>
        </is>
      </c>
      <c r="C21" s="6" t="inlineStr">
        <is>
          <t>Media and campaign environment</t>
        </is>
      </c>
      <c r="D21" s="6" t="inlineStr">
        <is>
          <t>His public resignation letter linked defeat to wider institutional and communication conditions. These are Gandhi’s attributed explanations; the letter does not independently establish their causal weight.</t>
        </is>
      </c>
      <c r="E21" s="6" t="inlineStr">
        <is>
          <t>Supported</t>
        </is>
      </c>
      <c r="F21" s="7" t="inlineStr">
        <is>
          <t>All citations</t>
        </is>
      </c>
      <c r="G21" s="7" t="inlineStr">
        <is>
          <t>Claims</t>
        </is>
      </c>
      <c r="H21" s="6" t="inlineStr">
        <is>
          <t>Era</t>
        </is>
      </c>
      <c r="I21" s="6" t="inlineStr">
        <is>
          <t>Material finding</t>
        </is>
      </c>
      <c r="J21" s="6" t="inlineStr">
        <is>
          <t>Congress office-holders and other parliamentary opposition leaders in 2014–2019; distinguish the governing prime minister.</t>
        </is>
      </c>
      <c r="K21" s="6" t="inlineStr">
        <is>
          <t>Internal critics and defenders disagreed about reforms; Gandhi accepted responsibility after the 2019 result.</t>
        </is>
      </c>
      <c r="L21" s="6" t="inlineStr">
        <is>
          <t>Do not interpret a 2019 proposal as later implementation, or use 2024 image recovery as contemporary 2019 consensus.</t>
        </is>
      </c>
      <c r="M21" s="6" t="inlineStr">
        <is>
          <t>Possible organisational responses included leadership retention or resignation and coalition cooperation; the workbook evaluates documented choices only.</t>
        </is>
      </c>
      <c r="N21" s="6" t="inlineStr">
        <is>
          <t>Workbook synthesis bounded by the cited record; see Legacy &amp; Assessments for named interpretations.</t>
        </is>
      </c>
      <c r="O21" s="6" t="inlineStr">
        <is>
          <t>Sources are strongest for formal events and stated positions; effects and motives require additional evidence.</t>
        </is>
      </c>
      <c r="P21" s="6" t="inlineStr">
        <is>
          <t>Analysis</t>
        </is>
      </c>
      <c r="Q21" s="6" t="inlineStr">
        <is>
          <t>S014</t>
        </is>
      </c>
      <c r="R21" s="6" t="inlineStr">
        <is>
          <t>Contextual synthesis; comparison is a scope boundary, not a ranked performance score.</t>
        </is>
      </c>
      <c r="S21" s="6" t="inlineStr">
        <is>
          <t>Single credible source</t>
        </is>
      </c>
      <c r="T21" s="6" t="n"/>
      <c r="U21" s="6" t="n"/>
    </row>
    <row r="22" ht="80" customHeight="1">
      <c r="A22" s="4" t="inlineStr">
        <is>
          <t>CT-P2-07</t>
        </is>
      </c>
      <c r="B22" s="4" t="inlineStr">
        <is>
          <t>P2 | Opposition and party presidency (2014–2019 election)</t>
        </is>
      </c>
      <c r="C22" s="4" t="inlineStr">
        <is>
          <t>Political organization</t>
        </is>
      </c>
      <c r="D22" s="4" t="inlineStr">
        <is>
          <t>The move from vice-president to president increased formal party responsibility. Internal election disputes and the 2019 resignation show the difference between authority, reform ambition and results.</t>
        </is>
      </c>
      <c r="E22" s="4" t="inlineStr">
        <is>
          <t>Supported</t>
        </is>
      </c>
      <c r="F22" s="5" t="inlineStr">
        <is>
          <t>All citations</t>
        </is>
      </c>
      <c r="G22" s="5" t="inlineStr">
        <is>
          <t>Claims</t>
        </is>
      </c>
      <c r="H22" s="4" t="inlineStr">
        <is>
          <t>Era</t>
        </is>
      </c>
      <c r="I22" s="4" t="inlineStr">
        <is>
          <t>Material finding</t>
        </is>
      </c>
      <c r="J22" s="4" t="inlineStr">
        <is>
          <t>Congress office-holders and other parliamentary opposition leaders in 2014–2019; distinguish the governing prime minister.</t>
        </is>
      </c>
      <c r="K22" s="4" t="inlineStr">
        <is>
          <t>Internal critics and defenders disagreed about reforms; Gandhi accepted responsibility after the 2019 result.</t>
        </is>
      </c>
      <c r="L22" s="4" t="inlineStr">
        <is>
          <t>Do not interpret a 2019 proposal as later implementation, or use 2024 image recovery as contemporary 2019 consensus.</t>
        </is>
      </c>
      <c r="M22" s="4" t="inlineStr">
        <is>
          <t>Possible organisational responses included leadership retention or resignation and coalition cooperation; the workbook evaluates documented choices only.</t>
        </is>
      </c>
      <c r="N22" s="4" t="inlineStr">
        <is>
          <t>Workbook synthesis bounded by the cited record; see Legacy &amp; Assessments for named interpretations.</t>
        </is>
      </c>
      <c r="O22" s="4" t="inlineStr">
        <is>
          <t>Sources are strongest for formal events and stated positions; effects and motives require additional evidence.</t>
        </is>
      </c>
      <c r="P22" s="4" t="inlineStr">
        <is>
          <t>Analysis</t>
        </is>
      </c>
      <c r="Q22" s="4" t="inlineStr">
        <is>
          <t>S004; S021; S022; S014</t>
        </is>
      </c>
      <c r="R22" s="4" t="inlineStr">
        <is>
          <t>Contextual synthesis; comparison is a scope boundary, not a ranked performance score.</t>
        </is>
      </c>
      <c r="S22" s="4" t="inlineStr">
        <is>
          <t>Multiple independent sources</t>
        </is>
      </c>
      <c r="T22" s="4" t="n"/>
      <c r="U22" s="4" t="n"/>
    </row>
    <row r="23" ht="80" customHeight="1">
      <c r="A23" s="6" t="inlineStr">
        <is>
          <t>CT-P2-08</t>
        </is>
      </c>
      <c r="B23" s="6" t="inlineStr">
        <is>
          <t>P2 | Opposition and party presidency (2014–2019 election)</t>
        </is>
      </c>
      <c r="C23" s="6" t="inlineStr">
        <is>
          <t>Social environment</t>
        </is>
      </c>
      <c r="D23" s="6" t="inlineStr">
        <is>
          <t>Farmer and tribal-land arguments connected economic policy to rural social constituencies. Evidence of a speech or protest does not establish how each caste, class or community voted.</t>
        </is>
      </c>
      <c r="E23" s="6" t="inlineStr">
        <is>
          <t>Supported</t>
        </is>
      </c>
      <c r="F23" s="7" t="inlineStr">
        <is>
          <t>All citations</t>
        </is>
      </c>
      <c r="G23" s="7" t="inlineStr">
        <is>
          <t>Claims</t>
        </is>
      </c>
      <c r="H23" s="6" t="inlineStr">
        <is>
          <t>Era</t>
        </is>
      </c>
      <c r="I23" s="6" t="inlineStr">
        <is>
          <t>Material finding</t>
        </is>
      </c>
      <c r="J23" s="6" t="inlineStr">
        <is>
          <t>Congress office-holders and other parliamentary opposition leaders in 2014–2019; distinguish the governing prime minister.</t>
        </is>
      </c>
      <c r="K23" s="6" t="inlineStr">
        <is>
          <t>Internal critics and defenders disagreed about reforms; Gandhi accepted responsibility after the 2019 result.</t>
        </is>
      </c>
      <c r="L23" s="6" t="inlineStr">
        <is>
          <t>Do not interpret a 2019 proposal as later implementation, or use 2024 image recovery as contemporary 2019 consensus.</t>
        </is>
      </c>
      <c r="M23" s="6" t="inlineStr">
        <is>
          <t>Possible organisational responses included leadership retention or resignation and coalition cooperation; the workbook evaluates documented choices only.</t>
        </is>
      </c>
      <c r="N23" s="6" t="inlineStr">
        <is>
          <t>Workbook synthesis bounded by the cited record; see Legacy &amp; Assessments for named interpretations.</t>
        </is>
      </c>
      <c r="O23" s="6" t="inlineStr">
        <is>
          <t>Sources are strongest for formal events and stated positions; effects and motives require additional evidence.</t>
        </is>
      </c>
      <c r="P23" s="6" t="inlineStr">
        <is>
          <t>Analysis</t>
        </is>
      </c>
      <c r="Q23" s="6" t="inlineStr">
        <is>
          <t>S037; S028</t>
        </is>
      </c>
      <c r="R23" s="6" t="inlineStr">
        <is>
          <t>Contextual synthesis; comparison is a scope boundary, not a ranked performance score.</t>
        </is>
      </c>
      <c r="S23" s="6" t="inlineStr">
        <is>
          <t>Multiple independent sources</t>
        </is>
      </c>
      <c r="T23" s="6" t="n"/>
      <c r="U23" s="6" t="n"/>
    </row>
    <row r="24" ht="80" customHeight="1">
      <c r="A24" s="4" t="inlineStr">
        <is>
          <t>CT-P2-09</t>
        </is>
      </c>
      <c r="B24" s="4" t="inlineStr">
        <is>
          <t>P2 | Opposition and party presidency (2014–2019 election)</t>
        </is>
      </c>
      <c r="C24" s="4" t="inlineStr">
        <is>
          <t>State structure and political geography</t>
        </is>
      </c>
      <c r="D24" s="4" t="inlineStr">
        <is>
          <t>The move into Wayanad widened his personal electoral geography from Uttar Pradesh to Kerala. It should be analysed alongside the simultaneous Amethi defeat.</t>
        </is>
      </c>
      <c r="E24" s="4" t="inlineStr">
        <is>
          <t>Supported</t>
        </is>
      </c>
      <c r="F24" s="5" t="inlineStr">
        <is>
          <t>All citations</t>
        </is>
      </c>
      <c r="G24" s="5" t="inlineStr">
        <is>
          <t>Claims</t>
        </is>
      </c>
      <c r="H24" s="4" t="inlineStr">
        <is>
          <t>Era</t>
        </is>
      </c>
      <c r="I24" s="4" t="inlineStr">
        <is>
          <t>Material finding</t>
        </is>
      </c>
      <c r="J24" s="4" t="inlineStr">
        <is>
          <t>Congress office-holders and other parliamentary opposition leaders in 2014–2019; distinguish the governing prime minister.</t>
        </is>
      </c>
      <c r="K24" s="4" t="inlineStr">
        <is>
          <t>Internal critics and defenders disagreed about reforms; Gandhi accepted responsibility after the 2019 result.</t>
        </is>
      </c>
      <c r="L24" s="4" t="inlineStr">
        <is>
          <t>Do not interpret a 2019 proposal as later implementation, or use 2024 image recovery as contemporary 2019 consensus.</t>
        </is>
      </c>
      <c r="M24" s="4" t="inlineStr">
        <is>
          <t>Possible organisational responses included leadership retention or resignation and coalition cooperation; the workbook evaluates documented choices only.</t>
        </is>
      </c>
      <c r="N24" s="4" t="inlineStr">
        <is>
          <t>Workbook synthesis bounded by the cited record; see Legacy &amp; Assessments for named interpretations.</t>
        </is>
      </c>
      <c r="O24" s="4" t="inlineStr">
        <is>
          <t>Sources are strongest for formal events and stated positions; effects and motives require additional evidence.</t>
        </is>
      </c>
      <c r="P24" s="4" t="inlineStr">
        <is>
          <t>Analysis</t>
        </is>
      </c>
      <c r="Q24" s="4" t="inlineStr">
        <is>
          <t>S007; S041</t>
        </is>
      </c>
      <c r="R24" s="4" t="inlineStr">
        <is>
          <t>Contextual synthesis; comparison is a scope boundary, not a ranked performance score.</t>
        </is>
      </c>
      <c r="S24" s="4" t="inlineStr">
        <is>
          <t>Primary record</t>
        </is>
      </c>
      <c r="T24" s="4" t="n"/>
      <c r="U24" s="4" t="n"/>
    </row>
    <row r="25" ht="80" customHeight="1">
      <c r="A25" s="6" t="inlineStr">
        <is>
          <t>CT-P2-10</t>
        </is>
      </c>
      <c r="B25" s="6" t="inlineStr">
        <is>
          <t>P2 | Opposition and party presidency (2014–2019 election)</t>
        </is>
      </c>
      <c r="C25" s="6" t="inlineStr">
        <is>
          <t>Evidence environment</t>
        </is>
      </c>
      <c r="D25" s="6" t="inlineStr">
        <is>
          <t>Contemporaneous internal-party reporting preserves opposing views of organisational reform. Election compilations can disagree on rounded shares; exact vote totals are kept separate from disputed percentages.</t>
        </is>
      </c>
      <c r="E25" s="6" t="inlineStr">
        <is>
          <t>Supported</t>
        </is>
      </c>
      <c r="F25" s="7" t="inlineStr">
        <is>
          <t>All citations</t>
        </is>
      </c>
      <c r="G25" s="7" t="inlineStr">
        <is>
          <t>Claims</t>
        </is>
      </c>
      <c r="H25" s="6" t="inlineStr">
        <is>
          <t>Era</t>
        </is>
      </c>
      <c r="I25" s="6" t="inlineStr">
        <is>
          <t>Material finding</t>
        </is>
      </c>
      <c r="J25" s="6" t="inlineStr">
        <is>
          <t>Congress office-holders and other parliamentary opposition leaders in 2014–2019; distinguish the governing prime minister.</t>
        </is>
      </c>
      <c r="K25" s="6" t="inlineStr">
        <is>
          <t>Internal critics and defenders disagreed about reforms; Gandhi accepted responsibility after the 2019 result.</t>
        </is>
      </c>
      <c r="L25" s="6" t="inlineStr">
        <is>
          <t>Do not interpret a 2019 proposal as later implementation, or use 2024 image recovery as contemporary 2019 consensus.</t>
        </is>
      </c>
      <c r="M25" s="6" t="inlineStr">
        <is>
          <t>Possible organisational responses included leadership retention or resignation and coalition cooperation; the workbook evaluates documented choices only.</t>
        </is>
      </c>
      <c r="N25" s="6" t="inlineStr">
        <is>
          <t>Workbook synthesis bounded by the cited record; see Legacy &amp; Assessments for named interpretations.</t>
        </is>
      </c>
      <c r="O25" s="6" t="inlineStr">
        <is>
          <t>Sources are strongest for formal events and stated positions; effects and motives require additional evidence.</t>
        </is>
      </c>
      <c r="P25" s="6" t="inlineStr">
        <is>
          <t>Analysis</t>
        </is>
      </c>
      <c r="Q25" s="6" t="inlineStr">
        <is>
          <t>S021; S022; S008</t>
        </is>
      </c>
      <c r="R25" s="6" t="inlineStr">
        <is>
          <t>Contextual synthesis; comparison is a scope boundary, not a ranked performance score.</t>
        </is>
      </c>
      <c r="S25" s="6" t="inlineStr">
        <is>
          <t>Multiple independent sources</t>
        </is>
      </c>
      <c r="T25" s="6" t="n"/>
      <c r="U25" s="6" t="n"/>
    </row>
    <row r="26" ht="80" customHeight="1">
      <c r="A26" s="4" t="inlineStr">
        <is>
          <t>CT-P3-01</t>
        </is>
      </c>
      <c r="B26" s="4" t="inlineStr">
        <is>
          <t>P3 | Resignation, yatras and recovery (2019–2024 election)</t>
        </is>
      </c>
      <c r="C26" s="4" t="inlineStr">
        <is>
          <t>Party system</t>
        </is>
      </c>
      <c r="D26" s="4" t="inlineStr">
        <is>
          <t>After resigning the presidency, Gandhi retained prominence while Kharge later headed Congress. Reuters’s 2024 account describes a revival within a wider opposition campaign.</t>
        </is>
      </c>
      <c r="E26" s="4" t="inlineStr">
        <is>
          <t>Supported</t>
        </is>
      </c>
      <c r="F26" s="5" t="inlineStr">
        <is>
          <t>All citations</t>
        </is>
      </c>
      <c r="G26" s="5" t="inlineStr">
        <is>
          <t>Claims</t>
        </is>
      </c>
      <c r="H26" s="4" t="inlineStr">
        <is>
          <t>Era</t>
        </is>
      </c>
      <c r="I26" s="4" t="inlineStr">
        <is>
          <t>Material finding</t>
        </is>
      </c>
      <c r="J26" s="4" t="inlineStr">
        <is>
          <t>Other opposition campaigners and Congress leaders under the party presidency of Mallikarjun Kharge in 2024.</t>
        </is>
      </c>
      <c r="K26" s="4" t="inlineStr">
        <is>
          <t>Contemporaneous yatra reporting and commentary differed in emphasis; Reuters’s 2024 recovery assessment was later than the first march.</t>
        </is>
      </c>
      <c r="L26" s="4" t="inlineStr">
        <is>
          <t>Preserve the 2023 membership interruption; do not convert a conviction stay into a final legal exoneration.</t>
        </is>
      </c>
      <c r="M26" s="4" t="inlineStr">
        <is>
          <t>Yatras, parliamentary interventions and formal party organisation were available channels; no source isolates their comparative electoral effectiveness.</t>
        </is>
      </c>
      <c r="N26" s="4" t="inlineStr">
        <is>
          <t>Workbook synthesis bounded by the cited record; see Legacy &amp; Assessments for named interpretations.</t>
        </is>
      </c>
      <c r="O26" s="4" t="inlineStr">
        <is>
          <t>Sources are strongest for formal events and stated positions; effects and motives require additional evidence.</t>
        </is>
      </c>
      <c r="P26" s="4" t="inlineStr">
        <is>
          <t>Analysis</t>
        </is>
      </c>
      <c r="Q26" s="4" t="inlineStr">
        <is>
          <t>S014; S023</t>
        </is>
      </c>
      <c r="R26" s="4" t="inlineStr">
        <is>
          <t>Contextual synthesis; comparison is a scope boundary, not a ranked performance score.</t>
        </is>
      </c>
      <c r="S26" s="4" t="inlineStr">
        <is>
          <t>Multiple independent sources</t>
        </is>
      </c>
      <c r="T26" s="4" t="n"/>
      <c r="U26" s="4" t="n"/>
    </row>
    <row r="27" ht="80" customHeight="1">
      <c r="A27" s="6" t="inlineStr">
        <is>
          <t>CT-P3-02</t>
        </is>
      </c>
      <c r="B27" s="6" t="inlineStr">
        <is>
          <t>P3 | Resignation, yatras and recovery (2019–2024 election)</t>
        </is>
      </c>
      <c r="C27" s="6" t="inlineStr">
        <is>
          <t>Constitutional and institutional environment</t>
        </is>
      </c>
      <c r="D27" s="6" t="inlineStr">
        <is>
          <t>A trial conviction interrupted membership in 2023. The Supreme Court’s stay and subsequent restoration demonstrate the distinct roles of trial court, appellate court and parliamentary notification.</t>
        </is>
      </c>
      <c r="E27" s="6" t="inlineStr">
        <is>
          <t>Supported</t>
        </is>
      </c>
      <c r="F27" s="7" t="inlineStr">
        <is>
          <t>All citations</t>
        </is>
      </c>
      <c r="G27" s="7" t="inlineStr">
        <is>
          <t>Claims</t>
        </is>
      </c>
      <c r="H27" s="6" t="inlineStr">
        <is>
          <t>Era</t>
        </is>
      </c>
      <c r="I27" s="6" t="inlineStr">
        <is>
          <t>Material finding</t>
        </is>
      </c>
      <c r="J27" s="6" t="inlineStr">
        <is>
          <t>Other opposition campaigners and Congress leaders under the party presidency of Mallikarjun Kharge in 2024.</t>
        </is>
      </c>
      <c r="K27" s="6" t="inlineStr">
        <is>
          <t>Contemporaneous yatra reporting and commentary differed in emphasis; Reuters’s 2024 recovery assessment was later than the first march.</t>
        </is>
      </c>
      <c r="L27" s="6" t="inlineStr">
        <is>
          <t>Preserve the 2023 membership interruption; do not convert a conviction stay into a final legal exoneration.</t>
        </is>
      </c>
      <c r="M27" s="6" t="inlineStr">
        <is>
          <t>Yatras, parliamentary interventions and formal party organisation were available channels; no source isolates their comparative electoral effectiveness.</t>
        </is>
      </c>
      <c r="N27" s="6" t="inlineStr">
        <is>
          <t>Workbook synthesis bounded by the cited record; see Legacy &amp; Assessments for named interpretations.</t>
        </is>
      </c>
      <c r="O27" s="6" t="inlineStr">
        <is>
          <t>Sources are strongest for formal events and stated positions; effects and motives require additional evidence.</t>
        </is>
      </c>
      <c r="P27" s="6" t="inlineStr">
        <is>
          <t>Analysis</t>
        </is>
      </c>
      <c r="Q27" s="6" t="inlineStr">
        <is>
          <t>S010; S011</t>
        </is>
      </c>
      <c r="R27" s="6" t="inlineStr">
        <is>
          <t>Contextual synthesis; comparison is a scope boundary, not a ranked performance score.</t>
        </is>
      </c>
      <c r="S27" s="6" t="inlineStr">
        <is>
          <t>Primary record</t>
        </is>
      </c>
      <c r="T27" s="6" t="n"/>
      <c r="U27" s="6" t="n"/>
    </row>
    <row r="28" ht="80" customHeight="1">
      <c r="A28" s="4" t="inlineStr">
        <is>
          <t>CT-P3-03</t>
        </is>
      </c>
      <c r="B28" s="4" t="inlineStr">
        <is>
          <t>P3 | Resignation, yatras and recovery (2019–2024 election)</t>
        </is>
      </c>
      <c r="C28" s="4" t="inlineStr">
        <is>
          <t>Electoral environment</t>
        </is>
      </c>
      <c r="D28" s="4" t="inlineStr">
        <is>
          <t>His 2019 Wayanad mandate continued through most of this phase, interrupted by disqualification. PRS’s continuous displayed tenure needs the separate 2023 interruption recorded beside it.</t>
        </is>
      </c>
      <c r="E28" s="4" t="inlineStr">
        <is>
          <t>Supported</t>
        </is>
      </c>
      <c r="F28" s="5" t="inlineStr">
        <is>
          <t>All citations</t>
        </is>
      </c>
      <c r="G28" s="5" t="inlineStr">
        <is>
          <t>Claims</t>
        </is>
      </c>
      <c r="H28" s="4" t="inlineStr">
        <is>
          <t>Era</t>
        </is>
      </c>
      <c r="I28" s="4" t="inlineStr">
        <is>
          <t>Material finding</t>
        </is>
      </c>
      <c r="J28" s="4" t="inlineStr">
        <is>
          <t>Other opposition campaigners and Congress leaders under the party presidency of Mallikarjun Kharge in 2024.</t>
        </is>
      </c>
      <c r="K28" s="4" t="inlineStr">
        <is>
          <t>Contemporaneous yatra reporting and commentary differed in emphasis; Reuters’s 2024 recovery assessment was later than the first march.</t>
        </is>
      </c>
      <c r="L28" s="4" t="inlineStr">
        <is>
          <t>Preserve the 2023 membership interruption; do not convert a conviction stay into a final legal exoneration.</t>
        </is>
      </c>
      <c r="M28" s="4" t="inlineStr">
        <is>
          <t>Yatras, parliamentary interventions and formal party organisation were available channels; no source isolates their comparative electoral effectiveness.</t>
        </is>
      </c>
      <c r="N28" s="4" t="inlineStr">
        <is>
          <t>Workbook synthesis bounded by the cited record; see Legacy &amp; Assessments for named interpretations.</t>
        </is>
      </c>
      <c r="O28" s="4" t="inlineStr">
        <is>
          <t>Sources are strongest for formal events and stated positions; effects and motives require additional evidence.</t>
        </is>
      </c>
      <c r="P28" s="4" t="inlineStr">
        <is>
          <t>Analysis</t>
        </is>
      </c>
      <c r="Q28" s="4" t="inlineStr">
        <is>
          <t>S042; S011</t>
        </is>
      </c>
      <c r="R28" s="4" t="inlineStr">
        <is>
          <t>Contextual synthesis; comparison is a scope boundary, not a ranked performance score.</t>
        </is>
      </c>
      <c r="S28" s="4" t="inlineStr">
        <is>
          <t>Multiple independent sources</t>
        </is>
      </c>
      <c r="T28" s="4" t="n"/>
      <c r="U28" s="4" t="n"/>
    </row>
    <row r="29" ht="80" customHeight="1">
      <c r="A29" s="6" t="inlineStr">
        <is>
          <t>CT-P3-04</t>
        </is>
      </c>
      <c r="B29" s="6" t="inlineStr">
        <is>
          <t>P3 | Resignation, yatras and recovery (2019–2024 election)</t>
        </is>
      </c>
      <c r="C29" s="6" t="inlineStr">
        <is>
          <t>Economic regime</t>
        </is>
      </c>
      <c r="D29" s="6" t="inlineStr">
        <is>
          <t>The 2024 platform linked apprenticeships, farm-price guarantees and transfers to employment and distribution. These are proposed instruments, not measured macroeconomic outcomes.</t>
        </is>
      </c>
      <c r="E29" s="6" t="inlineStr">
        <is>
          <t>Supported</t>
        </is>
      </c>
      <c r="F29" s="7" t="inlineStr">
        <is>
          <t>All citations</t>
        </is>
      </c>
      <c r="G29" s="7" t="inlineStr">
        <is>
          <t>Claims</t>
        </is>
      </c>
      <c r="H29" s="6" t="inlineStr">
        <is>
          <t>Era</t>
        </is>
      </c>
      <c r="I29" s="6" t="inlineStr">
        <is>
          <t>Material finding</t>
        </is>
      </c>
      <c r="J29" s="6" t="inlineStr">
        <is>
          <t>Other opposition campaigners and Congress leaders under the party presidency of Mallikarjun Kharge in 2024.</t>
        </is>
      </c>
      <c r="K29" s="6" t="inlineStr">
        <is>
          <t>Contemporaneous yatra reporting and commentary differed in emphasis; Reuters’s 2024 recovery assessment was later than the first march.</t>
        </is>
      </c>
      <c r="L29" s="6" t="inlineStr">
        <is>
          <t>Preserve the 2023 membership interruption; do not convert a conviction stay into a final legal exoneration.</t>
        </is>
      </c>
      <c r="M29" s="6" t="inlineStr">
        <is>
          <t>Yatras, parliamentary interventions and formal party organisation were available channels; no source isolates their comparative electoral effectiveness.</t>
        </is>
      </c>
      <c r="N29" s="6" t="inlineStr">
        <is>
          <t>Workbook synthesis bounded by the cited record; see Legacy &amp; Assessments for named interpretations.</t>
        </is>
      </c>
      <c r="O29" s="6" t="inlineStr">
        <is>
          <t>Sources are strongest for formal events and stated positions; effects and motives require additional evidence.</t>
        </is>
      </c>
      <c r="P29" s="6" t="inlineStr">
        <is>
          <t>Analysis</t>
        </is>
      </c>
      <c r="Q29" s="6" t="inlineStr">
        <is>
          <t>S018; S019; S017</t>
        </is>
      </c>
      <c r="R29" s="6" t="inlineStr">
        <is>
          <t>Contextual synthesis; comparison is a scope boundary, not a ranked performance score.</t>
        </is>
      </c>
      <c r="S29" s="6" t="inlineStr">
        <is>
          <t>Interested source only</t>
        </is>
      </c>
      <c r="T29" s="6" t="n"/>
      <c r="U29" s="6" t="n"/>
    </row>
    <row r="30" ht="80" customHeight="1">
      <c r="A30" s="4" t="inlineStr">
        <is>
          <t>CT-P3-05</t>
        </is>
      </c>
      <c r="B30" s="4" t="inlineStr">
        <is>
          <t>P3 | Resignation, yatras and recovery (2019–2024 election)</t>
        </is>
      </c>
      <c r="C30" s="4" t="inlineStr">
        <is>
          <t>International system</t>
        </is>
      </c>
      <c r="D30" s="4" t="inlineStr">
        <is>
          <t>Congress’s 2024 security platform supplied stated positions on recruitment and foreign-policy continuity. Gandhi’s association with that platform does not amount to executive implementation.</t>
        </is>
      </c>
      <c r="E30" s="4" t="inlineStr">
        <is>
          <t>Supported</t>
        </is>
      </c>
      <c r="F30" s="5" t="inlineStr">
        <is>
          <t>All citations</t>
        </is>
      </c>
      <c r="G30" s="5" t="inlineStr">
        <is>
          <t>Claims</t>
        </is>
      </c>
      <c r="H30" s="4" t="inlineStr">
        <is>
          <t>Era</t>
        </is>
      </c>
      <c r="I30" s="4" t="inlineStr">
        <is>
          <t>Material finding</t>
        </is>
      </c>
      <c r="J30" s="4" t="inlineStr">
        <is>
          <t>Other opposition campaigners and Congress leaders under the party presidency of Mallikarjun Kharge in 2024.</t>
        </is>
      </c>
      <c r="K30" s="4" t="inlineStr">
        <is>
          <t>Contemporaneous yatra reporting and commentary differed in emphasis; Reuters’s 2024 recovery assessment was later than the first march.</t>
        </is>
      </c>
      <c r="L30" s="4" t="inlineStr">
        <is>
          <t>Preserve the 2023 membership interruption; do not convert a conviction stay into a final legal exoneration.</t>
        </is>
      </c>
      <c r="M30" s="4" t="inlineStr">
        <is>
          <t>Yatras, parliamentary interventions and formal party organisation were available channels; no source isolates their comparative electoral effectiveness.</t>
        </is>
      </c>
      <c r="N30" s="4" t="inlineStr">
        <is>
          <t>Workbook synthesis bounded by the cited record; see Legacy &amp; Assessments for named interpretations.</t>
        </is>
      </c>
      <c r="O30" s="4" t="inlineStr">
        <is>
          <t>Sources are strongest for formal events and stated positions; effects and motives require additional evidence.</t>
        </is>
      </c>
      <c r="P30" s="4" t="inlineStr">
        <is>
          <t>Analysis</t>
        </is>
      </c>
      <c r="Q30" s="4" t="inlineStr">
        <is>
          <t>S020</t>
        </is>
      </c>
      <c r="R30" s="4" t="inlineStr">
        <is>
          <t>Contextual synthesis; comparison is a scope boundary, not a ranked performance score.</t>
        </is>
      </c>
      <c r="S30" s="4" t="inlineStr">
        <is>
          <t>Interested source only</t>
        </is>
      </c>
      <c r="T30" s="4" t="n"/>
      <c r="U30" s="4" t="n"/>
    </row>
    <row r="31" ht="80" customHeight="1">
      <c r="A31" s="6" t="inlineStr">
        <is>
          <t>CT-P3-06</t>
        </is>
      </c>
      <c r="B31" s="6" t="inlineStr">
        <is>
          <t>P3 | Resignation, yatras and recovery (2019–2024 election)</t>
        </is>
      </c>
      <c r="C31" s="6" t="inlineStr">
        <is>
          <t>Media and campaign environment</t>
        </is>
      </c>
      <c r="D31" s="6" t="inlineStr">
        <is>
          <t>The long marches created repeated personal contact and media attention. Contemporary discussion included physical endurance and dress; a later Reuters assessment described image recovery.</t>
        </is>
      </c>
      <c r="E31" s="6" t="inlineStr">
        <is>
          <t>Supported</t>
        </is>
      </c>
      <c r="F31" s="7" t="inlineStr">
        <is>
          <t>All citations</t>
        </is>
      </c>
      <c r="G31" s="7" t="inlineStr">
        <is>
          <t>Claims</t>
        </is>
      </c>
      <c r="H31" s="6" t="inlineStr">
        <is>
          <t>Era</t>
        </is>
      </c>
      <c r="I31" s="6" t="inlineStr">
        <is>
          <t>Material finding</t>
        </is>
      </c>
      <c r="J31" s="6" t="inlineStr">
        <is>
          <t>Other opposition campaigners and Congress leaders under the party presidency of Mallikarjun Kharge in 2024.</t>
        </is>
      </c>
      <c r="K31" s="6" t="inlineStr">
        <is>
          <t>Contemporaneous yatra reporting and commentary differed in emphasis; Reuters’s 2024 recovery assessment was later than the first march.</t>
        </is>
      </c>
      <c r="L31" s="6" t="inlineStr">
        <is>
          <t>Preserve the 2023 membership interruption; do not convert a conviction stay into a final legal exoneration.</t>
        </is>
      </c>
      <c r="M31" s="6" t="inlineStr">
        <is>
          <t>Yatras, parliamentary interventions and formal party organisation were available channels; no source isolates their comparative electoral effectiveness.</t>
        </is>
      </c>
      <c r="N31" s="6" t="inlineStr">
        <is>
          <t>Workbook synthesis bounded by the cited record; see Legacy &amp; Assessments for named interpretations.</t>
        </is>
      </c>
      <c r="O31" s="6" t="inlineStr">
        <is>
          <t>Sources are strongest for formal events and stated positions; effects and motives require additional evidence.</t>
        </is>
      </c>
      <c r="P31" s="6" t="inlineStr">
        <is>
          <t>Analysis</t>
        </is>
      </c>
      <c r="Q31" s="6" t="inlineStr">
        <is>
          <t>S015; S025; S023</t>
        </is>
      </c>
      <c r="R31" s="6" t="inlineStr">
        <is>
          <t>Contextual synthesis; comparison is a scope boundary, not a ranked performance score.</t>
        </is>
      </c>
      <c r="S31" s="6" t="inlineStr">
        <is>
          <t>Multiple independent sources</t>
        </is>
      </c>
      <c r="T31" s="6" t="n"/>
      <c r="U31" s="6" t="n"/>
    </row>
    <row r="32" ht="80" customHeight="1">
      <c r="A32" s="4" t="inlineStr">
        <is>
          <t>CT-P3-07</t>
        </is>
      </c>
      <c r="B32" s="4" t="inlineStr">
        <is>
          <t>P3 | Resignation, yatras and recovery (2019–2024 election)</t>
        </is>
      </c>
      <c r="C32" s="4" t="inlineStr">
        <is>
          <t>Political organization</t>
        </is>
      </c>
      <c r="D32" s="4" t="inlineStr">
        <is>
          <t>Bharat Jodo and Bharat Jodo Nyay combined movement-style journeys with party campaigning. They supplemented formal party positions; their independent effect on constituency organisation remains unmeasured.</t>
        </is>
      </c>
      <c r="E32" s="4" t="inlineStr">
        <is>
          <t>Supported</t>
        </is>
      </c>
      <c r="F32" s="5" t="inlineStr">
        <is>
          <t>All citations</t>
        </is>
      </c>
      <c r="G32" s="5" t="inlineStr">
        <is>
          <t>Claims</t>
        </is>
      </c>
      <c r="H32" s="4" t="inlineStr">
        <is>
          <t>Era</t>
        </is>
      </c>
      <c r="I32" s="4" t="inlineStr">
        <is>
          <t>Material finding</t>
        </is>
      </c>
      <c r="J32" s="4" t="inlineStr">
        <is>
          <t>Other opposition campaigners and Congress leaders under the party presidency of Mallikarjun Kharge in 2024.</t>
        </is>
      </c>
      <c r="K32" s="4" t="inlineStr">
        <is>
          <t>Contemporaneous yatra reporting and commentary differed in emphasis; Reuters’s 2024 recovery assessment was later than the first march.</t>
        </is>
      </c>
      <c r="L32" s="4" t="inlineStr">
        <is>
          <t>Preserve the 2023 membership interruption; do not convert a conviction stay into a final legal exoneration.</t>
        </is>
      </c>
      <c r="M32" s="4" t="inlineStr">
        <is>
          <t>Yatras, parliamentary interventions and formal party organisation were available channels; no source isolates their comparative electoral effectiveness.</t>
        </is>
      </c>
      <c r="N32" s="4" t="inlineStr">
        <is>
          <t>Workbook synthesis bounded by the cited record; see Legacy &amp; Assessments for named interpretations.</t>
        </is>
      </c>
      <c r="O32" s="4" t="inlineStr">
        <is>
          <t>Sources are strongest for formal events and stated positions; effects and motives require additional evidence.</t>
        </is>
      </c>
      <c r="P32" s="4" t="inlineStr">
        <is>
          <t>Analysis</t>
        </is>
      </c>
      <c r="Q32" s="4" t="inlineStr">
        <is>
          <t>S004; S015; S023</t>
        </is>
      </c>
      <c r="R32" s="4" t="inlineStr">
        <is>
          <t>Contextual synthesis; comparison is a scope boundary, not a ranked performance score.</t>
        </is>
      </c>
      <c r="S32" s="4" t="inlineStr">
        <is>
          <t>Multiple independent sources</t>
        </is>
      </c>
      <c r="T32" s="4" t="n"/>
      <c r="U32" s="4" t="n"/>
    </row>
    <row r="33" ht="80" customHeight="1">
      <c r="A33" s="6" t="inlineStr">
        <is>
          <t>CT-P3-08</t>
        </is>
      </c>
      <c r="B33" s="6" t="inlineStr">
        <is>
          <t>P3 | Resignation, yatras and recovery (2019–2024 election)</t>
        </is>
      </c>
      <c r="C33" s="6" t="inlineStr">
        <is>
          <t>Social environment</t>
        </is>
      </c>
      <c r="D33" s="6" t="inlineStr">
        <is>
          <t>Unity speeches and the 2024 platform addressed exclusion, caste representation and minority rights. Source material establishes this agenda, not uniform reception among the intended groups.</t>
        </is>
      </c>
      <c r="E33" s="6" t="inlineStr">
        <is>
          <t>Supported</t>
        </is>
      </c>
      <c r="F33" s="7" t="inlineStr">
        <is>
          <t>All citations</t>
        </is>
      </c>
      <c r="G33" s="7" t="inlineStr">
        <is>
          <t>Claims</t>
        </is>
      </c>
      <c r="H33" s="6" t="inlineStr">
        <is>
          <t>Era</t>
        </is>
      </c>
      <c r="I33" s="6" t="inlineStr">
        <is>
          <t>Material finding</t>
        </is>
      </c>
      <c r="J33" s="6" t="inlineStr">
        <is>
          <t>Other opposition campaigners and Congress leaders under the party presidency of Mallikarjun Kharge in 2024.</t>
        </is>
      </c>
      <c r="K33" s="6" t="inlineStr">
        <is>
          <t>Contemporaneous yatra reporting and commentary differed in emphasis; Reuters’s 2024 recovery assessment was later than the first march.</t>
        </is>
      </c>
      <c r="L33" s="6" t="inlineStr">
        <is>
          <t>Preserve the 2023 membership interruption; do not convert a conviction stay into a final legal exoneration.</t>
        </is>
      </c>
      <c r="M33" s="6" t="inlineStr">
        <is>
          <t>Yatras, parliamentary interventions and formal party organisation were available channels; no source isolates their comparative electoral effectiveness.</t>
        </is>
      </c>
      <c r="N33" s="6" t="inlineStr">
        <is>
          <t>Workbook synthesis bounded by the cited record; see Legacy &amp; Assessments for named interpretations.</t>
        </is>
      </c>
      <c r="O33" s="6" t="inlineStr">
        <is>
          <t>Sources are strongest for formal events and stated positions; effects and motives require additional evidence.</t>
        </is>
      </c>
      <c r="P33" s="6" t="inlineStr">
        <is>
          <t>Analysis</t>
        </is>
      </c>
      <c r="Q33" s="6" t="inlineStr">
        <is>
          <t>S015; S016</t>
        </is>
      </c>
      <c r="R33" s="6" t="inlineStr">
        <is>
          <t>Contextual synthesis; comparison is a scope boundary, not a ranked performance score.</t>
        </is>
      </c>
      <c r="S33" s="6" t="inlineStr">
        <is>
          <t>Multiple independent sources</t>
        </is>
      </c>
      <c r="T33" s="6" t="n"/>
      <c r="U33" s="6" t="n"/>
    </row>
    <row r="34" ht="80" customHeight="1">
      <c r="A34" s="4" t="inlineStr">
        <is>
          <t>CT-P3-09</t>
        </is>
      </c>
      <c r="B34" s="4" t="inlineStr">
        <is>
          <t>P3 | Resignation, yatras and recovery (2019–2024 election)</t>
        </is>
      </c>
      <c r="C34" s="4" t="inlineStr">
        <is>
          <t>State structure and political geography</t>
        </is>
      </c>
      <c r="D34" s="4" t="inlineStr">
        <is>
          <t>A Kerala constituency coexisted with national journeys and campaigning. The national route and local MP role should not be conflated when evaluating constituency service.</t>
        </is>
      </c>
      <c r="E34" s="4" t="inlineStr">
        <is>
          <t>Supported</t>
        </is>
      </c>
      <c r="F34" s="5" t="inlineStr">
        <is>
          <t>All citations</t>
        </is>
      </c>
      <c r="G34" s="5" t="inlineStr">
        <is>
          <t>Claims</t>
        </is>
      </c>
      <c r="H34" s="4" t="inlineStr">
        <is>
          <t>Era</t>
        </is>
      </c>
      <c r="I34" s="4" t="inlineStr">
        <is>
          <t>Material finding</t>
        </is>
      </c>
      <c r="J34" s="4" t="inlineStr">
        <is>
          <t>Other opposition campaigners and Congress leaders under the party presidency of Mallikarjun Kharge in 2024.</t>
        </is>
      </c>
      <c r="K34" s="4" t="inlineStr">
        <is>
          <t>Contemporaneous yatra reporting and commentary differed in emphasis; Reuters’s 2024 recovery assessment was later than the first march.</t>
        </is>
      </c>
      <c r="L34" s="4" t="inlineStr">
        <is>
          <t>Preserve the 2023 membership interruption; do not convert a conviction stay into a final legal exoneration.</t>
        </is>
      </c>
      <c r="M34" s="4" t="inlineStr">
        <is>
          <t>Yatras, parliamentary interventions and formal party organisation were available channels; no source isolates their comparative electoral effectiveness.</t>
        </is>
      </c>
      <c r="N34" s="4" t="inlineStr">
        <is>
          <t>Workbook synthesis bounded by the cited record; see Legacy &amp; Assessments for named interpretations.</t>
        </is>
      </c>
      <c r="O34" s="4" t="inlineStr">
        <is>
          <t>Sources are strongest for formal events and stated positions; effects and motives require additional evidence.</t>
        </is>
      </c>
      <c r="P34" s="4" t="inlineStr">
        <is>
          <t>Analysis</t>
        </is>
      </c>
      <c r="Q34" s="4" t="inlineStr">
        <is>
          <t>S042; S004</t>
        </is>
      </c>
      <c r="R34" s="4" t="inlineStr">
        <is>
          <t>Contextual synthesis; comparison is a scope boundary, not a ranked performance score.</t>
        </is>
      </c>
      <c r="S34" s="4" t="inlineStr">
        <is>
          <t>Multiple independent sources</t>
        </is>
      </c>
      <c r="T34" s="4" t="n"/>
      <c r="U34" s="4" t="n"/>
    </row>
    <row r="35" ht="80" customHeight="1">
      <c r="A35" s="6" t="inlineStr">
        <is>
          <t>CT-P3-10</t>
        </is>
      </c>
      <c r="B35" s="6" t="inlineStr">
        <is>
          <t>P3 | Resignation, yatras and recovery (2019–2024 election)</t>
        </is>
      </c>
      <c r="C35" s="6" t="inlineStr">
        <is>
          <t>Evidence environment</t>
        </is>
      </c>
      <c r="D35" s="6" t="inlineStr">
        <is>
          <t>The court order provides direct procedural evidence; media coverage supplies immediate political consequences. A later merits disposition cannot be inferred from the 2023 stay.</t>
        </is>
      </c>
      <c r="E35" s="6" t="inlineStr">
        <is>
          <t>Supported</t>
        </is>
      </c>
      <c r="F35" s="7" t="inlineStr">
        <is>
          <t>All citations</t>
        </is>
      </c>
      <c r="G35" s="7" t="inlineStr">
        <is>
          <t>Claims</t>
        </is>
      </c>
      <c r="H35" s="6" t="inlineStr">
        <is>
          <t>Era</t>
        </is>
      </c>
      <c r="I35" s="6" t="inlineStr">
        <is>
          <t>Material finding</t>
        </is>
      </c>
      <c r="J35" s="6" t="inlineStr">
        <is>
          <t>Other opposition campaigners and Congress leaders under the party presidency of Mallikarjun Kharge in 2024.</t>
        </is>
      </c>
      <c r="K35" s="6" t="inlineStr">
        <is>
          <t>Contemporaneous yatra reporting and commentary differed in emphasis; Reuters’s 2024 recovery assessment was later than the first march.</t>
        </is>
      </c>
      <c r="L35" s="6" t="inlineStr">
        <is>
          <t>Preserve the 2023 membership interruption; do not convert a conviction stay into a final legal exoneration.</t>
        </is>
      </c>
      <c r="M35" s="6" t="inlineStr">
        <is>
          <t>Yatras, parliamentary interventions and formal party organisation were available channels; no source isolates their comparative electoral effectiveness.</t>
        </is>
      </c>
      <c r="N35" s="6" t="inlineStr">
        <is>
          <t>Workbook synthesis bounded by the cited record; see Legacy &amp; Assessments for named interpretations.</t>
        </is>
      </c>
      <c r="O35" s="6" t="inlineStr">
        <is>
          <t>Sources are strongest for formal events and stated positions; effects and motives require additional evidence.</t>
        </is>
      </c>
      <c r="P35" s="6" t="inlineStr">
        <is>
          <t>Analysis</t>
        </is>
      </c>
      <c r="Q35" s="6" t="inlineStr">
        <is>
          <t>S010; S011</t>
        </is>
      </c>
      <c r="R35" s="6" t="inlineStr">
        <is>
          <t>Contextual synthesis; comparison is a scope boundary, not a ranked performance score.</t>
        </is>
      </c>
      <c r="S35" s="6" t="inlineStr">
        <is>
          <t>Primary record</t>
        </is>
      </c>
      <c r="T35" s="6" t="n"/>
      <c r="U35" s="6" t="n"/>
    </row>
    <row r="36" ht="66" customHeight="1">
      <c r="A36" s="4" t="inlineStr">
        <is>
          <t>CT-P4-01</t>
        </is>
      </c>
      <c r="B36" s="4" t="inlineStr">
        <is>
          <t>P4 | Leader of Opposition (June 2024–September 2026)</t>
        </is>
      </c>
      <c r="C36" s="4" t="inlineStr">
        <is>
          <t>Party system</t>
        </is>
      </c>
      <c r="D36" s="4" t="inlineStr">
        <is>
          <t>Carnegie judged the 2024 result a constraint on BJP dominance rather than the end of BJP centrality. Formal opposition leadership therefore coexists with continuing BJP-led government.</t>
        </is>
      </c>
      <c r="E36" s="4" t="inlineStr">
        <is>
          <t>Supported</t>
        </is>
      </c>
      <c r="F36" s="5" t="inlineStr">
        <is>
          <t>All citations</t>
        </is>
      </c>
      <c r="G36" s="5" t="inlineStr">
        <is>
          <t>Claims</t>
        </is>
      </c>
      <c r="H36" s="4" t="inlineStr">
        <is>
          <t>Era</t>
        </is>
      </c>
      <c r="I36" s="4" t="inlineStr">
        <is>
          <t>Material finding</t>
        </is>
      </c>
      <c r="J36" s="4" t="inlineStr">
        <is>
          <t>Leaders of parliamentary opposition parties in the same Lok Sabha; state campaign leaders for Bihar comparisons.</t>
        </is>
      </c>
      <c r="K36" s="4" t="inlineStr">
        <is>
          <t>The 2024 recovery narrative coexists with 2025 organisational criticism and contested 2026 electoral allegations.</t>
        </is>
      </c>
      <c r="L36" s="4" t="inlineStr">
        <is>
          <t>The career is ongoing: neither a future court listing nor a policy announcement is a completed outcome.</t>
        </is>
      </c>
      <c r="M36" s="4" t="inlineStr">
        <is>
          <t>Institutional opposition, alliances and constituency organisation remain distinct routes; relative effectiveness is not causally estimated.</t>
        </is>
      </c>
      <c r="N36" s="4" t="inlineStr">
        <is>
          <t>Workbook synthesis bounded by the cited record; see Legacy &amp; Assessments for named interpretations.</t>
        </is>
      </c>
      <c r="O36" s="4" t="inlineStr">
        <is>
          <t>Sources are strongest for formal events and stated positions; effects and motives require additional evidence.</t>
        </is>
      </c>
      <c r="P36" s="4" t="inlineStr">
        <is>
          <t>Analysis</t>
        </is>
      </c>
      <c r="Q36" s="4" t="inlineStr">
        <is>
          <t>S024; S002</t>
        </is>
      </c>
      <c r="R36" s="4" t="inlineStr">
        <is>
          <t>Contextual synthesis; comparison is a scope boundary, not a ranked performance score.</t>
        </is>
      </c>
      <c r="S36" s="4" t="inlineStr">
        <is>
          <t>Primary record</t>
        </is>
      </c>
      <c r="T36" s="4" t="n"/>
      <c r="U36" s="4" t="n"/>
    </row>
    <row r="37" ht="66" customHeight="1">
      <c r="A37" s="6" t="inlineStr">
        <is>
          <t>CT-P4-02</t>
        </is>
      </c>
      <c r="B37" s="6" t="inlineStr">
        <is>
          <t>P4 | Leader of Opposition (June 2024–September 2026)</t>
        </is>
      </c>
      <c r="C37" s="6" t="inlineStr">
        <is>
          <t>Constitutional and institutional environment</t>
        </is>
      </c>
      <c r="D37" s="6" t="inlineStr">
        <is>
          <t>Lok Sabha records the formal LoP office from 9 June 2024. PRS gives attendance as N/A because the LoP does not sign the register; treating that field as zero would be wrong.</t>
        </is>
      </c>
      <c r="E37" s="6" t="inlineStr">
        <is>
          <t>Supported</t>
        </is>
      </c>
      <c r="F37" s="7" t="inlineStr">
        <is>
          <t>All citations</t>
        </is>
      </c>
      <c r="G37" s="7" t="inlineStr">
        <is>
          <t>Claims</t>
        </is>
      </c>
      <c r="H37" s="6" t="inlineStr">
        <is>
          <t>Era</t>
        </is>
      </c>
      <c r="I37" s="6" t="inlineStr">
        <is>
          <t>Material finding</t>
        </is>
      </c>
      <c r="J37" s="6" t="inlineStr">
        <is>
          <t>Leaders of parliamentary opposition parties in the same Lok Sabha; state campaign leaders for Bihar comparisons.</t>
        </is>
      </c>
      <c r="K37" s="6" t="inlineStr">
        <is>
          <t>The 2024 recovery narrative coexists with 2025 organisational criticism and contested 2026 electoral allegations.</t>
        </is>
      </c>
      <c r="L37" s="6" t="inlineStr">
        <is>
          <t>The career is ongoing: neither a future court listing nor a policy announcement is a completed outcome.</t>
        </is>
      </c>
      <c r="M37" s="6" t="inlineStr">
        <is>
          <t>Institutional opposition, alliances and constituency organisation remain distinct routes; relative effectiveness is not causally estimated.</t>
        </is>
      </c>
      <c r="N37" s="6" t="inlineStr">
        <is>
          <t>Workbook synthesis bounded by the cited record; see Legacy &amp; Assessments for named interpretations.</t>
        </is>
      </c>
      <c r="O37" s="6" t="inlineStr">
        <is>
          <t>Sources are strongest for formal events and stated positions; effects and motives require additional evidence.</t>
        </is>
      </c>
      <c r="P37" s="6" t="inlineStr">
        <is>
          <t>Analysis</t>
        </is>
      </c>
      <c r="Q37" s="6" t="inlineStr">
        <is>
          <t>S002; S003</t>
        </is>
      </c>
      <c r="R37" s="6" t="inlineStr">
        <is>
          <t>Contextual synthesis; comparison is a scope boundary, not a ranked performance score.</t>
        </is>
      </c>
      <c r="S37" s="6" t="inlineStr">
        <is>
          <t>Primary record</t>
        </is>
      </c>
      <c r="T37" s="6" t="n"/>
      <c r="U37" s="6" t="n"/>
    </row>
    <row r="38" ht="66" customHeight="1">
      <c r="A38" s="4" t="inlineStr">
        <is>
          <t>CT-P4-03</t>
        </is>
      </c>
      <c r="B38" s="4" t="inlineStr">
        <is>
          <t>P4 | Leader of Opposition (June 2024–September 2026)</t>
        </is>
      </c>
      <c r="C38" s="4" t="inlineStr">
        <is>
          <t>Electoral environment</t>
        </is>
      </c>
      <c r="D38" s="4" t="inlineStr">
        <is>
          <t>He won Rae Bareli and Wayanad in 2024 and retained Rae Bareli. Congress’s poor Bihar 2025 result concerns a later state campaign, not a personal parliamentary defeat.</t>
        </is>
      </c>
      <c r="E38" s="4" t="inlineStr">
        <is>
          <t>Supported</t>
        </is>
      </c>
      <c r="F38" s="5" t="inlineStr">
        <is>
          <t>All citations</t>
        </is>
      </c>
      <c r="G38" s="5" t="inlineStr">
        <is>
          <t>Claims</t>
        </is>
      </c>
      <c r="H38" s="4" t="inlineStr">
        <is>
          <t>Era</t>
        </is>
      </c>
      <c r="I38" s="4" t="inlineStr">
        <is>
          <t>Material finding</t>
        </is>
      </c>
      <c r="J38" s="4" t="inlineStr">
        <is>
          <t>Leaders of parliamentary opposition parties in the same Lok Sabha; state campaign leaders for Bihar comparisons.</t>
        </is>
      </c>
      <c r="K38" s="4" t="inlineStr">
        <is>
          <t>The 2024 recovery narrative coexists with 2025 organisational criticism and contested 2026 electoral allegations.</t>
        </is>
      </c>
      <c r="L38" s="4" t="inlineStr">
        <is>
          <t>The career is ongoing: neither a future court listing nor a policy announcement is a completed outcome.</t>
        </is>
      </c>
      <c r="M38" s="4" t="inlineStr">
        <is>
          <t>Institutional opposition, alliances and constituency organisation remain distinct routes; relative effectiveness is not causally estimated.</t>
        </is>
      </c>
      <c r="N38" s="4" t="inlineStr">
        <is>
          <t>Workbook synthesis bounded by the cited record; see Legacy &amp; Assessments for named interpretations.</t>
        </is>
      </c>
      <c r="O38" s="4" t="inlineStr">
        <is>
          <t>Sources are strongest for formal events and stated positions; effects and motives require additional evidence.</t>
        </is>
      </c>
      <c r="P38" s="4" t="inlineStr">
        <is>
          <t>Analysis</t>
        </is>
      </c>
      <c r="Q38" s="4" t="inlineStr">
        <is>
          <t>S006; S043; S026</t>
        </is>
      </c>
      <c r="R38" s="4" t="inlineStr">
        <is>
          <t>Contextual synthesis; comparison is a scope boundary, not a ranked performance score.</t>
        </is>
      </c>
      <c r="S38" s="4" t="inlineStr">
        <is>
          <t>Primary record</t>
        </is>
      </c>
      <c r="T38" s="4" t="n"/>
      <c r="U38" s="4" t="n"/>
    </row>
    <row r="39" ht="80" customHeight="1">
      <c r="A39" s="6" t="inlineStr">
        <is>
          <t>CT-P4-04</t>
        </is>
      </c>
      <c r="B39" s="6" t="inlineStr">
        <is>
          <t>P4 | Leader of Opposition (June 2024–September 2026)</t>
        </is>
      </c>
      <c r="C39" s="6" t="inlineStr">
        <is>
          <t>Economic regime</t>
        </is>
      </c>
      <c r="D39" s="6" t="inlineStr">
        <is>
          <t>The inspected current policy record is chiefly opposition advocacy and a party platform. Constituency output and national distribution effects require administrative and fiscal evidence beyond proposal documents.</t>
        </is>
      </c>
      <c r="E39" s="10" t="inlineStr">
        <is>
          <t>Not reviewed</t>
        </is>
      </c>
      <c r="F39" s="7" t="inlineStr">
        <is>
          <t>All citations</t>
        </is>
      </c>
      <c r="G39" s="7" t="inlineStr">
        <is>
          <t>Claims</t>
        </is>
      </c>
      <c r="H39" s="6" t="inlineStr">
        <is>
          <t>Era</t>
        </is>
      </c>
      <c r="I39" s="6" t="inlineStr">
        <is>
          <t>Research limitation</t>
        </is>
      </c>
      <c r="J39" s="6" t="inlineStr">
        <is>
          <t>Leaders of parliamentary opposition parties in the same Lok Sabha; state campaign leaders for Bihar comparisons.</t>
        </is>
      </c>
      <c r="K39" s="6" t="inlineStr">
        <is>
          <t>The 2024 recovery narrative coexists with 2025 organisational criticism and contested 2026 electoral allegations.</t>
        </is>
      </c>
      <c r="L39" s="6" t="inlineStr">
        <is>
          <t>The career is ongoing: neither a future court listing nor a policy announcement is a completed outcome.</t>
        </is>
      </c>
      <c r="M39" s="6" t="inlineStr">
        <is>
          <t>Institutional opposition, alliances and constituency organisation remain distinct routes; relative effectiveness is not causally estimated.</t>
        </is>
      </c>
      <c r="N39" s="6" t="inlineStr">
        <is>
          <t>Workbook synthesis bounded by the cited record; see Legacy &amp; Assessments for named interpretations.</t>
        </is>
      </c>
      <c r="O39" s="6" t="inlineStr">
        <is>
          <t>Sources are strongest for formal events and stated positions; effects and motives require additional evidence.</t>
        </is>
      </c>
      <c r="P39" s="6" t="inlineStr">
        <is>
          <t>Analysis</t>
        </is>
      </c>
      <c r="Q39" s="6" t="inlineStr">
        <is>
          <t>S003; S017; S018</t>
        </is>
      </c>
      <c r="R39" s="6" t="inlineStr">
        <is>
          <t>Research gap: related sources orient further work but do not prove absence.</t>
        </is>
      </c>
      <c r="S39" s="6" t="inlineStr">
        <is>
          <t>Unresolved</t>
        </is>
      </c>
      <c r="T39" s="6" t="n"/>
      <c r="U39" s="6" t="n"/>
    </row>
    <row r="40" ht="66" customHeight="1">
      <c r="A40" s="4" t="inlineStr">
        <is>
          <t>CT-P4-05</t>
        </is>
      </c>
      <c r="B40" s="4" t="inlineStr">
        <is>
          <t>P4 | Leader of Opposition (June 2024–September 2026)</t>
        </is>
      </c>
      <c r="C40" s="4" t="inlineStr">
        <is>
          <t>International system</t>
        </is>
      </c>
      <c r="D40" s="4" t="inlineStr">
        <is>
          <t>A comprehensive account of his international engagements as LoP remains incomplete. The pre-election security platform alone cannot establish his diplomatic record through September 2026.</t>
        </is>
      </c>
      <c r="E40" s="10" t="inlineStr">
        <is>
          <t>Not reviewed</t>
        </is>
      </c>
      <c r="F40" s="5" t="inlineStr">
        <is>
          <t>All citations</t>
        </is>
      </c>
      <c r="G40" s="5" t="inlineStr">
        <is>
          <t>Claims</t>
        </is>
      </c>
      <c r="H40" s="4" t="inlineStr">
        <is>
          <t>Era</t>
        </is>
      </c>
      <c r="I40" s="4" t="inlineStr">
        <is>
          <t>Research limitation</t>
        </is>
      </c>
      <c r="J40" s="4" t="inlineStr">
        <is>
          <t>Leaders of parliamentary opposition parties in the same Lok Sabha; state campaign leaders for Bihar comparisons.</t>
        </is>
      </c>
      <c r="K40" s="4" t="inlineStr">
        <is>
          <t>The 2024 recovery narrative coexists with 2025 organisational criticism and contested 2026 electoral allegations.</t>
        </is>
      </c>
      <c r="L40" s="4" t="inlineStr">
        <is>
          <t>The career is ongoing: neither a future court listing nor a policy announcement is a completed outcome.</t>
        </is>
      </c>
      <c r="M40" s="4" t="inlineStr">
        <is>
          <t>Institutional opposition, alliances and constituency organisation remain distinct routes; relative effectiveness is not causally estimated.</t>
        </is>
      </c>
      <c r="N40" s="4" t="inlineStr">
        <is>
          <t>Workbook synthesis bounded by the cited record; see Legacy &amp; Assessments for named interpretations.</t>
        </is>
      </c>
      <c r="O40" s="4" t="inlineStr">
        <is>
          <t>Sources are strongest for formal events and stated positions; effects and motives require additional evidence.</t>
        </is>
      </c>
      <c r="P40" s="4" t="inlineStr">
        <is>
          <t>Analysis</t>
        </is>
      </c>
      <c r="Q40" s="4" t="inlineStr">
        <is>
          <t>S020; S002</t>
        </is>
      </c>
      <c r="R40" s="4" t="inlineStr">
        <is>
          <t>Research gap: related sources orient further work but do not prove absence.</t>
        </is>
      </c>
      <c r="S40" s="4" t="inlineStr">
        <is>
          <t>Unresolved</t>
        </is>
      </c>
      <c r="T40" s="4" t="n"/>
      <c r="U40" s="4" t="n"/>
    </row>
    <row r="41" ht="66" customHeight="1">
      <c r="A41" s="6" t="inlineStr">
        <is>
          <t>CT-P4-06</t>
        </is>
      </c>
      <c r="B41" s="6" t="inlineStr">
        <is>
          <t>P4 | Leader of Opposition (June 2024–September 2026)</t>
        </is>
      </c>
      <c r="C41" s="6" t="inlineStr">
        <is>
          <t>Media and campaign environment</t>
        </is>
      </c>
      <c r="D41" s="6" t="inlineStr">
        <is>
          <t>Electoral-roll allegations became a press-conference and document-based campaign theme. Gandhi’s charges and ECI’s rebuttals are recorded separately; publicity does not adjudicate them.</t>
        </is>
      </c>
      <c r="E41" s="6" t="inlineStr">
        <is>
          <t>Supported</t>
        </is>
      </c>
      <c r="F41" s="7" t="inlineStr">
        <is>
          <t>All citations</t>
        </is>
      </c>
      <c r="G41" s="7" t="inlineStr">
        <is>
          <t>Claims</t>
        </is>
      </c>
      <c r="H41" s="6" t="inlineStr">
        <is>
          <t>Era</t>
        </is>
      </c>
      <c r="I41" s="6" t="inlineStr">
        <is>
          <t>Material finding</t>
        </is>
      </c>
      <c r="J41" s="6" t="inlineStr">
        <is>
          <t>Leaders of parliamentary opposition parties in the same Lok Sabha; state campaign leaders for Bihar comparisons.</t>
        </is>
      </c>
      <c r="K41" s="6" t="inlineStr">
        <is>
          <t>The 2024 recovery narrative coexists with 2025 organisational criticism and contested 2026 electoral allegations.</t>
        </is>
      </c>
      <c r="L41" s="6" t="inlineStr">
        <is>
          <t>The career is ongoing: neither a future court listing nor a policy announcement is a completed outcome.</t>
        </is>
      </c>
      <c r="M41" s="6" t="inlineStr">
        <is>
          <t>Institutional opposition, alliances and constituency organisation remain distinct routes; relative effectiveness is not causally estimated.</t>
        </is>
      </c>
      <c r="N41" s="6" t="inlineStr">
        <is>
          <t>Workbook synthesis bounded by the cited record; see Legacy &amp; Assessments for named interpretations.</t>
        </is>
      </c>
      <c r="O41" s="6" t="inlineStr">
        <is>
          <t>Sources are strongest for formal events and stated positions; effects and motives require additional evidence.</t>
        </is>
      </c>
      <c r="P41" s="6" t="inlineStr">
        <is>
          <t>Analysis</t>
        </is>
      </c>
      <c r="Q41" s="6" t="inlineStr">
        <is>
          <t>S031; S030</t>
        </is>
      </c>
      <c r="R41" s="6" t="inlineStr">
        <is>
          <t>Contextual synthesis; comparison is a scope boundary, not a ranked performance score.</t>
        </is>
      </c>
      <c r="S41" s="6" t="inlineStr">
        <is>
          <t>Multiple independent sources</t>
        </is>
      </c>
      <c r="T41" s="6" t="n"/>
      <c r="U41" s="6" t="n"/>
    </row>
    <row r="42" ht="80" customHeight="1">
      <c r="A42" s="4" t="inlineStr">
        <is>
          <t>CT-P4-07</t>
        </is>
      </c>
      <c r="B42" s="4" t="inlineStr">
        <is>
          <t>P4 | Leader of Opposition (June 2024–September 2026)</t>
        </is>
      </c>
      <c r="C42" s="4" t="inlineStr">
        <is>
          <t>Political organization</t>
        </is>
      </c>
      <c r="D42" s="4" t="inlineStr">
        <is>
          <t>The Bihar review renewed criticism of local organisation and campaign choices. Reports of losing candidates and an internal review establish disagreement, not a single proven explanation for defeat.</t>
        </is>
      </c>
      <c r="E42" s="4" t="inlineStr">
        <is>
          <t>Supported</t>
        </is>
      </c>
      <c r="F42" s="5" t="inlineStr">
        <is>
          <t>All citations</t>
        </is>
      </c>
      <c r="G42" s="5" t="inlineStr">
        <is>
          <t>Claims</t>
        </is>
      </c>
      <c r="H42" s="4" t="inlineStr">
        <is>
          <t>Era</t>
        </is>
      </c>
      <c r="I42" s="4" t="inlineStr">
        <is>
          <t>Material finding</t>
        </is>
      </c>
      <c r="J42" s="4" t="inlineStr">
        <is>
          <t>Leaders of parliamentary opposition parties in the same Lok Sabha; state campaign leaders for Bihar comparisons.</t>
        </is>
      </c>
      <c r="K42" s="4" t="inlineStr">
        <is>
          <t>The 2024 recovery narrative coexists with 2025 organisational criticism and contested 2026 electoral allegations.</t>
        </is>
      </c>
      <c r="L42" s="4" t="inlineStr">
        <is>
          <t>The career is ongoing: neither a future court listing nor a policy announcement is a completed outcome.</t>
        </is>
      </c>
      <c r="M42" s="4" t="inlineStr">
        <is>
          <t>Institutional opposition, alliances and constituency organisation remain distinct routes; relative effectiveness is not causally estimated.</t>
        </is>
      </c>
      <c r="N42" s="4" t="inlineStr">
        <is>
          <t>Workbook synthesis bounded by the cited record; see Legacy &amp; Assessments for named interpretations.</t>
        </is>
      </c>
      <c r="O42" s="4" t="inlineStr">
        <is>
          <t>Sources are strongest for formal events and stated positions; effects and motives require additional evidence.</t>
        </is>
      </c>
      <c r="P42" s="4" t="inlineStr">
        <is>
          <t>Analysis</t>
        </is>
      </c>
      <c r="Q42" s="4" t="inlineStr">
        <is>
          <t>S026; S027</t>
        </is>
      </c>
      <c r="R42" s="4" t="inlineStr">
        <is>
          <t>Contextual synthesis; comparison is a scope boundary, not a ranked performance score.</t>
        </is>
      </c>
      <c r="S42" s="4" t="inlineStr">
        <is>
          <t>Multiple independent sources</t>
        </is>
      </c>
      <c r="T42" s="4" t="n"/>
      <c r="U42" s="4" t="n"/>
    </row>
    <row r="43" ht="80" customHeight="1">
      <c r="A43" s="6" t="inlineStr">
        <is>
          <t>CT-P4-08</t>
        </is>
      </c>
      <c r="B43" s="6" t="inlineStr">
        <is>
          <t>P4 | Leader of Opposition (June 2024–September 2026)</t>
        </is>
      </c>
      <c r="C43" s="6" t="inlineStr">
        <is>
          <t>Social environment</t>
        </is>
      </c>
      <c r="D43" s="6" t="inlineStr">
        <is>
          <t>Caste enumeration and representation remained central advocacy issues. The government’s 2025 decision and rival credit claims demonstrate shared political contestation rather than exclusive authorship.</t>
        </is>
      </c>
      <c r="E43" s="6" t="inlineStr">
        <is>
          <t>Supported</t>
        </is>
      </c>
      <c r="F43" s="7" t="inlineStr">
        <is>
          <t>All citations</t>
        </is>
      </c>
      <c r="G43" s="7" t="inlineStr">
        <is>
          <t>Claims</t>
        </is>
      </c>
      <c r="H43" s="6" t="inlineStr">
        <is>
          <t>Era</t>
        </is>
      </c>
      <c r="I43" s="6" t="inlineStr">
        <is>
          <t>Material finding</t>
        </is>
      </c>
      <c r="J43" s="6" t="inlineStr">
        <is>
          <t>Leaders of parliamentary opposition parties in the same Lok Sabha; state campaign leaders for Bihar comparisons.</t>
        </is>
      </c>
      <c r="K43" s="6" t="inlineStr">
        <is>
          <t>The 2024 recovery narrative coexists with 2025 organisational criticism and contested 2026 electoral allegations.</t>
        </is>
      </c>
      <c r="L43" s="6" t="inlineStr">
        <is>
          <t>The career is ongoing: neither a future court listing nor a policy announcement is a completed outcome.</t>
        </is>
      </c>
      <c r="M43" s="6" t="inlineStr">
        <is>
          <t>Institutional opposition, alliances and constituency organisation remain distinct routes; relative effectiveness is not causally estimated.</t>
        </is>
      </c>
      <c r="N43" s="6" t="inlineStr">
        <is>
          <t>Workbook synthesis bounded by the cited record; see Legacy &amp; Assessments for named interpretations.</t>
        </is>
      </c>
      <c r="O43" s="6" t="inlineStr">
        <is>
          <t>Sources are strongest for formal events and stated positions; effects and motives require additional evidence.</t>
        </is>
      </c>
      <c r="P43" s="6" t="inlineStr">
        <is>
          <t>Analysis</t>
        </is>
      </c>
      <c r="Q43" s="6" t="inlineStr">
        <is>
          <t>S035; S036</t>
        </is>
      </c>
      <c r="R43" s="6" t="inlineStr">
        <is>
          <t>Contextual synthesis; comparison is a scope boundary, not a ranked performance score.</t>
        </is>
      </c>
      <c r="S43" s="6" t="inlineStr">
        <is>
          <t>Primary record</t>
        </is>
      </c>
      <c r="T43" s="6" t="n"/>
      <c r="U43" s="6" t="n"/>
    </row>
    <row r="44" ht="66" customHeight="1">
      <c r="A44" s="4" t="inlineStr">
        <is>
          <t>CT-P4-09</t>
        </is>
      </c>
      <c r="B44" s="4" t="inlineStr">
        <is>
          <t>P4 | Leader of Opposition (June 2024–September 2026)</t>
        </is>
      </c>
      <c r="C44" s="4" t="inlineStr">
        <is>
          <t>State structure and political geography</t>
        </is>
      </c>
      <c r="D44" s="4" t="inlineStr">
        <is>
          <t>Rae Bareli is his retained constituency. PRS nevertheless lists a Wayanad-landslide rehabilitation intervention, illustrating national opposition activity beyond the current seat.</t>
        </is>
      </c>
      <c r="E44" s="4" t="inlineStr">
        <is>
          <t>Supported</t>
        </is>
      </c>
      <c r="F44" s="5" t="inlineStr">
        <is>
          <t>All citations</t>
        </is>
      </c>
      <c r="G44" s="5" t="inlineStr">
        <is>
          <t>Claims</t>
        </is>
      </c>
      <c r="H44" s="4" t="inlineStr">
        <is>
          <t>Era</t>
        </is>
      </c>
      <c r="I44" s="4" t="inlineStr">
        <is>
          <t>Material finding</t>
        </is>
      </c>
      <c r="J44" s="4" t="inlineStr">
        <is>
          <t>Leaders of parliamentary opposition parties in the same Lok Sabha; state campaign leaders for Bihar comparisons.</t>
        </is>
      </c>
      <c r="K44" s="4" t="inlineStr">
        <is>
          <t>The 2024 recovery narrative coexists with 2025 organisational criticism and contested 2026 electoral allegations.</t>
        </is>
      </c>
      <c r="L44" s="4" t="inlineStr">
        <is>
          <t>The career is ongoing: neither a future court listing nor a policy announcement is a completed outcome.</t>
        </is>
      </c>
      <c r="M44" s="4" t="inlineStr">
        <is>
          <t>Institutional opposition, alliances and constituency organisation remain distinct routes; relative effectiveness is not causally estimated.</t>
        </is>
      </c>
      <c r="N44" s="4" t="inlineStr">
        <is>
          <t>Workbook synthesis bounded by the cited record; see Legacy &amp; Assessments for named interpretations.</t>
        </is>
      </c>
      <c r="O44" s="4" t="inlineStr">
        <is>
          <t>Sources are strongest for formal events and stated positions; effects and motives require additional evidence.</t>
        </is>
      </c>
      <c r="P44" s="4" t="inlineStr">
        <is>
          <t>Analysis</t>
        </is>
      </c>
      <c r="Q44" s="4" t="inlineStr">
        <is>
          <t>S003; S043</t>
        </is>
      </c>
      <c r="R44" s="4" t="inlineStr">
        <is>
          <t>Contextual synthesis; comparison is a scope boundary, not a ranked performance score.</t>
        </is>
      </c>
      <c r="S44" s="4" t="inlineStr">
        <is>
          <t>Multiple independent sources</t>
        </is>
      </c>
      <c r="T44" s="4" t="n"/>
      <c r="U44" s="4" t="n"/>
    </row>
    <row r="45" ht="66" customHeight="1">
      <c r="A45" s="6" t="inlineStr">
        <is>
          <t>CT-P4-10</t>
        </is>
      </c>
      <c r="B45" s="6" t="inlineStr">
        <is>
          <t>P4 | Leader of Opposition (June 2024–September 2026)</t>
        </is>
      </c>
      <c r="C45" s="6" t="inlineStr">
        <is>
          <t>Evidence environment</t>
        </is>
      </c>
      <c r="D45" s="6" t="inlineStr">
        <is>
          <t>Current reporting reaches September 2026, while PRS activity stops at 13 August. Legal-news reports update procedure but do not substitute for uninspected orders or future hearings.</t>
        </is>
      </c>
      <c r="E45" s="6" t="inlineStr">
        <is>
          <t>Supported</t>
        </is>
      </c>
      <c r="F45" s="7" t="inlineStr">
        <is>
          <t>All citations</t>
        </is>
      </c>
      <c r="G45" s="7" t="inlineStr">
        <is>
          <t>Claims</t>
        </is>
      </c>
      <c r="H45" s="6" t="inlineStr">
        <is>
          <t>Era</t>
        </is>
      </c>
      <c r="I45" s="6" t="inlineStr">
        <is>
          <t>Material finding</t>
        </is>
      </c>
      <c r="J45" s="6" t="inlineStr">
        <is>
          <t>Leaders of parliamentary opposition parties in the same Lok Sabha; state campaign leaders for Bihar comparisons.</t>
        </is>
      </c>
      <c r="K45" s="6" t="inlineStr">
        <is>
          <t>The 2024 recovery narrative coexists with 2025 organisational criticism and contested 2026 electoral allegations.</t>
        </is>
      </c>
      <c r="L45" s="6" t="inlineStr">
        <is>
          <t>The career is ongoing: neither a future court listing nor a policy announcement is a completed outcome.</t>
        </is>
      </c>
      <c r="M45" s="6" t="inlineStr">
        <is>
          <t>Institutional opposition, alliances and constituency organisation remain distinct routes; relative effectiveness is not causally estimated.</t>
        </is>
      </c>
      <c r="N45" s="6" t="inlineStr">
        <is>
          <t>Workbook synthesis bounded by the cited record; see Legacy &amp; Assessments for named interpretations.</t>
        </is>
      </c>
      <c r="O45" s="6" t="inlineStr">
        <is>
          <t>Sources are strongest for formal events and stated positions; effects and motives require additional evidence.</t>
        </is>
      </c>
      <c r="P45" s="6" t="inlineStr">
        <is>
          <t>Analysis</t>
        </is>
      </c>
      <c r="Q45" s="6" t="inlineStr">
        <is>
          <t>S003; S012; S013</t>
        </is>
      </c>
      <c r="R45" s="6" t="inlineStr">
        <is>
          <t>Contextual synthesis; comparison is a scope boundary, not a ranked performance score.</t>
        </is>
      </c>
      <c r="S45" s="6" t="inlineStr">
        <is>
          <t>Multiple independent sources</t>
        </is>
      </c>
      <c r="T45" s="6" t="n"/>
      <c r="U45" s="6" t="n"/>
    </row>
    <row r="46" ht="66" customHeight="1">
      <c r="A46" s="4" t="inlineStr">
        <is>
          <t>CT-G-01</t>
        </is>
      </c>
      <c r="B46" s="4" t="inlineStr">
        <is>
          <t>Across phases; event periods specified in finding</t>
        </is>
      </c>
      <c r="C46" s="4" t="inlineStr">
        <is>
          <t>Entry and advancement</t>
        </is>
      </c>
      <c r="D46" s="4" t="inlineStr">
        <is>
          <t>Dynastic access is documented, but the inspected record does not isolate a male advantage from family prominence or party succession. Treat the gender-specific mechanism as unresolved.</t>
        </is>
      </c>
      <c r="E46" s="10" t="inlineStr">
        <is>
          <t>Not reviewed</t>
        </is>
      </c>
      <c r="F46" s="5" t="inlineStr">
        <is>
          <t>All citations</t>
        </is>
      </c>
      <c r="G46" s="5" t="inlineStr">
        <is>
          <t>Claims</t>
        </is>
      </c>
      <c r="H46" s="4" t="inlineStr">
        <is>
          <t>Gender</t>
        </is>
      </c>
      <c r="I46" s="4" t="inlineStr">
        <is>
          <t>Research limitation</t>
        </is>
      </c>
      <c r="J46" s="4" t="inlineStr">
        <is>
          <t>Politicians in comparable Congress or national opposition roles and the same period; no aggregate causal comparison conducted.</t>
        </is>
      </c>
      <c r="K46" s="4" t="inlineStr">
        <is>
          <t>Named contemporary commentary or documented action, as cited; gaps remain explicit.</t>
        </is>
      </c>
      <c r="L46" s="4" t="inlineStr">
        <is>
          <t>Do not project present media frames onto 2004, or equate male office-holding with proof of a gender mechanism.</t>
        </is>
      </c>
      <c r="M46" s="4" t="n"/>
      <c r="N46" s="4" t="inlineStr">
        <is>
          <t>Limited by the lack of a systematic longitudinal gender study in inspected sources.</t>
        </is>
      </c>
      <c r="O46" s="4" t="n"/>
      <c r="P46" s="4" t="inlineStr">
        <is>
          <t>Analysis</t>
        </is>
      </c>
      <c r="Q46" s="4" t="inlineStr">
        <is>
          <t>S004; S005; S023</t>
        </is>
      </c>
      <c r="R46" s="4" t="inlineStr">
        <is>
          <t>Related sources are candidate evidence, not proof of absence.</t>
        </is>
      </c>
      <c r="S46" s="4" t="inlineStr">
        <is>
          <t>Unresolved</t>
        </is>
      </c>
      <c r="T46" s="4" t="inlineStr">
        <is>
          <t>Family, class and party access are materially relevant; a male-specific causal estimate is unavailable.</t>
        </is>
      </c>
      <c r="U46" s="4" t="inlineStr">
        <is>
          <t>Family/party access is evidenced; no caste, religion or gender motive is inferred from a surname.</t>
        </is>
      </c>
    </row>
    <row r="47" ht="66" customHeight="1">
      <c r="A47" s="6" t="inlineStr">
        <is>
          <t>CT-G-02</t>
        </is>
      </c>
      <c r="B47" s="6" t="inlineStr">
        <is>
          <t>Across phases; event periods specified in finding</t>
        </is>
      </c>
      <c r="C47" s="6" t="inlineStr">
        <is>
          <t>Milestones</t>
        </is>
      </c>
      <c r="D47" s="6" t="inlineStr">
        <is>
          <t>No gender-related political first was established in the inspected record. Ordinary male occupancy of these offices does not itself establish a representative milestone.</t>
        </is>
      </c>
      <c r="E47" s="10" t="inlineStr">
        <is>
          <t>Not reviewed</t>
        </is>
      </c>
      <c r="F47" s="7" t="inlineStr">
        <is>
          <t>All citations</t>
        </is>
      </c>
      <c r="G47" s="7" t="inlineStr">
        <is>
          <t>Claims</t>
        </is>
      </c>
      <c r="H47" s="6" t="inlineStr">
        <is>
          <t>Gender</t>
        </is>
      </c>
      <c r="I47" s="6" t="inlineStr">
        <is>
          <t>Evidence not found</t>
        </is>
      </c>
      <c r="J47" s="6" t="inlineStr">
        <is>
          <t>Politicians in comparable Congress or national opposition roles and the same period; no aggregate causal comparison conducted.</t>
        </is>
      </c>
      <c r="K47" s="6" t="inlineStr">
        <is>
          <t>Named contemporary commentary or documented action, as cited; gaps remain explicit.</t>
        </is>
      </c>
      <c r="L47" s="6" t="inlineStr">
        <is>
          <t>Do not project present media frames onto 2004, or equate male office-holding with proof of a gender mechanism.</t>
        </is>
      </c>
      <c r="M47" s="6" t="n"/>
      <c r="N47" s="6" t="inlineStr">
        <is>
          <t>Limited by the lack of a systematic longitudinal gender study in inspected sources.</t>
        </is>
      </c>
      <c r="O47" s="6" t="n"/>
      <c r="P47" s="6" t="inlineStr">
        <is>
          <t>Analysis</t>
        </is>
      </c>
      <c r="Q47" s="6" t="inlineStr">
        <is>
          <t>S002; S004</t>
        </is>
      </c>
      <c r="R47" s="6" t="inlineStr">
        <is>
          <t>Related sources are candidate evidence, not proof of absence.</t>
        </is>
      </c>
      <c r="S47" s="6" t="inlineStr">
        <is>
          <t>Unresolved</t>
        </is>
      </c>
      <c r="T47" s="6" t="inlineStr">
        <is>
          <t>Absence of a documented milestone in this research is not proof that no gender-relevant milestone exists.</t>
        </is>
      </c>
      <c r="U47" s="6" t="inlineStr">
        <is>
          <t>Family/party access is evidenced; no caste, religion or gender motive is inferred from a surname.</t>
        </is>
      </c>
    </row>
    <row r="48" ht="66" customHeight="1">
      <c r="A48" s="4" t="inlineStr">
        <is>
          <t>CT-G-03</t>
        </is>
      </c>
      <c r="B48" s="4" t="inlineStr">
        <is>
          <t>Across phases; event periods specified in finding</t>
        </is>
      </c>
      <c r="C48" s="4" t="inlineStr">
        <is>
          <t>Networks and pathways</t>
        </is>
      </c>
      <c r="D48" s="4" t="inlineStr">
        <is>
          <t>Family succession shaped access to Congress and Amethi. Sonia Gandhi’s leadership and Rahul’s later succession are documented; claims that gender determined the succession need further evidence.</t>
        </is>
      </c>
      <c r="E48" s="4" t="inlineStr">
        <is>
          <t>Supported</t>
        </is>
      </c>
      <c r="F48" s="5" t="inlineStr">
        <is>
          <t>All citations</t>
        </is>
      </c>
      <c r="G48" s="5" t="inlineStr">
        <is>
          <t>Claims</t>
        </is>
      </c>
      <c r="H48" s="4" t="inlineStr">
        <is>
          <t>Gender</t>
        </is>
      </c>
      <c r="I48" s="4" t="inlineStr">
        <is>
          <t>Material finding</t>
        </is>
      </c>
      <c r="J48" s="4" t="inlineStr">
        <is>
          <t>Politicians in comparable Congress or national opposition roles and the same period; no aggregate causal comparison conducted.</t>
        </is>
      </c>
      <c r="K48" s="4" t="inlineStr">
        <is>
          <t>Named contemporary commentary or documented action, as cited; gaps remain explicit.</t>
        </is>
      </c>
      <c r="L48" s="4" t="inlineStr">
        <is>
          <t>Do not project present media frames onto 2004, or equate male office-holding with proof of a gender mechanism.</t>
        </is>
      </c>
      <c r="M48" s="4" t="n"/>
      <c r="N48" s="4" t="inlineStr">
        <is>
          <t>Limited by the lack of a systematic longitudinal gender study in inspected sources.</t>
        </is>
      </c>
      <c r="O48" s="4" t="n"/>
      <c r="P48" s="4" t="inlineStr">
        <is>
          <t>Analysis</t>
        </is>
      </c>
      <c r="Q48" s="4" t="inlineStr">
        <is>
          <t>S004; S005</t>
        </is>
      </c>
      <c r="R48" s="4" t="inlineStr">
        <is>
          <t>Support is for the stated bounded finding; no general gender effect is claimed.</t>
        </is>
      </c>
      <c r="S48" s="4" t="inlineStr">
        <is>
          <t>Multiple independent sources</t>
        </is>
      </c>
      <c r="T48" s="4" t="inlineStr">
        <is>
          <t>Dynastic network is established; gender allocation within that network is not isolated.</t>
        </is>
      </c>
      <c r="U48" s="4" t="inlineStr">
        <is>
          <t>Family/party access is evidenced; no caste, religion or gender motive is inferred from a surname.</t>
        </is>
      </c>
    </row>
    <row r="49" ht="66" customHeight="1">
      <c r="A49" s="6" t="inlineStr">
        <is>
          <t>CT-G-04</t>
        </is>
      </c>
      <c r="B49" s="6" t="inlineStr">
        <is>
          <t>Across phases; event periods specified in finding</t>
        </is>
      </c>
      <c r="C49" s="6" t="inlineStr">
        <is>
          <t>Role and portfolio allocation</t>
        </is>
      </c>
      <c r="D49" s="6" t="inlineStr">
        <is>
          <t>Youth and student organisation assignments are documented. No inspected appointment record demonstrates that gender expectations determined these allocations or excluded him from a portfolio.</t>
        </is>
      </c>
      <c r="E49" s="10" t="inlineStr">
        <is>
          <t>Not reviewed</t>
        </is>
      </c>
      <c r="F49" s="7" t="inlineStr">
        <is>
          <t>All citations</t>
        </is>
      </c>
      <c r="G49" s="7" t="inlineStr">
        <is>
          <t>Claims</t>
        </is>
      </c>
      <c r="H49" s="6" t="inlineStr">
        <is>
          <t>Gender</t>
        </is>
      </c>
      <c r="I49" s="6" t="inlineStr">
        <is>
          <t>Evidence not found</t>
        </is>
      </c>
      <c r="J49" s="6" t="inlineStr">
        <is>
          <t>Politicians in comparable Congress or national opposition roles and the same period; no aggregate causal comparison conducted.</t>
        </is>
      </c>
      <c r="K49" s="6" t="inlineStr">
        <is>
          <t>Named contemporary commentary or documented action, as cited; gaps remain explicit.</t>
        </is>
      </c>
      <c r="L49" s="6" t="inlineStr">
        <is>
          <t>Do not project present media frames onto 2004, or equate male office-holding with proof of a gender mechanism.</t>
        </is>
      </c>
      <c r="M49" s="6" t="n"/>
      <c r="N49" s="6" t="inlineStr">
        <is>
          <t>Limited by the lack of a systematic longitudinal gender study in inspected sources.</t>
        </is>
      </c>
      <c r="O49" s="6" t="n"/>
      <c r="P49" s="6" t="inlineStr">
        <is>
          <t>Analysis</t>
        </is>
      </c>
      <c r="Q49" s="6" t="inlineStr">
        <is>
          <t>S004</t>
        </is>
      </c>
      <c r="R49" s="6" t="inlineStr">
        <is>
          <t>Related sources are candidate evidence, not proof of absence.</t>
        </is>
      </c>
      <c r="S49" s="6" t="inlineStr">
        <is>
          <t>Unresolved</t>
        </is>
      </c>
      <c r="T49" s="6" t="inlineStr">
        <is>
          <t>Party assignment and ministerial allocation are different; the causal gender question remains open.</t>
        </is>
      </c>
      <c r="U49" s="6" t="inlineStr">
        <is>
          <t>Family/party access is evidenced; no caste, religion or gender motive is inferred from a surname.</t>
        </is>
      </c>
    </row>
    <row r="50" ht="66" customHeight="1">
      <c r="A50" s="4" t="inlineStr">
        <is>
          <t>CT-G-05</t>
        </is>
      </c>
      <c r="B50" s="4" t="inlineStr">
        <is>
          <t>Across phases; event periods specified in finding</t>
        </is>
      </c>
      <c r="C50" s="4" t="inlineStr">
        <is>
          <t>Campaign and media treatment</t>
        </is>
      </c>
      <c r="D50" s="4" t="inlineStr">
        <is>
          <t>Revati Laul read T-shirt and endurance coverage during Bharat Jodo as masculine political framing. This is a named contemporary interpretation, not a representative media-content study.</t>
        </is>
      </c>
      <c r="E50" s="4" t="inlineStr">
        <is>
          <t>Supported</t>
        </is>
      </c>
      <c r="F50" s="5" t="inlineStr">
        <is>
          <t>All citations</t>
        </is>
      </c>
      <c r="G50" s="5" t="inlineStr">
        <is>
          <t>Claims</t>
        </is>
      </c>
      <c r="H50" s="4" t="inlineStr">
        <is>
          <t>Gender</t>
        </is>
      </c>
      <c r="I50" s="4" t="inlineStr">
        <is>
          <t>Material finding</t>
        </is>
      </c>
      <c r="J50" s="4" t="inlineStr">
        <is>
          <t>Politicians in comparable Congress or national opposition roles and the same period; no aggregate causal comparison conducted.</t>
        </is>
      </c>
      <c r="K50" s="4" t="inlineStr">
        <is>
          <t>Named contemporary commentary or documented action, as cited; gaps remain explicit.</t>
        </is>
      </c>
      <c r="L50" s="4" t="inlineStr">
        <is>
          <t>Do not project present media frames onto 2004, or equate male office-holding with proof of a gender mechanism.</t>
        </is>
      </c>
      <c r="M50" s="4" t="n"/>
      <c r="N50" s="4" t="inlineStr">
        <is>
          <t>Limited by the lack of a systematic longitudinal gender study in inspected sources.</t>
        </is>
      </c>
      <c r="O50" s="4" t="n"/>
      <c r="P50" s="4" t="inlineStr">
        <is>
          <t>Analysis</t>
        </is>
      </c>
      <c r="Q50" s="4" t="inlineStr">
        <is>
          <t>S025</t>
        </is>
      </c>
      <c r="R50" s="4" t="inlineStr">
        <is>
          <t>Support is for the stated bounded finding; no general gender effect is claimed.</t>
        </is>
      </c>
      <c r="S50" s="4" t="inlineStr">
        <is>
          <t>Single credible source</t>
        </is>
      </c>
      <c r="T50" s="4" t="inlineStr">
        <is>
          <t>Relevant comparator is other prominent male national campaigners in the same media period.</t>
        </is>
      </c>
      <c r="U50" s="4" t="inlineStr">
        <is>
          <t>Family/party access is evidenced; no caste, religion or gender motive is inferred from a surname.</t>
        </is>
      </c>
    </row>
    <row r="51" ht="80" customHeight="1">
      <c r="A51" s="6" t="inlineStr">
        <is>
          <t>CT-G-06</t>
        </is>
      </c>
      <c r="B51" s="6" t="inlineStr">
        <is>
          <t>Across phases; event periods specified in finding</t>
        </is>
      </c>
      <c r="C51" s="6" t="inlineStr">
        <is>
          <t>Threats and security</t>
        </is>
      </c>
      <c r="D51" s="6" t="inlineStr">
        <is>
          <t>Security following the assassinations of his grandmother and father affected schooling and overseas study. The inspected biography links constraints to family violence, not a demonstrated gender mechanism.</t>
        </is>
      </c>
      <c r="E51" s="6" t="inlineStr">
        <is>
          <t>Supported</t>
        </is>
      </c>
      <c r="F51" s="7" t="inlineStr">
        <is>
          <t>All citations</t>
        </is>
      </c>
      <c r="G51" s="7" t="inlineStr">
        <is>
          <t>Claims</t>
        </is>
      </c>
      <c r="H51" s="6" t="inlineStr">
        <is>
          <t>Gender</t>
        </is>
      </c>
      <c r="I51" s="6" t="inlineStr">
        <is>
          <t>Material finding</t>
        </is>
      </c>
      <c r="J51" s="6" t="inlineStr">
        <is>
          <t>Politicians in comparable Congress or national opposition roles and the same period; no aggregate causal comparison conducted.</t>
        </is>
      </c>
      <c r="K51" s="6" t="inlineStr">
        <is>
          <t>Named contemporary commentary or documented action, as cited; gaps remain explicit.</t>
        </is>
      </c>
      <c r="L51" s="6" t="inlineStr">
        <is>
          <t>Do not project present media frames onto 2004, or equate male office-holding with proof of a gender mechanism.</t>
        </is>
      </c>
      <c r="M51" s="6" t="n"/>
      <c r="N51" s="6" t="inlineStr">
        <is>
          <t>Limited by the lack of a systematic longitudinal gender study in inspected sources.</t>
        </is>
      </c>
      <c r="O51" s="6" t="n"/>
      <c r="P51" s="6" t="inlineStr">
        <is>
          <t>Analysis</t>
        </is>
      </c>
      <c r="Q51" s="6" t="inlineStr">
        <is>
          <t>S005</t>
        </is>
      </c>
      <c r="R51" s="6" t="inlineStr">
        <is>
          <t>Support is for the stated bounded finding; no general gender effect is claimed.</t>
        </is>
      </c>
      <c r="S51" s="6" t="inlineStr">
        <is>
          <t>Single credible source</t>
        </is>
      </c>
      <c r="T51" s="6" t="inlineStr">
        <is>
          <t>Security affected mobility; a specifically gendered explanation is not established.</t>
        </is>
      </c>
      <c r="U51" s="6" t="inlineStr">
        <is>
          <t>Family/party access is evidenced; no caste, religion or gender motive is inferred from a surname.</t>
        </is>
      </c>
    </row>
    <row r="52" ht="66" customHeight="1">
      <c r="A52" s="4" t="inlineStr">
        <is>
          <t>CT-G-07</t>
        </is>
      </c>
      <c r="B52" s="4" t="inlineStr">
        <is>
          <t>Across phases; event periods specified in finding</t>
        </is>
      </c>
      <c r="C52" s="4" t="inlineStr">
        <is>
          <t>Gender-related policy and organizations</t>
        </is>
      </c>
      <c r="D52" s="4" t="inlineStr">
        <is>
          <t>He supported the women’s reservation bill in 2023 while seeking OBC inclusion and faster implementation. The 2024 party platform proposed transfers to women and expanded representation.</t>
        </is>
      </c>
      <c r="E52" s="4" t="inlineStr">
        <is>
          <t>Supported</t>
        </is>
      </c>
      <c r="F52" s="5" t="inlineStr">
        <is>
          <t>All citations</t>
        </is>
      </c>
      <c r="G52" s="5" t="inlineStr">
        <is>
          <t>Claims</t>
        </is>
      </c>
      <c r="H52" s="4" t="inlineStr">
        <is>
          <t>Gender</t>
        </is>
      </c>
      <c r="I52" s="4" t="inlineStr">
        <is>
          <t>Material finding</t>
        </is>
      </c>
      <c r="J52" s="4" t="inlineStr">
        <is>
          <t>Politicians in comparable Congress or national opposition roles and the same period; no aggregate causal comparison conducted.</t>
        </is>
      </c>
      <c r="K52" s="4" t="inlineStr">
        <is>
          <t>Named contemporary commentary or documented action, as cited; gaps remain explicit.</t>
        </is>
      </c>
      <c r="L52" s="4" t="inlineStr">
        <is>
          <t>Do not project present media frames onto 2004, or equate male office-holding with proof of a gender mechanism.</t>
        </is>
      </c>
      <c r="M52" s="4" t="n"/>
      <c r="N52" s="4" t="inlineStr">
        <is>
          <t>Limited by the lack of a systematic longitudinal gender study in inspected sources.</t>
        </is>
      </c>
      <c r="O52" s="4" t="n"/>
      <c r="P52" s="4" t="inlineStr">
        <is>
          <t>Analysis</t>
        </is>
      </c>
      <c r="Q52" s="4" t="inlineStr">
        <is>
          <t>S033; S017</t>
        </is>
      </c>
      <c r="R52" s="4" t="inlineStr">
        <is>
          <t>Support is for the stated bounded finding; no general gender effect is claimed.</t>
        </is>
      </c>
      <c r="S52" s="4" t="inlineStr">
        <is>
          <t>Multiple independent sources</t>
        </is>
      </c>
      <c r="T52" s="4" t="inlineStr">
        <is>
          <t>Separate personal parliamentary advocacy from collective party promises and later implementation.</t>
        </is>
      </c>
      <c r="U52" s="4" t="inlineStr">
        <is>
          <t>Family/party access is evidenced; no caste, religion or gender motive is inferred from a surname.</t>
        </is>
      </c>
    </row>
    <row r="53" ht="66" customHeight="1">
      <c r="A53" s="6" t="inlineStr">
        <is>
          <t>CT-G-08</t>
        </is>
      </c>
      <c r="B53" s="6" t="inlineStr">
        <is>
          <t>Across phases; event periods specified in finding</t>
        </is>
      </c>
      <c r="C53" s="6" t="inlineStr">
        <is>
          <t>Political use of identity</t>
        </is>
      </c>
      <c r="D53" s="6" t="inlineStr">
        <is>
          <t>Contemporary commentary interpreted bodily endurance and dress as political masculinity. His deliberate intention to mobilise a male identity is not established by that commentary.</t>
        </is>
      </c>
      <c r="E53" s="6" t="inlineStr">
        <is>
          <t>Supported</t>
        </is>
      </c>
      <c r="F53" s="7" t="inlineStr">
        <is>
          <t>All citations</t>
        </is>
      </c>
      <c r="G53" s="7" t="inlineStr">
        <is>
          <t>Claims</t>
        </is>
      </c>
      <c r="H53" s="6" t="inlineStr">
        <is>
          <t>Gender</t>
        </is>
      </c>
      <c r="I53" s="6" t="inlineStr">
        <is>
          <t>Material finding</t>
        </is>
      </c>
      <c r="J53" s="6" t="inlineStr">
        <is>
          <t>Politicians in comparable Congress or national opposition roles and the same period; no aggregate causal comparison conducted.</t>
        </is>
      </c>
      <c r="K53" s="6" t="inlineStr">
        <is>
          <t>Named contemporary commentary or documented action, as cited; gaps remain explicit.</t>
        </is>
      </c>
      <c r="L53" s="6" t="inlineStr">
        <is>
          <t>Do not project present media frames onto 2004, or equate male office-holding with proof of a gender mechanism.</t>
        </is>
      </c>
      <c r="M53" s="6" t="n"/>
      <c r="N53" s="6" t="inlineStr">
        <is>
          <t>Limited by the lack of a systematic longitudinal gender study in inspected sources.</t>
        </is>
      </c>
      <c r="O53" s="6" t="n"/>
      <c r="P53" s="6" t="inlineStr">
        <is>
          <t>Analysis</t>
        </is>
      </c>
      <c r="Q53" s="6" t="inlineStr">
        <is>
          <t>S025</t>
        </is>
      </c>
      <c r="R53" s="6" t="inlineStr">
        <is>
          <t>Support is for the stated bounded finding; no general gender effect is claimed.</t>
        </is>
      </c>
      <c r="S53" s="6" t="inlineStr">
        <is>
          <t>Single credible source</t>
        </is>
      </c>
      <c r="T53" s="6" t="inlineStr">
        <is>
          <t>Observed framing must not be converted into an unrecorded personal motive.</t>
        </is>
      </c>
      <c r="U53" s="6" t="inlineStr">
        <is>
          <t>Family/party access is evidenced; no caste, religion or gender motive is inferred from a surname.</t>
        </is>
      </c>
    </row>
    <row r="54" ht="80" customHeight="1">
      <c r="A54" s="4" t="inlineStr">
        <is>
          <t>CT-G-09</t>
        </is>
      </c>
      <c r="B54" s="4" t="inlineStr">
        <is>
          <t>Across phases; event periods specified in finding</t>
        </is>
      </c>
      <c r="C54" s="4" t="inlineStr">
        <is>
          <t>Representation and effects</t>
        </is>
      </c>
      <c r="D54" s="4" t="inlineStr">
        <is>
          <t>Symbolic representation and substantive effects remain distinct. His legislative support and the party’s women-focused proposals are evidenced; their independent effects on women’s material position are not measured here.</t>
        </is>
      </c>
      <c r="E54" s="4" t="inlineStr">
        <is>
          <t>Supported</t>
        </is>
      </c>
      <c r="F54" s="5" t="inlineStr">
        <is>
          <t>All citations</t>
        </is>
      </c>
      <c r="G54" s="5" t="inlineStr">
        <is>
          <t>Claims</t>
        </is>
      </c>
      <c r="H54" s="4" t="inlineStr">
        <is>
          <t>Gender</t>
        </is>
      </c>
      <c r="I54" s="4" t="inlineStr">
        <is>
          <t>Material finding</t>
        </is>
      </c>
      <c r="J54" s="4" t="inlineStr">
        <is>
          <t>Politicians in comparable Congress or national opposition roles and the same period; no aggregate causal comparison conducted.</t>
        </is>
      </c>
      <c r="K54" s="4" t="inlineStr">
        <is>
          <t>Named contemporary commentary or documented action, as cited; gaps remain explicit.</t>
        </is>
      </c>
      <c r="L54" s="4" t="inlineStr">
        <is>
          <t>Do not project present media frames onto 2004, or equate male office-holding with proof of a gender mechanism.</t>
        </is>
      </c>
      <c r="M54" s="4" t="n"/>
      <c r="N54" s="4" t="inlineStr">
        <is>
          <t>Limited by the lack of a systematic longitudinal gender study in inspected sources.</t>
        </is>
      </c>
      <c r="O54" s="4" t="n"/>
      <c r="P54" s="4" t="inlineStr">
        <is>
          <t>Analysis</t>
        </is>
      </c>
      <c r="Q54" s="4" t="inlineStr">
        <is>
          <t>S033; S017</t>
        </is>
      </c>
      <c r="R54" s="4" t="inlineStr">
        <is>
          <t>Support is for the stated bounded finding; no general gender effect is claimed.</t>
        </is>
      </c>
      <c r="S54" s="4" t="inlineStr">
        <is>
          <t>Multiple independent sources</t>
        </is>
      </c>
      <c r="T54" s="4" t="inlineStr">
        <is>
          <t>Proposal, adoption, implementation and effect require separate evidence.</t>
        </is>
      </c>
      <c r="U54" s="4" t="inlineStr">
        <is>
          <t>Family/party access is evidenced; no caste, religion or gender motive is inferred from a surname.</t>
        </is>
      </c>
    </row>
    <row r="55" ht="66" customHeight="1">
      <c r="A55" s="6" t="inlineStr">
        <is>
          <t>CT-G-10</t>
        </is>
      </c>
      <c r="B55" s="6" t="inlineStr">
        <is>
          <t>Across phases; event periods specified in finding</t>
        </is>
      </c>
      <c r="C55" s="6" t="inlineStr">
        <is>
          <t>Assessment over time</t>
        </is>
      </c>
      <c r="D55" s="6" t="inlineStr">
        <is>
          <t>The available gender assessment is primarily contemporary journalism and issue-specific policy evidence. A longitudinal scholarly comparison of gendered treatment and reception remains incomplete.</t>
        </is>
      </c>
      <c r="E55" s="10" t="inlineStr">
        <is>
          <t>Not reviewed</t>
        </is>
      </c>
      <c r="F55" s="7" t="inlineStr">
        <is>
          <t>All citations</t>
        </is>
      </c>
      <c r="G55" s="7" t="inlineStr">
        <is>
          <t>Claims</t>
        </is>
      </c>
      <c r="H55" s="6" t="inlineStr">
        <is>
          <t>Gender</t>
        </is>
      </c>
      <c r="I55" s="6" t="inlineStr">
        <is>
          <t>Research limitation</t>
        </is>
      </c>
      <c r="J55" s="6" t="inlineStr">
        <is>
          <t>Politicians in comparable Congress or national opposition roles and the same period; no aggregate causal comparison conducted.</t>
        </is>
      </c>
      <c r="K55" s="6" t="inlineStr">
        <is>
          <t>Named contemporary commentary or documented action, as cited; gaps remain explicit.</t>
        </is>
      </c>
      <c r="L55" s="6" t="inlineStr">
        <is>
          <t>Do not project present media frames onto 2004, or equate male office-holding with proof of a gender mechanism.</t>
        </is>
      </c>
      <c r="M55" s="6" t="n"/>
      <c r="N55" s="6" t="inlineStr">
        <is>
          <t>Limited by the lack of a systematic longitudinal gender study in inspected sources.</t>
        </is>
      </c>
      <c r="O55" s="6" t="n"/>
      <c r="P55" s="6" t="inlineStr">
        <is>
          <t>Analysis</t>
        </is>
      </c>
      <c r="Q55" s="6" t="inlineStr">
        <is>
          <t>S025; S033; S017</t>
        </is>
      </c>
      <c r="R55" s="6" t="inlineStr">
        <is>
          <t>Related sources are candidate evidence, not proof of absence.</t>
        </is>
      </c>
      <c r="S55" s="6" t="inlineStr">
        <is>
          <t>Unresolved</t>
        </is>
      </c>
      <c r="T55" s="6" t="inlineStr">
        <is>
          <t>Do not generalise one commentator’s interpretation across his whole career.</t>
        </is>
      </c>
      <c r="U55" s="6" t="inlineStr">
        <is>
          <t>Family/party access is evidenced; no caste, religion or gender motive is inferred from a surname.</t>
        </is>
      </c>
    </row>
  </sheetData>
  <autoFilter ref="A5:U5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G51" r:id="rId92"/>
    <hyperlink xmlns:r="http://schemas.openxmlformats.org/officeDocument/2006/relationships" ref="F52" r:id="rId93"/>
    <hyperlink xmlns:r="http://schemas.openxmlformats.org/officeDocument/2006/relationships" ref="G52" r:id="rId94"/>
    <hyperlink xmlns:r="http://schemas.openxmlformats.org/officeDocument/2006/relationships" ref="F53" r:id="rId95"/>
    <hyperlink xmlns:r="http://schemas.openxmlformats.org/officeDocument/2006/relationships" ref="G53" r:id="rId96"/>
    <hyperlink xmlns:r="http://schemas.openxmlformats.org/officeDocument/2006/relationships" ref="F54" r:id="rId97"/>
    <hyperlink xmlns:r="http://schemas.openxmlformats.org/officeDocument/2006/relationships" ref="G54" r:id="rId98"/>
    <hyperlink xmlns:r="http://schemas.openxmlformats.org/officeDocument/2006/relationships" ref="F55" r:id="rId99"/>
    <hyperlink xmlns:r="http://schemas.openxmlformats.org/officeDocument/2006/relationships" ref="G55" r:id="rId100"/>
  </hyperlinks>
  <pageMargins left="0.75" right="0.75" top="1" bottom="1" header="0.5" footer="0.5"/>
  <pageSetup orientation="landscape" paperSize="8" fitToHeight="0" fitToWidth="1"/>
  <tableParts count="1">
    <tablePart xmlns:r="http://schemas.openxmlformats.org/officeDocument/2006/relationships" r:id="rId101"/>
  </tableParts>
</worksheet>
</file>

<file path=xl/worksheets/sheet3.xml><?xml version="1.0" encoding="utf-8"?>
<worksheet xmlns="http://schemas.openxmlformats.org/spreadsheetml/2006/main">
  <sheetPr>
    <outlinePr summaryBelow="1" summaryRight="0"/>
    <pageSetUpPr fitToPage="1"/>
  </sheetPr>
  <dimension ref="A1:N3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34" customWidth="1" min="3" max="3"/>
    <col width="44"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Rahul Gandhi | Career Timeline</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Timeline ID</t>
        </is>
      </c>
      <c r="B5" s="3" t="inlineStr">
        <is>
          <t>Period</t>
        </is>
      </c>
      <c r="C5" s="3" t="inlineStr">
        <is>
          <t>Event</t>
        </is>
      </c>
      <c r="D5" s="3" t="inlineStr">
        <is>
          <t>Description</t>
        </is>
      </c>
      <c r="E5" s="3" t="inlineStr">
        <is>
          <t>Evidence review</t>
        </is>
      </c>
      <c r="F5" s="3" t="inlineStr">
        <is>
          <t>All citations</t>
        </is>
      </c>
      <c r="G5" s="3" t="inlineStr">
        <is>
          <t>Claim details</t>
        </is>
      </c>
      <c r="H5" s="3" t="inlineStr">
        <is>
          <t>Exact date</t>
        </is>
      </c>
      <c r="I5" s="3" t="inlineStr">
        <is>
          <t>Date precision</t>
        </is>
      </c>
      <c r="J5" s="3" t="inlineStr">
        <is>
          <t>Claim type</t>
        </is>
      </c>
      <c r="K5" s="3" t="inlineStr">
        <is>
          <t>Source IDs</t>
        </is>
      </c>
      <c r="L5" s="3" t="inlineStr">
        <is>
          <t>Corroboration</t>
        </is>
      </c>
      <c r="M5" s="3" t="inlineStr">
        <is>
          <t>Career phase</t>
        </is>
      </c>
      <c r="N5" s="3" t="inlineStr">
        <is>
          <t>Context IDs</t>
        </is>
      </c>
    </row>
    <row r="6" ht="44" customHeight="1">
      <c r="A6" s="4" t="inlineStr">
        <is>
          <t>T01</t>
        </is>
      </c>
      <c r="B6" s="4" t="inlineStr">
        <is>
          <t>1970</t>
        </is>
      </c>
      <c r="C6" s="4" t="inlineStr">
        <is>
          <t>Birth and family</t>
        </is>
      </c>
      <c r="D6" s="4" t="inlineStr">
        <is>
          <t>Born on 19 June 1970 to Rajiv and Sonia Gandhi.</t>
        </is>
      </c>
      <c r="E6" s="4" t="inlineStr">
        <is>
          <t>Supported</t>
        </is>
      </c>
      <c r="F6" s="5" t="inlineStr">
        <is>
          <t>All citations</t>
        </is>
      </c>
      <c r="G6" s="5" t="inlineStr">
        <is>
          <t>Claims</t>
        </is>
      </c>
      <c r="H6" s="11" t="n">
        <v>25738</v>
      </c>
      <c r="I6" s="4" t="inlineStr">
        <is>
          <t>Day</t>
        </is>
      </c>
      <c r="J6" s="4" t="inlineStr">
        <is>
          <t>Recorded fact</t>
        </is>
      </c>
      <c r="K6" s="4" t="inlineStr">
        <is>
          <t>S004</t>
        </is>
      </c>
      <c r="L6" s="4" t="inlineStr">
        <is>
          <t>Interested source only</t>
        </is>
      </c>
      <c r="M6" s="4" t="n"/>
      <c r="N6" s="4" t="n"/>
    </row>
    <row r="7" ht="66" customHeight="1">
      <c r="A7" s="6" t="inlineStr">
        <is>
          <t>T02</t>
        </is>
      </c>
      <c r="B7" s="6" t="inlineStr">
        <is>
          <t>1984–1995</t>
        </is>
      </c>
      <c r="C7" s="6" t="inlineStr">
        <is>
          <t>Education under security constraints</t>
        </is>
      </c>
      <c r="D7" s="6" t="inlineStr">
        <is>
          <t>Family assassinations prompted security-related education changes; completed Rollins graduation and a Cambridge MPhil.</t>
        </is>
      </c>
      <c r="E7" s="6" t="inlineStr">
        <is>
          <t>Supported</t>
        </is>
      </c>
      <c r="F7" s="7" t="inlineStr">
        <is>
          <t>All citations</t>
        </is>
      </c>
      <c r="G7" s="7" t="inlineStr">
        <is>
          <t>Claims</t>
        </is>
      </c>
      <c r="H7" s="6" t="n"/>
      <c r="I7" s="6" t="inlineStr">
        <is>
          <t>Year or stated range</t>
        </is>
      </c>
      <c r="J7" s="6" t="inlineStr">
        <is>
          <t>Recorded fact</t>
        </is>
      </c>
      <c r="K7" s="6" t="inlineStr">
        <is>
          <t>S005</t>
        </is>
      </c>
      <c r="L7" s="6" t="inlineStr">
        <is>
          <t>Single credible source</t>
        </is>
      </c>
      <c r="M7" s="6" t="n"/>
      <c r="N7" s="6" t="n"/>
    </row>
    <row r="8" ht="52" customHeight="1">
      <c r="A8" s="4" t="inlineStr">
        <is>
          <t>T03</t>
        </is>
      </c>
      <c r="B8" s="4" t="inlineStr">
        <is>
          <t>Before 2004</t>
        </is>
      </c>
      <c r="C8" s="4" t="inlineStr">
        <is>
          <t>Professional work</t>
        </is>
      </c>
      <c r="D8" s="4" t="inlineStr">
        <is>
          <t>Worked with Monitor in London and established Backops before electoral entry.</t>
        </is>
      </c>
      <c r="E8" s="4" t="inlineStr">
        <is>
          <t>Supported</t>
        </is>
      </c>
      <c r="F8" s="5" t="inlineStr">
        <is>
          <t>All citations</t>
        </is>
      </c>
      <c r="G8" s="5" t="inlineStr">
        <is>
          <t>Claims</t>
        </is>
      </c>
      <c r="H8" s="4" t="n"/>
      <c r="I8" s="4" t="inlineStr">
        <is>
          <t>Year or stated range</t>
        </is>
      </c>
      <c r="J8" s="4" t="inlineStr">
        <is>
          <t>Recorded fact</t>
        </is>
      </c>
      <c r="K8" s="4" t="inlineStr">
        <is>
          <t>S005</t>
        </is>
      </c>
      <c r="L8" s="4" t="inlineStr">
        <is>
          <t>Single credible source</t>
        </is>
      </c>
      <c r="M8" s="4" t="n"/>
      <c r="N8" s="4" t="n"/>
    </row>
    <row r="9" ht="44" customHeight="1">
      <c r="A9" s="6" t="inlineStr">
        <is>
          <t>T04</t>
        </is>
      </c>
      <c r="B9" s="6" t="inlineStr">
        <is>
          <t>2004</t>
        </is>
      </c>
      <c r="C9" s="6" t="inlineStr">
        <is>
          <t>First Lok Sabha victory</t>
        </is>
      </c>
      <c r="D9" s="6" t="inlineStr">
        <is>
          <t>Entered electoral politics and won Amethi for Congress.</t>
        </is>
      </c>
      <c r="E9" s="6" t="inlineStr">
        <is>
          <t>Supported</t>
        </is>
      </c>
      <c r="F9" s="7" t="inlineStr">
        <is>
          <t>All citations</t>
        </is>
      </c>
      <c r="G9" s="7" t="inlineStr">
        <is>
          <t>Claims</t>
        </is>
      </c>
      <c r="H9" s="6" t="n"/>
      <c r="I9" s="6" t="inlineStr">
        <is>
          <t>Year or stated range</t>
        </is>
      </c>
      <c r="J9" s="6" t="inlineStr">
        <is>
          <t>Recorded fact</t>
        </is>
      </c>
      <c r="K9" s="6" t="inlineStr">
        <is>
          <t>S009; S004</t>
        </is>
      </c>
      <c r="L9" s="6" t="inlineStr">
        <is>
          <t>Multiple independent sources</t>
        </is>
      </c>
      <c r="M9" s="6" t="inlineStr">
        <is>
          <t>P1 | Entry and UPA years (2004–2013)</t>
        </is>
      </c>
      <c r="N9" s="6" t="inlineStr">
        <is>
          <t>CT-P1-01; CT-P1-02; CT-P1-03</t>
        </is>
      </c>
    </row>
    <row r="10" ht="52" customHeight="1">
      <c r="A10" s="4" t="inlineStr">
        <is>
          <t>T05</t>
        </is>
      </c>
      <c r="B10" s="4" t="inlineStr">
        <is>
          <t>September 2007</t>
        </is>
      </c>
      <c r="C10" s="4" t="inlineStr">
        <is>
          <t>Youth and student organisation brief</t>
        </is>
      </c>
      <c r="D10" s="4" t="inlineStr">
        <is>
          <t>Appointed AICC general secretary on 24 September, responsible for IYC and NSUI.</t>
        </is>
      </c>
      <c r="E10" s="4" t="inlineStr">
        <is>
          <t>Supported</t>
        </is>
      </c>
      <c r="F10" s="5" t="inlineStr">
        <is>
          <t>All citations</t>
        </is>
      </c>
      <c r="G10" s="5" t="inlineStr">
        <is>
          <t>Claims</t>
        </is>
      </c>
      <c r="H10" s="11" t="n">
        <v>39349</v>
      </c>
      <c r="I10" s="4" t="inlineStr">
        <is>
          <t>Day</t>
        </is>
      </c>
      <c r="J10" s="4" t="inlineStr">
        <is>
          <t>Recorded fact</t>
        </is>
      </c>
      <c r="K10" s="4" t="inlineStr">
        <is>
          <t>S004</t>
        </is>
      </c>
      <c r="L10" s="4" t="inlineStr">
        <is>
          <t>Interested source only</t>
        </is>
      </c>
      <c r="M10" s="4" t="inlineStr">
        <is>
          <t>P1 | Entry and UPA years (2004–2013)</t>
        </is>
      </c>
      <c r="N10" s="4" t="inlineStr">
        <is>
          <t>CT-P1-01; CT-P1-02; CT-P1-03</t>
        </is>
      </c>
    </row>
    <row r="11" ht="44" customHeight="1">
      <c r="A11" s="6" t="inlineStr">
        <is>
          <t>T06</t>
        </is>
      </c>
      <c r="B11" s="6" t="inlineStr">
        <is>
          <t>2009</t>
        </is>
      </c>
      <c r="C11" s="6" t="inlineStr">
        <is>
          <t>Second Amethi victory</t>
        </is>
      </c>
      <c r="D11" s="6" t="inlineStr">
        <is>
          <t>Re-elected with 464195 votes, ahead of BSP candidate Asheesh Shukla.</t>
        </is>
      </c>
      <c r="E11" s="6" t="inlineStr">
        <is>
          <t>Supported</t>
        </is>
      </c>
      <c r="F11" s="7" t="inlineStr">
        <is>
          <t>All citations</t>
        </is>
      </c>
      <c r="G11" s="7" t="inlineStr">
        <is>
          <t>Claims</t>
        </is>
      </c>
      <c r="H11" s="6" t="n"/>
      <c r="I11" s="6" t="inlineStr">
        <is>
          <t>Year or stated range</t>
        </is>
      </c>
      <c r="J11" s="6" t="inlineStr">
        <is>
          <t>Recorded fact</t>
        </is>
      </c>
      <c r="K11" s="6" t="inlineStr">
        <is>
          <t>S008</t>
        </is>
      </c>
      <c r="L11" s="6" t="inlineStr">
        <is>
          <t>Single credible source</t>
        </is>
      </c>
      <c r="M11" s="6" t="inlineStr">
        <is>
          <t>P1 | Entry and UPA years (2004–2013)</t>
        </is>
      </c>
      <c r="N11" s="6" t="inlineStr">
        <is>
          <t>CT-P1-01; CT-P1-02; CT-P1-03</t>
        </is>
      </c>
    </row>
    <row r="12" ht="52" customHeight="1">
      <c r="A12" s="4" t="inlineStr">
        <is>
          <t>T07</t>
        </is>
      </c>
      <c r="B12" s="4" t="inlineStr">
        <is>
          <t>May 2011</t>
        </is>
      </c>
      <c r="C12" s="4" t="inlineStr">
        <is>
          <t>Bhatta Parsaul mobilisation</t>
        </is>
      </c>
      <c r="D12" s="4" t="inlineStr">
        <is>
          <t>Party biography records his arrest while supporting farmers protesting acquisition terms on 11 May.</t>
        </is>
      </c>
      <c r="E12" s="4" t="inlineStr">
        <is>
          <t>Supported</t>
        </is>
      </c>
      <c r="F12" s="5" t="inlineStr">
        <is>
          <t>All citations</t>
        </is>
      </c>
      <c r="G12" s="5" t="inlineStr">
        <is>
          <t>Claims</t>
        </is>
      </c>
      <c r="H12" s="11" t="n">
        <v>40674</v>
      </c>
      <c r="I12" s="4" t="inlineStr">
        <is>
          <t>Day</t>
        </is>
      </c>
      <c r="J12" s="4" t="inlineStr">
        <is>
          <t>Attributed position</t>
        </is>
      </c>
      <c r="K12" s="4" t="inlineStr">
        <is>
          <t>S004</t>
        </is>
      </c>
      <c r="L12" s="4" t="inlineStr">
        <is>
          <t>Interested source only</t>
        </is>
      </c>
      <c r="M12" s="4" t="inlineStr">
        <is>
          <t>P1 | Entry and UPA years (2004–2013)</t>
        </is>
      </c>
      <c r="N12" s="4" t="inlineStr">
        <is>
          <t>CT-P1-01; CT-P1-02; CT-P1-03</t>
        </is>
      </c>
    </row>
    <row r="13" ht="52" customHeight="1">
      <c r="A13" s="6" t="inlineStr">
        <is>
          <t>T08</t>
        </is>
      </c>
      <c r="B13" s="6" t="inlineStr">
        <is>
          <t>March 2012</t>
        </is>
      </c>
      <c r="C13" s="6" t="inlineStr">
        <is>
          <t>UP campaign setback</t>
        </is>
      </c>
      <c r="D13" s="6" t="inlineStr">
        <is>
          <t>Congress won 28 of 403 assembly seats; Gandhi publicly accepted responsibility for the campaign.</t>
        </is>
      </c>
      <c r="E13" s="6" t="inlineStr">
        <is>
          <t>Supported</t>
        </is>
      </c>
      <c r="F13" s="7" t="inlineStr">
        <is>
          <t>All citations</t>
        </is>
      </c>
      <c r="G13" s="7" t="inlineStr">
        <is>
          <t>Claims</t>
        </is>
      </c>
      <c r="H13" s="6" t="n"/>
      <c r="I13" s="6" t="inlineStr">
        <is>
          <t>Year or stated range</t>
        </is>
      </c>
      <c r="J13" s="6" t="inlineStr">
        <is>
          <t>Recorded fact</t>
        </is>
      </c>
      <c r="K13" s="6" t="inlineStr">
        <is>
          <t>S034</t>
        </is>
      </c>
      <c r="L13" s="6" t="inlineStr">
        <is>
          <t>Single credible source</t>
        </is>
      </c>
      <c r="M13" s="6" t="inlineStr">
        <is>
          <t>P1 | Entry and UPA years (2004–2013)</t>
        </is>
      </c>
      <c r="N13" s="6" t="inlineStr">
        <is>
          <t>CT-P1-01; CT-P1-02; CT-P1-03</t>
        </is>
      </c>
    </row>
    <row r="14" ht="44" customHeight="1">
      <c r="A14" s="4" t="inlineStr">
        <is>
          <t>T09</t>
        </is>
      </c>
      <c r="B14" s="4" t="inlineStr">
        <is>
          <t>January 2013</t>
        </is>
      </c>
      <c r="C14" s="4" t="inlineStr">
        <is>
          <t>Congress vice-president</t>
        </is>
      </c>
      <c r="D14" s="4" t="inlineStr">
        <is>
          <t>Became Congress vice-president.</t>
        </is>
      </c>
      <c r="E14" s="4" t="inlineStr">
        <is>
          <t>Supported</t>
        </is>
      </c>
      <c r="F14" s="5" t="inlineStr">
        <is>
          <t>All citations</t>
        </is>
      </c>
      <c r="G14" s="5" t="inlineStr">
        <is>
          <t>Claims</t>
        </is>
      </c>
      <c r="H14" s="4" t="n"/>
      <c r="I14" s="4" t="inlineStr">
        <is>
          <t>Year or stated range</t>
        </is>
      </c>
      <c r="J14" s="4" t="inlineStr">
        <is>
          <t>Recorded fact</t>
        </is>
      </c>
      <c r="K14" s="4" t="inlineStr">
        <is>
          <t>S004</t>
        </is>
      </c>
      <c r="L14" s="4" t="inlineStr">
        <is>
          <t>Interested source only</t>
        </is>
      </c>
      <c r="M14" s="4" t="inlineStr">
        <is>
          <t>P1 | Entry and UPA years (2004–2013)</t>
        </is>
      </c>
      <c r="N14" s="4" t="inlineStr">
        <is>
          <t>CT-P1-01; CT-P1-02; CT-P1-03</t>
        </is>
      </c>
    </row>
    <row r="15" ht="66" customHeight="1">
      <c r="A15" s="6" t="inlineStr">
        <is>
          <t>T10</t>
        </is>
      </c>
      <c r="B15" s="6" t="inlineStr">
        <is>
          <t>September–October 2013</t>
        </is>
      </c>
      <c r="C15" s="6" t="inlineStr">
        <is>
          <t>Ordinance confrontation</t>
        </is>
      </c>
      <c r="D15" s="6" t="inlineStr">
        <is>
          <t>Opposed the convicted-legislators ordinance on 27 September; Cabinet decided on 2 October to withdraw the proposal and related bill.</t>
        </is>
      </c>
      <c r="E15" s="6" t="inlineStr">
        <is>
          <t>Supported</t>
        </is>
      </c>
      <c r="F15" s="7" t="inlineStr">
        <is>
          <t>All citations</t>
        </is>
      </c>
      <c r="G15" s="7" t="inlineStr">
        <is>
          <t>Claims</t>
        </is>
      </c>
      <c r="H15" s="6" t="n"/>
      <c r="I15" s="6" t="inlineStr">
        <is>
          <t>Year or stated range</t>
        </is>
      </c>
      <c r="J15" s="6" t="inlineStr">
        <is>
          <t>Recorded fact</t>
        </is>
      </c>
      <c r="K15" s="6" t="inlineStr">
        <is>
          <t>S038; S039</t>
        </is>
      </c>
      <c r="L15" s="6" t="inlineStr">
        <is>
          <t>Multiple independent sources</t>
        </is>
      </c>
      <c r="M15" s="6" t="inlineStr">
        <is>
          <t>P1 | Entry and UPA years (2004–2013)</t>
        </is>
      </c>
      <c r="N15" s="6" t="inlineStr">
        <is>
          <t>CT-P1-01; CT-P1-02; CT-P1-03</t>
        </is>
      </c>
    </row>
    <row r="16" ht="52" customHeight="1">
      <c r="A16" s="4" t="inlineStr">
        <is>
          <t>T11</t>
        </is>
      </c>
      <c r="B16" s="4" t="inlineStr">
        <is>
          <t>2014</t>
        </is>
      </c>
      <c r="C16" s="4" t="inlineStr">
        <is>
          <t>National opposition phase</t>
        </is>
      </c>
      <c r="D16" s="4" t="inlineStr">
        <is>
          <t>Retained Amethi while the BJP became the central party in the new national electoral system.</t>
        </is>
      </c>
      <c r="E16" s="4" t="inlineStr">
        <is>
          <t>Supported</t>
        </is>
      </c>
      <c r="F16" s="5" t="inlineStr">
        <is>
          <t>All citations</t>
        </is>
      </c>
      <c r="G16" s="5" t="inlineStr">
        <is>
          <t>Claims</t>
        </is>
      </c>
      <c r="H16" s="4" t="n"/>
      <c r="I16" s="4" t="inlineStr">
        <is>
          <t>Year or stated range</t>
        </is>
      </c>
      <c r="J16" s="4" t="inlineStr">
        <is>
          <t>Recorded fact</t>
        </is>
      </c>
      <c r="K16" s="4" t="inlineStr">
        <is>
          <t>S008; S024</t>
        </is>
      </c>
      <c r="L16" s="4" t="inlineStr">
        <is>
          <t>Multiple independent sources</t>
        </is>
      </c>
      <c r="M16" s="4" t="inlineStr">
        <is>
          <t>P2 | Opposition and party presidency (2014–2019 election)</t>
        </is>
      </c>
      <c r="N16" s="4" t="inlineStr">
        <is>
          <t>CT-P2-01; CT-P2-02; CT-P2-03</t>
        </is>
      </c>
    </row>
    <row r="17" ht="52" customHeight="1">
      <c r="A17" s="6" t="inlineStr">
        <is>
          <t>T12</t>
        </is>
      </c>
      <c r="B17" s="6" t="inlineStr">
        <is>
          <t>May 2015</t>
        </is>
      </c>
      <c r="C17" s="6" t="inlineStr">
        <is>
          <t>Land-acquisition opposition</t>
        </is>
      </c>
      <c r="D17" s="6" t="inlineStr">
        <is>
          <t>Led Congress opposition to proposed acquisition-law changes, using parliamentary and public mobilisation.</t>
        </is>
      </c>
      <c r="E17" s="6" t="inlineStr">
        <is>
          <t>Supported</t>
        </is>
      </c>
      <c r="F17" s="7" t="inlineStr">
        <is>
          <t>All citations</t>
        </is>
      </c>
      <c r="G17" s="7" t="inlineStr">
        <is>
          <t>Claims</t>
        </is>
      </c>
      <c r="H17" s="6" t="n"/>
      <c r="I17" s="6" t="inlineStr">
        <is>
          <t>Year or stated range</t>
        </is>
      </c>
      <c r="J17" s="6" t="inlineStr">
        <is>
          <t>Recorded fact</t>
        </is>
      </c>
      <c r="K17" s="6" t="inlineStr">
        <is>
          <t>S037</t>
        </is>
      </c>
      <c r="L17" s="6" t="inlineStr">
        <is>
          <t>Single credible source</t>
        </is>
      </c>
      <c r="M17" s="6" t="inlineStr">
        <is>
          <t>P2 | Opposition and party presidency (2014–2019 election)</t>
        </is>
      </c>
      <c r="N17" s="6" t="inlineStr">
        <is>
          <t>CT-P2-01; CT-P2-02; CT-P2-03</t>
        </is>
      </c>
    </row>
    <row r="18" ht="44" customHeight="1">
      <c r="A18" s="4" t="inlineStr">
        <is>
          <t>T13</t>
        </is>
      </c>
      <c r="B18" s="4" t="inlineStr">
        <is>
          <t>December 2017</t>
        </is>
      </c>
      <c r="C18" s="4" t="inlineStr">
        <is>
          <t>Congress presidency</t>
        </is>
      </c>
      <c r="D18" s="4" t="inlineStr">
        <is>
          <t>Assumed Congress presidency on 16 December 2017.</t>
        </is>
      </c>
      <c r="E18" s="4" t="inlineStr">
        <is>
          <t>Supported</t>
        </is>
      </c>
      <c r="F18" s="5" t="inlineStr">
        <is>
          <t>All citations</t>
        </is>
      </c>
      <c r="G18" s="5" t="inlineStr">
        <is>
          <t>Claims</t>
        </is>
      </c>
      <c r="H18" s="11" t="n">
        <v>43085</v>
      </c>
      <c r="I18" s="4" t="inlineStr">
        <is>
          <t>Day</t>
        </is>
      </c>
      <c r="J18" s="4" t="inlineStr">
        <is>
          <t>Recorded fact</t>
        </is>
      </c>
      <c r="K18" s="4" t="inlineStr">
        <is>
          <t>S004</t>
        </is>
      </c>
      <c r="L18" s="4" t="inlineStr">
        <is>
          <t>Interested source only</t>
        </is>
      </c>
      <c r="M18" s="4" t="inlineStr">
        <is>
          <t>P2 | Opposition and party presidency (2014–2019 election)</t>
        </is>
      </c>
      <c r="N18" s="4" t="inlineStr">
        <is>
          <t>CT-P2-01; CT-P2-02; CT-P2-03</t>
        </is>
      </c>
    </row>
    <row r="19" ht="52" customHeight="1">
      <c r="A19" s="6" t="inlineStr">
        <is>
          <t>T14</t>
        </is>
      </c>
      <c r="B19" s="6" t="inlineStr">
        <is>
          <t>December 2018</t>
        </is>
      </c>
      <c r="C19" s="6" t="inlineStr">
        <is>
          <t>Mixed state election results</t>
        </is>
      </c>
      <c r="D19" s="6" t="inlineStr">
        <is>
          <t>Congress gains in Rajasthan, MP and Chhattisgarh accompanied setbacks in Telangana and Mizoram.</t>
        </is>
      </c>
      <c r="E19" s="6" t="inlineStr">
        <is>
          <t>Supported</t>
        </is>
      </c>
      <c r="F19" s="7" t="inlineStr">
        <is>
          <t>All citations</t>
        </is>
      </c>
      <c r="G19" s="7" t="inlineStr">
        <is>
          <t>Claims</t>
        </is>
      </c>
      <c r="H19" s="6" t="n"/>
      <c r="I19" s="6" t="inlineStr">
        <is>
          <t>Year or stated range</t>
        </is>
      </c>
      <c r="J19" s="6" t="inlineStr">
        <is>
          <t>Recorded fact</t>
        </is>
      </c>
      <c r="K19" s="6" t="inlineStr">
        <is>
          <t>S040</t>
        </is>
      </c>
      <c r="L19" s="6" t="inlineStr">
        <is>
          <t>Single credible source</t>
        </is>
      </c>
      <c r="M19" s="6" t="inlineStr">
        <is>
          <t>P2 | Opposition and party presidency (2014–2019 election)</t>
        </is>
      </c>
      <c r="N19" s="6" t="inlineStr">
        <is>
          <t>CT-P2-01; CT-P2-02; CT-P2-03</t>
        </is>
      </c>
    </row>
    <row r="20" ht="52" customHeight="1">
      <c r="A20" s="4" t="inlineStr">
        <is>
          <t>T15</t>
        </is>
      </c>
      <c r="B20" s="4" t="inlineStr">
        <is>
          <t>May 2019</t>
        </is>
      </c>
      <c r="C20" s="4" t="inlineStr">
        <is>
          <t>Dual contest and defeat</t>
        </is>
      </c>
      <c r="D20" s="4" t="inlineStr">
        <is>
          <t>Won Wayanad but lost Amethi to Smriti Irani; Congress’s national tally was 52.</t>
        </is>
      </c>
      <c r="E20" s="4" t="inlineStr">
        <is>
          <t>Supported</t>
        </is>
      </c>
      <c r="F20" s="5" t="inlineStr">
        <is>
          <t>All citations</t>
        </is>
      </c>
      <c r="G20" s="5" t="inlineStr">
        <is>
          <t>Claims</t>
        </is>
      </c>
      <c r="H20" s="4" t="n"/>
      <c r="I20" s="4" t="inlineStr">
        <is>
          <t>Year or stated range</t>
        </is>
      </c>
      <c r="J20" s="4" t="inlineStr">
        <is>
          <t>Recorded fact</t>
        </is>
      </c>
      <c r="K20" s="4" t="inlineStr">
        <is>
          <t>S007; S014</t>
        </is>
      </c>
      <c r="L20" s="4" t="inlineStr">
        <is>
          <t>Multiple independent sources</t>
        </is>
      </c>
      <c r="M20" s="4" t="inlineStr">
        <is>
          <t>P2 | Opposition and party presidency (2014–2019 election)</t>
        </is>
      </c>
      <c r="N20" s="4" t="inlineStr">
        <is>
          <t>CT-P2-01; CT-P2-02; CT-P2-03</t>
        </is>
      </c>
    </row>
    <row r="21" ht="52" customHeight="1">
      <c r="A21" s="6" t="inlineStr">
        <is>
          <t>T16</t>
        </is>
      </c>
      <c r="B21" s="6" t="inlineStr">
        <is>
          <t>July 2019</t>
        </is>
      </c>
      <c r="C21" s="6" t="inlineStr">
        <is>
          <t>Public resignation letter</t>
        </is>
      </c>
      <c r="D21" s="6" t="inlineStr">
        <is>
          <t>Publicly confirmed departure from the presidency and accepted responsibility for the national defeat.</t>
        </is>
      </c>
      <c r="E21" s="6" t="inlineStr">
        <is>
          <t>Supported</t>
        </is>
      </c>
      <c r="F21" s="7" t="inlineStr">
        <is>
          <t>All citations</t>
        </is>
      </c>
      <c r="G21" s="7" t="inlineStr">
        <is>
          <t>Claims</t>
        </is>
      </c>
      <c r="H21" s="12" t="n">
        <v>43649</v>
      </c>
      <c r="I21" s="6" t="inlineStr">
        <is>
          <t>Day</t>
        </is>
      </c>
      <c r="J21" s="6" t="inlineStr">
        <is>
          <t>Recorded fact</t>
        </is>
      </c>
      <c r="K21" s="6" t="inlineStr">
        <is>
          <t>S014</t>
        </is>
      </c>
      <c r="L21" s="6" t="inlineStr">
        <is>
          <t>Single credible source</t>
        </is>
      </c>
      <c r="M21" s="6" t="inlineStr">
        <is>
          <t>P3 | Resignation, yatras and recovery (2019–2024 election)</t>
        </is>
      </c>
      <c r="N21" s="6" t="inlineStr">
        <is>
          <t>CT-P3-01; CT-P3-02; CT-P3-03</t>
        </is>
      </c>
    </row>
    <row r="22" ht="66" customHeight="1">
      <c r="A22" s="4" t="inlineStr">
        <is>
          <t>T17</t>
        </is>
      </c>
      <c r="B22" s="4" t="inlineStr">
        <is>
          <t>November 2019</t>
        </is>
      </c>
      <c r="C22" s="4" t="inlineStr">
        <is>
          <t>Rafale-related contempt closure</t>
        </is>
      </c>
      <c r="D22" s="4" t="inlineStr">
        <is>
          <t>Supreme Court closed the contempt matter following an unconditional apology over attribution of a slogan to the Court.</t>
        </is>
      </c>
      <c r="E22" s="4" t="inlineStr">
        <is>
          <t>Supported</t>
        </is>
      </c>
      <c r="F22" s="5" t="inlineStr">
        <is>
          <t>All citations</t>
        </is>
      </c>
      <c r="G22" s="5" t="inlineStr">
        <is>
          <t>Claims</t>
        </is>
      </c>
      <c r="H22" s="11" t="n">
        <v>43783</v>
      </c>
      <c r="I22" s="4" t="inlineStr">
        <is>
          <t>Day</t>
        </is>
      </c>
      <c r="J22" s="4" t="inlineStr">
        <is>
          <t>Recorded fact</t>
        </is>
      </c>
      <c r="K22" s="4" t="inlineStr">
        <is>
          <t>S029</t>
        </is>
      </c>
      <c r="L22" s="4" t="inlineStr">
        <is>
          <t>Single credible source</t>
        </is>
      </c>
      <c r="M22" s="4" t="inlineStr">
        <is>
          <t>P3 | Resignation, yatras and recovery (2019–2024 election)</t>
        </is>
      </c>
      <c r="N22" s="4" t="inlineStr">
        <is>
          <t>CT-P3-01; CT-P3-02; CT-P3-03</t>
        </is>
      </c>
    </row>
    <row r="23" ht="52" customHeight="1">
      <c r="A23" s="6" t="inlineStr">
        <is>
          <t>T18</t>
        </is>
      </c>
      <c r="B23" s="6" t="inlineStr">
        <is>
          <t>September 2022–January 2023</t>
        </is>
      </c>
      <c r="C23" s="6" t="inlineStr">
        <is>
          <t>Bharat Jodo Yatra</t>
        </is>
      </c>
      <c r="D23" s="6" t="inlineStr">
        <is>
          <t>March from Kanyakumari to Srinagar ran from 7 September 2022 to 30 January 2023.</t>
        </is>
      </c>
      <c r="E23" s="6" t="inlineStr">
        <is>
          <t>Supported</t>
        </is>
      </c>
      <c r="F23" s="7" t="inlineStr">
        <is>
          <t>All citations</t>
        </is>
      </c>
      <c r="G23" s="7" t="inlineStr">
        <is>
          <t>Claims</t>
        </is>
      </c>
      <c r="H23" s="6" t="n"/>
      <c r="I23" s="6" t="inlineStr">
        <is>
          <t>Year or stated range</t>
        </is>
      </c>
      <c r="J23" s="6" t="inlineStr">
        <is>
          <t>Recorded fact</t>
        </is>
      </c>
      <c r="K23" s="6" t="inlineStr">
        <is>
          <t>S015</t>
        </is>
      </c>
      <c r="L23" s="6" t="inlineStr">
        <is>
          <t>Single credible source</t>
        </is>
      </c>
      <c r="M23" s="6" t="inlineStr">
        <is>
          <t>P3 | Resignation, yatras and recovery (2019–2024 election)</t>
        </is>
      </c>
      <c r="N23" s="6" t="inlineStr">
        <is>
          <t>CT-P3-01; CT-P3-02; CT-P3-03</t>
        </is>
      </c>
    </row>
    <row r="24" ht="66" customHeight="1">
      <c r="A24" s="4" t="inlineStr">
        <is>
          <t>T19</t>
        </is>
      </c>
      <c r="B24" s="4" t="inlineStr">
        <is>
          <t>March–August 2023</t>
        </is>
      </c>
      <c r="C24" s="4" t="inlineStr">
        <is>
          <t>Conviction, disqualification and return</t>
        </is>
      </c>
      <c r="D24" s="4" t="inlineStr">
        <is>
          <t>Defamation conviction led to disqualification effective 23 March. Supreme Court stayed conviction 4 August; membership restored 7 August.</t>
        </is>
      </c>
      <c r="E24" s="4" t="inlineStr">
        <is>
          <t>Supported</t>
        </is>
      </c>
      <c r="F24" s="5" t="inlineStr">
        <is>
          <t>All citations</t>
        </is>
      </c>
      <c r="G24" s="5" t="inlineStr">
        <is>
          <t>Claims</t>
        </is>
      </c>
      <c r="H24" s="4" t="n"/>
      <c r="I24" s="4" t="inlineStr">
        <is>
          <t>Year or stated range</t>
        </is>
      </c>
      <c r="J24" s="4" t="inlineStr">
        <is>
          <t>Recorded fact</t>
        </is>
      </c>
      <c r="K24" s="4" t="inlineStr">
        <is>
          <t>S010; S011</t>
        </is>
      </c>
      <c r="L24" s="4" t="inlineStr">
        <is>
          <t>Primary record</t>
        </is>
      </c>
      <c r="M24" s="4" t="inlineStr">
        <is>
          <t>P3 | Resignation, yatras and recovery (2019–2024 election)</t>
        </is>
      </c>
      <c r="N24" s="4" t="inlineStr">
        <is>
          <t>CT-P3-01; CT-P3-02; CT-P3-03</t>
        </is>
      </c>
    </row>
    <row r="25" ht="52" customHeight="1">
      <c r="A25" s="6" t="inlineStr">
        <is>
          <t>T20</t>
        </is>
      </c>
      <c r="B25" s="6" t="inlineStr">
        <is>
          <t>January–March 2024</t>
        </is>
      </c>
      <c r="C25" s="6" t="inlineStr">
        <is>
          <t>Bharat Jodo Nyay Yatra</t>
        </is>
      </c>
      <c r="D25" s="6" t="inlineStr">
        <is>
          <t>Party record dates the Manipur-to-Mumbai journey from 14 January to 16 March 2024.</t>
        </is>
      </c>
      <c r="E25" s="6" t="inlineStr">
        <is>
          <t>Supported</t>
        </is>
      </c>
      <c r="F25" s="7" t="inlineStr">
        <is>
          <t>All citations</t>
        </is>
      </c>
      <c r="G25" s="7" t="inlineStr">
        <is>
          <t>Claims</t>
        </is>
      </c>
      <c r="H25" s="6" t="n"/>
      <c r="I25" s="6" t="inlineStr">
        <is>
          <t>Year or stated range</t>
        </is>
      </c>
      <c r="J25" s="6" t="inlineStr">
        <is>
          <t>Attributed position</t>
        </is>
      </c>
      <c r="K25" s="6" t="inlineStr">
        <is>
          <t>S004</t>
        </is>
      </c>
      <c r="L25" s="6" t="inlineStr">
        <is>
          <t>Interested source only</t>
        </is>
      </c>
      <c r="M25" s="6" t="inlineStr">
        <is>
          <t>P3 | Resignation, yatras and recovery (2019–2024 election)</t>
        </is>
      </c>
      <c r="N25" s="6" t="inlineStr">
        <is>
          <t>CT-P3-01; CT-P3-02; CT-P3-03</t>
        </is>
      </c>
    </row>
    <row r="26" ht="52" customHeight="1">
      <c r="A26" s="4" t="inlineStr">
        <is>
          <t>T21</t>
        </is>
      </c>
      <c r="B26" s="4" t="inlineStr">
        <is>
          <t>June 2024</t>
        </is>
      </c>
      <c r="C26" s="4" t="inlineStr">
        <is>
          <t>Two constituency victories</t>
        </is>
      </c>
      <c r="D26" s="4" t="inlineStr">
        <is>
          <t>Won Rae Bareli and Wayanad; later retained Rae Bareli and relinquished Wayanad.</t>
        </is>
      </c>
      <c r="E26" s="4" t="inlineStr">
        <is>
          <t>Supported</t>
        </is>
      </c>
      <c r="F26" s="5" t="inlineStr">
        <is>
          <t>All citations</t>
        </is>
      </c>
      <c r="G26" s="5" t="inlineStr">
        <is>
          <t>Claims</t>
        </is>
      </c>
      <c r="H26" s="4" t="n"/>
      <c r="I26" s="4" t="inlineStr">
        <is>
          <t>Year or stated range</t>
        </is>
      </c>
      <c r="J26" s="4" t="inlineStr">
        <is>
          <t>Recorded fact</t>
        </is>
      </c>
      <c r="K26" s="4" t="inlineStr">
        <is>
          <t>S006; S043</t>
        </is>
      </c>
      <c r="L26" s="4" t="inlineStr">
        <is>
          <t>Primary record</t>
        </is>
      </c>
      <c r="M26" s="4" t="inlineStr">
        <is>
          <t>P4 | Leader of Opposition (June 2024–September 2026)</t>
        </is>
      </c>
      <c r="N26" s="4" t="inlineStr">
        <is>
          <t>CT-P4-01; CT-P4-02; CT-P4-03</t>
        </is>
      </c>
    </row>
    <row r="27" ht="44" customHeight="1">
      <c r="A27" s="6" t="inlineStr">
        <is>
          <t>T22</t>
        </is>
      </c>
      <c r="B27" s="6" t="inlineStr">
        <is>
          <t>June 2024</t>
        </is>
      </c>
      <c r="C27" s="6" t="inlineStr">
        <is>
          <t>Leader of Opposition</t>
        </is>
      </c>
      <c r="D27" s="6" t="inlineStr">
        <is>
          <t>Parliament records the office as effective from 9 June 2024.</t>
        </is>
      </c>
      <c r="E27" s="6" t="inlineStr">
        <is>
          <t>Supported</t>
        </is>
      </c>
      <c r="F27" s="7" t="inlineStr">
        <is>
          <t>All citations</t>
        </is>
      </c>
      <c r="G27" s="7" t="inlineStr">
        <is>
          <t>Claims</t>
        </is>
      </c>
      <c r="H27" s="12" t="n">
        <v>45452</v>
      </c>
      <c r="I27" s="6" t="inlineStr">
        <is>
          <t>Day</t>
        </is>
      </c>
      <c r="J27" s="6" t="inlineStr">
        <is>
          <t>Recorded fact</t>
        </is>
      </c>
      <c r="K27" s="6" t="inlineStr">
        <is>
          <t>S002</t>
        </is>
      </c>
      <c r="L27" s="6" t="inlineStr">
        <is>
          <t>Primary record</t>
        </is>
      </c>
      <c r="M27" s="6" t="inlineStr">
        <is>
          <t>P4 | Leader of Opposition (June 2024–September 2026)</t>
        </is>
      </c>
      <c r="N27" s="6" t="inlineStr">
        <is>
          <t>CT-P4-01; CT-P4-02; CT-P4-03</t>
        </is>
      </c>
    </row>
    <row r="28" ht="52" customHeight="1">
      <c r="A28" s="4" t="inlineStr">
        <is>
          <t>T23</t>
        </is>
      </c>
      <c r="B28" s="4" t="inlineStr">
        <is>
          <t>April 2025</t>
        </is>
      </c>
      <c r="C28" s="4" t="inlineStr">
        <is>
          <t>Caste-enumeration announcement</t>
        </is>
      </c>
      <c r="D28" s="4" t="inlineStr">
        <is>
          <t>Welcomed the government decision and sought an implementation timetable and funding.</t>
        </is>
      </c>
      <c r="E28" s="4" t="inlineStr">
        <is>
          <t>Supported</t>
        </is>
      </c>
      <c r="F28" s="5" t="inlineStr">
        <is>
          <t>All citations</t>
        </is>
      </c>
      <c r="G28" s="5" t="inlineStr">
        <is>
          <t>Claims</t>
        </is>
      </c>
      <c r="H28" s="11" t="n">
        <v>45777</v>
      </c>
      <c r="I28" s="4" t="inlineStr">
        <is>
          <t>Day</t>
        </is>
      </c>
      <c r="J28" s="4" t="inlineStr">
        <is>
          <t>Attributed position</t>
        </is>
      </c>
      <c r="K28" s="4" t="inlineStr">
        <is>
          <t>S035; S036</t>
        </is>
      </c>
      <c r="L28" s="4" t="inlineStr">
        <is>
          <t>Primary record</t>
        </is>
      </c>
      <c r="M28" s="4" t="inlineStr">
        <is>
          <t>P4 | Leader of Opposition (June 2024–September 2026)</t>
        </is>
      </c>
      <c r="N28" s="4" t="inlineStr">
        <is>
          <t>CT-P4-01; CT-P4-02; CT-P4-03</t>
        </is>
      </c>
    </row>
    <row r="29" ht="66" customHeight="1">
      <c r="A29" s="6" t="inlineStr">
        <is>
          <t>T24</t>
        </is>
      </c>
      <c r="B29" s="6" t="inlineStr">
        <is>
          <t>November 2025</t>
        </is>
      </c>
      <c r="C29" s="6" t="inlineStr">
        <is>
          <t>Bihar setback</t>
        </is>
      </c>
      <c r="D29" s="6" t="inlineStr">
        <is>
          <t>Congress won six seats; press accounts described organisational criticism and Gandhi’s reported acceptance of shared responsibility.</t>
        </is>
      </c>
      <c r="E29" s="6" t="inlineStr">
        <is>
          <t>Supported</t>
        </is>
      </c>
      <c r="F29" s="7" t="inlineStr">
        <is>
          <t>All citations</t>
        </is>
      </c>
      <c r="G29" s="7" t="inlineStr">
        <is>
          <t>Claims</t>
        </is>
      </c>
      <c r="H29" s="6" t="n"/>
      <c r="I29" s="6" t="inlineStr">
        <is>
          <t>Year or stated range</t>
        </is>
      </c>
      <c r="J29" s="6" t="inlineStr">
        <is>
          <t>Attributed position</t>
        </is>
      </c>
      <c r="K29" s="6" t="inlineStr">
        <is>
          <t>S026; S027</t>
        </is>
      </c>
      <c r="L29" s="6" t="inlineStr">
        <is>
          <t>Multiple independent sources</t>
        </is>
      </c>
      <c r="M29" s="6" t="inlineStr">
        <is>
          <t>P4 | Leader of Opposition (June 2024–September 2026)</t>
        </is>
      </c>
      <c r="N29" s="6" t="inlineStr">
        <is>
          <t>CT-P4-01; CT-P4-02; CT-P4-03</t>
        </is>
      </c>
    </row>
    <row r="30" ht="80" customHeight="1">
      <c r="A30" s="4" t="inlineStr">
        <is>
          <t>T25</t>
        </is>
      </c>
      <c r="B30" s="4" t="inlineStr">
        <is>
          <t>September 2026</t>
        </is>
      </c>
      <c r="C30" s="4" t="inlineStr">
        <is>
          <t>Current legal and electoral disputes</t>
        </is>
      </c>
      <c r="D30" s="4" t="inlineStr">
        <is>
          <t>National Herald High Court proceedings and his renewed allegations against the Election Commission remained prominent. The latter are contested claims.</t>
        </is>
      </c>
      <c r="E30" s="4" t="inlineStr">
        <is>
          <t>Supported</t>
        </is>
      </c>
      <c r="F30" s="5" t="inlineStr">
        <is>
          <t>All citations</t>
        </is>
      </c>
      <c r="G30" s="5" t="inlineStr">
        <is>
          <t>Claims</t>
        </is>
      </c>
      <c r="H30" s="4" t="n"/>
      <c r="I30" s="4" t="inlineStr">
        <is>
          <t>Year or stated range</t>
        </is>
      </c>
      <c r="J30" s="4" t="inlineStr">
        <is>
          <t>Attributed position</t>
        </is>
      </c>
      <c r="K30" s="4" t="inlineStr">
        <is>
          <t>S013; S030</t>
        </is>
      </c>
      <c r="L30" s="4" t="inlineStr">
        <is>
          <t>Multiple independent sources</t>
        </is>
      </c>
      <c r="M30" s="4" t="inlineStr">
        <is>
          <t>P4 | Leader of Opposition (June 2024–September 2026)</t>
        </is>
      </c>
      <c r="N30" s="4" t="inlineStr">
        <is>
          <t>CT-P4-01; CT-P4-02; CT-P4-03</t>
        </is>
      </c>
    </row>
  </sheetData>
  <autoFilter ref="A5:N30"/>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s>
  <pageMargins left="0.75" right="0.75" top="1" bottom="1" header="0.5" footer="0.5"/>
  <pageSetup orientation="landscape" paperSize="8" fitToHeight="0" fitToWidth="1"/>
  <tableParts count="1">
    <tablePart xmlns:r="http://schemas.openxmlformats.org/officeDocument/2006/relationships" r:id="rId51"/>
  </tableParts>
</worksheet>
</file>

<file path=xl/worksheets/sheet4.xml><?xml version="1.0" encoding="utf-8"?>
<worksheet xmlns="http://schemas.openxmlformats.org/spreadsheetml/2006/main">
  <sheetPr>
    <outlinePr summaryBelow="1" summaryRight="0"/>
    <pageSetUpPr fitToPage="1"/>
  </sheetPr>
  <dimension ref="A1:AA12"/>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4" customWidth="1" min="3" max="3"/>
    <col width="13" customWidth="1" min="4" max="4"/>
    <col width="18" customWidth="1" min="5" max="5"/>
    <col width="18" customWidth="1" min="6" max="6"/>
    <col width="24" customWidth="1" min="7" max="7"/>
    <col width="16" customWidth="1" min="8" max="8"/>
    <col collapsed="1" width="16" customWidth="1" min="9" max="9"/>
    <col hidden="1" outlineLevel="1" width="44" customWidth="1" min="10" max="10"/>
    <col hidden="1" outlineLevel="1" width="44" customWidth="1" min="11" max="11"/>
    <col hidden="1" outlineLevel="1" width="18" customWidth="1" min="12" max="12"/>
    <col hidden="1" outlineLevel="1" width="18" customWidth="1" min="13" max="13"/>
    <col hidden="1" outlineLevel="1" width="44" customWidth="1" min="14" max="14"/>
    <col hidden="1" outlineLevel="1" width="44" customWidth="1" min="15" max="15"/>
    <col hidden="1" outlineLevel="1" width="44" customWidth="1" min="16" max="16"/>
    <col hidden="1" outlineLevel="1" width="44" customWidth="1" min="17" max="17"/>
    <col hidden="1" outlineLevel="1" width="18" customWidth="1" min="18" max="18"/>
    <col hidden="1" outlineLevel="1" width="58" customWidth="1" min="19" max="19"/>
    <col hidden="1" outlineLevel="1" width="44" customWidth="1" min="20" max="20"/>
    <col hidden="1" outlineLevel="1" width="44" customWidth="1" min="21" max="21"/>
    <col hidden="1" outlineLevel="1" width="24" customWidth="1" min="22" max="22"/>
    <col hidden="1" outlineLevel="1" width="44" customWidth="1" min="23" max="23"/>
    <col hidden="1" outlineLevel="1" width="44" customWidth="1" min="24" max="24"/>
    <col hidden="1" outlineLevel="1" width="44" customWidth="1" min="25" max="25"/>
    <col hidden="1" outlineLevel="1" width="44" customWidth="1" min="26" max="26"/>
    <col hidden="1" outlineLevel="1" width="44" customWidth="1" min="27" max="27"/>
  </cols>
  <sheetData>
    <row r="1" ht="36" customHeight="1">
      <c r="A1" s="1" t="inlineStr">
        <is>
          <t>Rahul Gandhi | Elections</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Election ID</t>
        </is>
      </c>
      <c r="B5" s="3" t="inlineStr">
        <is>
          <t>Year</t>
        </is>
      </c>
      <c r="C5" s="3" t="inlineStr">
        <is>
          <t>Constituency</t>
        </is>
      </c>
      <c r="D5" s="3" t="inlineStr">
        <is>
          <t>Result</t>
        </is>
      </c>
      <c r="E5" s="3" t="inlineStr">
        <is>
          <t>Candidate votes</t>
        </is>
      </c>
      <c r="F5" s="3" t="inlineStr">
        <is>
          <t>Signed vote margin</t>
        </is>
      </c>
      <c r="G5" s="3" t="inlineStr">
        <is>
          <t>Evidence review</t>
        </is>
      </c>
      <c r="H5" s="3" t="inlineStr">
        <is>
          <t>All citations</t>
        </is>
      </c>
      <c r="I5" s="3" t="inlineStr">
        <is>
          <t>Claim details</t>
        </is>
      </c>
      <c r="J5" s="3" t="inlineStr">
        <is>
          <t>Opponent</t>
        </is>
      </c>
      <c r="K5" s="3" t="inlineStr">
        <is>
          <t>Opponent party</t>
        </is>
      </c>
      <c r="L5" s="3" t="inlineStr">
        <is>
          <t>Opponent votes</t>
        </is>
      </c>
      <c r="M5" s="3" t="inlineStr">
        <is>
          <t>Vote share</t>
        </is>
      </c>
      <c r="N5" s="3" t="inlineStr">
        <is>
          <t>Share denominator</t>
        </is>
      </c>
      <c r="O5" s="3" t="inlineStr">
        <is>
          <t>State</t>
        </is>
      </c>
      <c r="P5" s="3" t="inlineStr">
        <is>
          <t>Party</t>
        </is>
      </c>
      <c r="Q5" s="3" t="inlineStr">
        <is>
          <t>House / route</t>
        </is>
      </c>
      <c r="R5" s="3" t="inlineStr">
        <is>
          <t>Candidate status</t>
        </is>
      </c>
      <c r="S5" s="3" t="inlineStr">
        <is>
          <t>Finding</t>
        </is>
      </c>
      <c r="T5" s="3" t="inlineStr">
        <is>
          <t>Margin unit</t>
        </is>
      </c>
      <c r="U5" s="3" t="inlineStr">
        <is>
          <t>Geography / denominator note</t>
        </is>
      </c>
      <c r="V5" s="3" t="inlineStr">
        <is>
          <t>Claim type</t>
        </is>
      </c>
      <c r="W5" s="3" t="inlineStr">
        <is>
          <t>Source IDs</t>
        </is>
      </c>
      <c r="X5" s="3" t="inlineStr">
        <is>
          <t>Career phase</t>
        </is>
      </c>
      <c r="Y5" s="3" t="inlineStr">
        <is>
          <t>Research note</t>
        </is>
      </c>
      <c r="Z5" s="3" t="inlineStr">
        <is>
          <t>Corroboration</t>
        </is>
      </c>
      <c r="AA5" s="3" t="inlineStr">
        <is>
          <t>Context IDs</t>
        </is>
      </c>
    </row>
    <row r="6" ht="66" customHeight="1">
      <c r="A6" s="4" t="inlineStr">
        <is>
          <t>EL01</t>
        </is>
      </c>
      <c r="B6" s="4" t="n">
        <v>2004</v>
      </c>
      <c r="C6" s="4" t="inlineStr">
        <is>
          <t>Amethi</t>
        </is>
      </c>
      <c r="D6" s="4" t="inlineStr">
        <is>
          <t>Won</t>
        </is>
      </c>
      <c r="E6" s="8" t="n">
        <v>390179</v>
      </c>
      <c r="F6" s="8">
        <f>E6-L6</f>
        <v/>
      </c>
      <c r="G6" s="4" t="inlineStr">
        <is>
          <t>Supported</t>
        </is>
      </c>
      <c r="H6" s="5" t="inlineStr">
        <is>
          <t>All citations</t>
        </is>
      </c>
      <c r="I6" s="5" t="inlineStr">
        <is>
          <t>Claims</t>
        </is>
      </c>
      <c r="J6" s="4" t="inlineStr">
        <is>
          <t>Chandra Parkash Mishra Matiyari</t>
        </is>
      </c>
      <c r="K6" s="4" t="inlineStr">
        <is>
          <t>BSP</t>
        </is>
      </c>
      <c r="L6" s="8" t="n">
        <v>99326</v>
      </c>
      <c r="M6" s="13" t="n"/>
      <c r="N6" s="4" t="n"/>
      <c r="O6" s="4" t="inlineStr">
        <is>
          <t>Uttar Pradesh</t>
        </is>
      </c>
      <c r="P6" s="4" t="inlineStr">
        <is>
          <t>INC</t>
        </is>
      </c>
      <c r="Q6" s="4" t="inlineStr">
        <is>
          <t>Lok Sabha / direct</t>
        </is>
      </c>
      <c r="R6" s="4" t="inlineStr">
        <is>
          <t>Contestant</t>
        </is>
      </c>
      <c r="S6" s="4" t="inlineStr">
        <is>
          <t>Won: 390,179 votes against Chandra Parkash Mishra Matiyari (99,326); signed margin +290,853.</t>
        </is>
      </c>
      <c r="T6" s="4" t="inlineStr">
        <is>
          <t>Votes; negative = loss</t>
        </is>
      </c>
      <c r="U6" s="4" t="inlineStr">
        <is>
          <t>Pre-2008 delimitation; numbered 21 in the inspected 2004 table. Vote share not recovered from an inspected primary return.</t>
        </is>
      </c>
      <c r="V6" s="4" t="inlineStr">
        <is>
          <t>Recorded fact</t>
        </is>
      </c>
      <c r="W6" s="4" t="inlineStr">
        <is>
          <t>S009</t>
        </is>
      </c>
      <c r="X6" s="4" t="inlineStr">
        <is>
          <t>P1 | Entry and UPA years (2004–2013)</t>
        </is>
      </c>
      <c r="Y6" s="4" t="inlineStr">
        <is>
          <t>Pre-2008 delimitation; numbered 21 in the inspected 2004 table. Vote share not recovered from an inspected primary return.</t>
        </is>
      </c>
      <c r="Z6" s="4" t="inlineStr">
        <is>
          <t>Single credible source</t>
        </is>
      </c>
      <c r="AA6" s="4" t="inlineStr">
        <is>
          <t>CT-P1-01; CT-P1-02; CT-P1-03</t>
        </is>
      </c>
    </row>
    <row r="7" ht="66" customHeight="1">
      <c r="A7" s="6" t="inlineStr">
        <is>
          <t>EL02</t>
        </is>
      </c>
      <c r="B7" s="6" t="n">
        <v>2009</v>
      </c>
      <c r="C7" s="6" t="inlineStr">
        <is>
          <t>Amethi</t>
        </is>
      </c>
      <c r="D7" s="6" t="inlineStr">
        <is>
          <t>Won</t>
        </is>
      </c>
      <c r="E7" s="9" t="n">
        <v>464195</v>
      </c>
      <c r="F7" s="9">
        <f>E7-L7</f>
        <v/>
      </c>
      <c r="G7" s="6" t="inlineStr">
        <is>
          <t>Supported</t>
        </is>
      </c>
      <c r="H7" s="7" t="inlineStr">
        <is>
          <t>All citations</t>
        </is>
      </c>
      <c r="I7" s="7" t="inlineStr">
        <is>
          <t>Claims</t>
        </is>
      </c>
      <c r="J7" s="6" t="inlineStr">
        <is>
          <t>Asheesh Shukla</t>
        </is>
      </c>
      <c r="K7" s="6" t="inlineStr">
        <is>
          <t>BSP</t>
        </is>
      </c>
      <c r="L7" s="9" t="n">
        <v>93997</v>
      </c>
      <c r="M7" s="14" t="n">
        <v>0.7178</v>
      </c>
      <c r="N7" s="6" t="n"/>
      <c r="O7" s="6" t="inlineStr">
        <is>
          <t>Uttar Pradesh</t>
        </is>
      </c>
      <c r="P7" s="6" t="inlineStr">
        <is>
          <t>INC</t>
        </is>
      </c>
      <c r="Q7" s="6" t="inlineStr">
        <is>
          <t>Lok Sabha / direct</t>
        </is>
      </c>
      <c r="R7" s="6" t="inlineStr">
        <is>
          <t>Contestant</t>
        </is>
      </c>
      <c r="S7" s="6" t="inlineStr">
        <is>
          <t>Won: 464,195 votes against Asheesh Shukla (93,997); signed margin +370,198.</t>
        </is>
      </c>
      <c r="T7" s="6" t="inlineStr">
        <is>
          <t>Votes; negative = loss</t>
        </is>
      </c>
      <c r="U7" s="6" t="inlineStr">
        <is>
          <t>Post-delimitation seat numbered 37. Share is the source-reported percentage; denominator not independently reconciled.</t>
        </is>
      </c>
      <c r="V7" s="6" t="inlineStr">
        <is>
          <t>Recorded fact</t>
        </is>
      </c>
      <c r="W7" s="6" t="inlineStr">
        <is>
          <t>S008</t>
        </is>
      </c>
      <c r="X7" s="6" t="inlineStr">
        <is>
          <t>P1 | Entry and UPA years (2004–2013)</t>
        </is>
      </c>
      <c r="Y7" s="6" t="inlineStr">
        <is>
          <t>Post-delimitation seat numbered 37. Share is the source-reported percentage; denominator not independently reconciled.</t>
        </is>
      </c>
      <c r="Z7" s="6" t="inlineStr">
        <is>
          <t>Single credible source</t>
        </is>
      </c>
      <c r="AA7" s="6" t="inlineStr">
        <is>
          <t>CT-P1-01; CT-P1-02; CT-P1-03</t>
        </is>
      </c>
    </row>
    <row r="8" ht="66" customHeight="1">
      <c r="A8" s="4" t="inlineStr">
        <is>
          <t>EL03</t>
        </is>
      </c>
      <c r="B8" s="4" t="n">
        <v>2014</v>
      </c>
      <c r="C8" s="4" t="inlineStr">
        <is>
          <t>Amethi</t>
        </is>
      </c>
      <c r="D8" s="4" t="inlineStr">
        <is>
          <t>Won</t>
        </is>
      </c>
      <c r="E8" s="8" t="n">
        <v>408651</v>
      </c>
      <c r="F8" s="8">
        <f>E8-L8</f>
        <v/>
      </c>
      <c r="G8" s="4" t="inlineStr">
        <is>
          <t>Supported</t>
        </is>
      </c>
      <c r="H8" s="5" t="inlineStr">
        <is>
          <t>All citations</t>
        </is>
      </c>
      <c r="I8" s="5" t="inlineStr">
        <is>
          <t>Claims</t>
        </is>
      </c>
      <c r="J8" s="4" t="inlineStr">
        <is>
          <t>Smriti Irani</t>
        </is>
      </c>
      <c r="K8" s="4" t="inlineStr">
        <is>
          <t>BJP</t>
        </is>
      </c>
      <c r="L8" s="8" t="n">
        <v>300748</v>
      </c>
      <c r="M8" s="13" t="n"/>
      <c r="N8" s="4" t="n"/>
      <c r="O8" s="4" t="inlineStr">
        <is>
          <t>Uttar Pradesh</t>
        </is>
      </c>
      <c r="P8" s="4" t="inlineStr">
        <is>
          <t>INC</t>
        </is>
      </c>
      <c r="Q8" s="4" t="inlineStr">
        <is>
          <t>Lok Sabha / direct</t>
        </is>
      </c>
      <c r="R8" s="4" t="inlineStr">
        <is>
          <t>Contestant</t>
        </is>
      </c>
      <c r="S8" s="4" t="inlineStr">
        <is>
          <t>Won: 408,651 votes against Smriti Irani (300,748); signed margin +107,903.</t>
        </is>
      </c>
      <c r="T8" s="4" t="inlineStr">
        <is>
          <t>Votes; negative = loss</t>
        </is>
      </c>
      <c r="U8" s="4" t="inlineStr">
        <is>
          <t>Vote totals agree within source. Its two tables give 46.71% and 46.72%; share is left blank pending primary return.</t>
        </is>
      </c>
      <c r="V8" s="4" t="inlineStr">
        <is>
          <t>Recorded fact</t>
        </is>
      </c>
      <c r="W8" s="4" t="inlineStr">
        <is>
          <t>S008</t>
        </is>
      </c>
      <c r="X8" s="4" t="inlineStr">
        <is>
          <t>P2 | Opposition and party presidency (2014–2019 election)</t>
        </is>
      </c>
      <c r="Y8" s="4" t="inlineStr">
        <is>
          <t>Vote totals agree within source. Its two tables give 46.71% and 46.72%; share is left blank pending primary return.</t>
        </is>
      </c>
      <c r="Z8" s="4" t="inlineStr">
        <is>
          <t>Single credible source</t>
        </is>
      </c>
      <c r="AA8" s="4" t="inlineStr">
        <is>
          <t>CT-P2-01; CT-P2-02; CT-P2-03</t>
        </is>
      </c>
    </row>
    <row r="9" ht="52" customHeight="1">
      <c r="A9" s="6" t="inlineStr">
        <is>
          <t>EL04</t>
        </is>
      </c>
      <c r="B9" s="6" t="n">
        <v>2019</v>
      </c>
      <c r="C9" s="6" t="inlineStr">
        <is>
          <t>Amethi</t>
        </is>
      </c>
      <c r="D9" s="6" t="inlineStr">
        <is>
          <t>Lost</t>
        </is>
      </c>
      <c r="E9" s="9" t="n">
        <v>413394</v>
      </c>
      <c r="F9" s="9">
        <f>E9-L9</f>
        <v/>
      </c>
      <c r="G9" s="6" t="inlineStr">
        <is>
          <t>Supported</t>
        </is>
      </c>
      <c r="H9" s="7" t="inlineStr">
        <is>
          <t>All citations</t>
        </is>
      </c>
      <c r="I9" s="7" t="inlineStr">
        <is>
          <t>Claims</t>
        </is>
      </c>
      <c r="J9" s="6" t="inlineStr">
        <is>
          <t>Smriti Irani</t>
        </is>
      </c>
      <c r="K9" s="6" t="inlineStr">
        <is>
          <t>BJP</t>
        </is>
      </c>
      <c r="L9" s="9" t="n">
        <v>468514</v>
      </c>
      <c r="M9" s="14" t="n">
        <v>0.4386361972427272</v>
      </c>
      <c r="N9" s="9" t="n">
        <v>942453</v>
      </c>
      <c r="O9" s="6" t="inlineStr">
        <is>
          <t>Uttar Pradesh</t>
        </is>
      </c>
      <c r="P9" s="6" t="inlineStr">
        <is>
          <t>INC</t>
        </is>
      </c>
      <c r="Q9" s="6" t="inlineStr">
        <is>
          <t>Lok Sabha / direct</t>
        </is>
      </c>
      <c r="R9" s="6" t="inlineStr">
        <is>
          <t>Contestant</t>
        </is>
      </c>
      <c r="S9" s="6" t="inlineStr">
        <is>
          <t>Lost: 413,394 votes against Smriti Irani (468,514); signed margin -55,120.</t>
        </is>
      </c>
      <c r="T9" s="6" t="inlineStr">
        <is>
          <t>Votes; negative = loss</t>
        </is>
      </c>
      <c r="U9" s="6" t="inlineStr">
        <is>
          <t>Share computed from ADR total votes. This personal defeat is separate from Congress’s national result.</t>
        </is>
      </c>
      <c r="V9" s="6" t="inlineStr">
        <is>
          <t>Recorded fact</t>
        </is>
      </c>
      <c r="W9" s="6" t="inlineStr">
        <is>
          <t>S007</t>
        </is>
      </c>
      <c r="X9" s="6" t="inlineStr">
        <is>
          <t>P2 | Opposition and party presidency (2014–2019 election)</t>
        </is>
      </c>
      <c r="Y9" s="6" t="inlineStr">
        <is>
          <t>Share computed from ADR total votes. This personal defeat is separate from Congress’s national result.</t>
        </is>
      </c>
      <c r="Z9" s="6" t="inlineStr">
        <is>
          <t>Single credible source</t>
        </is>
      </c>
      <c r="AA9" s="6" t="inlineStr">
        <is>
          <t>CT-P2-01; CT-P2-02; CT-P2-03</t>
        </is>
      </c>
    </row>
    <row r="10" ht="52" customHeight="1">
      <c r="A10" s="4" t="inlineStr">
        <is>
          <t>EL05</t>
        </is>
      </c>
      <c r="B10" s="4" t="n">
        <v>2019</v>
      </c>
      <c r="C10" s="4" t="inlineStr">
        <is>
          <t>Wayanad</t>
        </is>
      </c>
      <c r="D10" s="4" t="inlineStr">
        <is>
          <t>Won</t>
        </is>
      </c>
      <c r="E10" s="8" t="n">
        <v>706367</v>
      </c>
      <c r="F10" s="8">
        <f>E10-L10</f>
        <v/>
      </c>
      <c r="G10" s="4" t="inlineStr">
        <is>
          <t>Supported</t>
        </is>
      </c>
      <c r="H10" s="5" t="inlineStr">
        <is>
          <t>All citations</t>
        </is>
      </c>
      <c r="I10" s="5" t="inlineStr">
        <is>
          <t>Claims</t>
        </is>
      </c>
      <c r="J10" s="4" t="inlineStr">
        <is>
          <t>P.P. Suneer</t>
        </is>
      </c>
      <c r="K10" s="4" t="inlineStr">
        <is>
          <t>CPI</t>
        </is>
      </c>
      <c r="L10" s="8" t="n">
        <v>274597</v>
      </c>
      <c r="M10" s="13" t="n">
        <v>0.6467000000000001</v>
      </c>
      <c r="N10" s="8" t="n">
        <v>1092197</v>
      </c>
      <c r="O10" s="4" t="inlineStr">
        <is>
          <t>Kerala</t>
        </is>
      </c>
      <c r="P10" s="4" t="inlineStr">
        <is>
          <t>INC</t>
        </is>
      </c>
      <c r="Q10" s="4" t="inlineStr">
        <is>
          <t>Lok Sabha / direct</t>
        </is>
      </c>
      <c r="R10" s="4" t="inlineStr">
        <is>
          <t>Contestant</t>
        </is>
      </c>
      <c r="S10" s="4" t="inlineStr">
        <is>
          <t>Won: 706,367 votes against P.P. Suneer (274,597); signed margin +431,770.</t>
        </is>
      </c>
      <c r="T10" s="4" t="inlineStr">
        <is>
          <t>Votes; negative = loss</t>
        </is>
      </c>
      <c r="U10" s="4" t="inlineStr">
        <is>
          <t>CEO Kerala reports 64.67%; ADR rounds the winner share to 64.70%. Both give a 431770 margin.</t>
        </is>
      </c>
      <c r="V10" s="4" t="inlineStr">
        <is>
          <t>Recorded fact</t>
        </is>
      </c>
      <c r="W10" s="4" t="inlineStr">
        <is>
          <t>S007; S041</t>
        </is>
      </c>
      <c r="X10" s="4" t="inlineStr">
        <is>
          <t>P2 | Opposition and party presidency (2014–2019 election)</t>
        </is>
      </c>
      <c r="Y10" s="4" t="inlineStr">
        <is>
          <t>CEO Kerala reports 64.67%; ADR rounds the winner share to 64.70%. Both give a 431770 margin.</t>
        </is>
      </c>
      <c r="Z10" s="4" t="inlineStr">
        <is>
          <t>Primary record</t>
        </is>
      </c>
      <c r="AA10" s="4" t="inlineStr">
        <is>
          <t>CT-P2-01; CT-P2-02; CT-P2-03</t>
        </is>
      </c>
    </row>
    <row r="11" ht="52" customHeight="1">
      <c r="A11" s="6" t="inlineStr">
        <is>
          <t>EL06</t>
        </is>
      </c>
      <c r="B11" s="6" t="n">
        <v>2024</v>
      </c>
      <c r="C11" s="6" t="inlineStr">
        <is>
          <t>Rae Bareli</t>
        </is>
      </c>
      <c r="D11" s="6" t="inlineStr">
        <is>
          <t>Won</t>
        </is>
      </c>
      <c r="E11" s="9" t="n">
        <v>687649</v>
      </c>
      <c r="F11" s="9">
        <f>E11-L11</f>
        <v/>
      </c>
      <c r="G11" s="6" t="inlineStr">
        <is>
          <t>Supported</t>
        </is>
      </c>
      <c r="H11" s="7" t="inlineStr">
        <is>
          <t>All citations</t>
        </is>
      </c>
      <c r="I11" s="7" t="inlineStr">
        <is>
          <t>Claims</t>
        </is>
      </c>
      <c r="J11" s="6" t="inlineStr">
        <is>
          <t>Dinesh Pratap Singh</t>
        </is>
      </c>
      <c r="K11" s="6" t="inlineStr">
        <is>
          <t>BJP</t>
        </is>
      </c>
      <c r="L11" s="9" t="n">
        <v>297619</v>
      </c>
      <c r="M11" s="14" t="n">
        <v>0.6612321157439148</v>
      </c>
      <c r="N11" s="9" t="n">
        <v>1039951</v>
      </c>
      <c r="O11" s="6" t="inlineStr">
        <is>
          <t>Uttar Pradesh</t>
        </is>
      </c>
      <c r="P11" s="6" t="inlineStr">
        <is>
          <t>INC</t>
        </is>
      </c>
      <c r="Q11" s="6" t="inlineStr">
        <is>
          <t>Lok Sabha / direct</t>
        </is>
      </c>
      <c r="R11" s="6" t="inlineStr">
        <is>
          <t>Contestant</t>
        </is>
      </c>
      <c r="S11" s="6" t="inlineStr">
        <is>
          <t>Won: 687,649 votes against Dinesh Pratap Singh (297,619); signed margin +390,030.</t>
        </is>
      </c>
      <c r="T11" s="6" t="inlineStr">
        <is>
          <t>Votes; negative = loss</t>
        </is>
      </c>
      <c r="U11" s="6" t="inlineStr">
        <is>
          <t>Share uses final ECI total votes polled, 1039951; 66.12% rounded. Retained this seat.</t>
        </is>
      </c>
      <c r="V11" s="6" t="inlineStr">
        <is>
          <t>Recorded fact</t>
        </is>
      </c>
      <c r="W11" s="6" t="inlineStr">
        <is>
          <t>S006</t>
        </is>
      </c>
      <c r="X11" s="6" t="inlineStr">
        <is>
          <t>P4 | Leader of Opposition (June 2024–September 2026)</t>
        </is>
      </c>
      <c r="Y11" s="6" t="inlineStr">
        <is>
          <t>Share uses final ECI total votes polled, 1039951; 66.12% rounded. Retained this seat.</t>
        </is>
      </c>
      <c r="Z11" s="6" t="inlineStr">
        <is>
          <t>Primary record</t>
        </is>
      </c>
      <c r="AA11" s="6" t="inlineStr">
        <is>
          <t>CT-P4-01; CT-P4-02; CT-P4-03</t>
        </is>
      </c>
    </row>
    <row r="12" ht="66" customHeight="1">
      <c r="A12" s="4" t="inlineStr">
        <is>
          <t>EL07</t>
        </is>
      </c>
      <c r="B12" s="4" t="n">
        <v>2024</v>
      </c>
      <c r="C12" s="4" t="inlineStr">
        <is>
          <t>Wayanad</t>
        </is>
      </c>
      <c r="D12" s="4" t="inlineStr">
        <is>
          <t>Won</t>
        </is>
      </c>
      <c r="E12" s="8" t="n">
        <v>647445</v>
      </c>
      <c r="F12" s="8">
        <f>E12-L12</f>
        <v/>
      </c>
      <c r="G12" s="4" t="inlineStr">
        <is>
          <t>Supported</t>
        </is>
      </c>
      <c r="H12" s="5" t="inlineStr">
        <is>
          <t>All citations</t>
        </is>
      </c>
      <c r="I12" s="5" t="inlineStr">
        <is>
          <t>Claims</t>
        </is>
      </c>
      <c r="J12" s="4" t="inlineStr">
        <is>
          <t>Annie Raja</t>
        </is>
      </c>
      <c r="K12" s="4" t="inlineStr">
        <is>
          <t>CPI</t>
        </is>
      </c>
      <c r="L12" s="8" t="n">
        <v>283023</v>
      </c>
      <c r="M12" s="13" t="n">
        <v>0.5959221654935897</v>
      </c>
      <c r="N12" s="8" t="n">
        <v>1086459</v>
      </c>
      <c r="O12" s="4" t="inlineStr">
        <is>
          <t>Kerala</t>
        </is>
      </c>
      <c r="P12" s="4" t="inlineStr">
        <is>
          <t>INC</t>
        </is>
      </c>
      <c r="Q12" s="4" t="inlineStr">
        <is>
          <t>Lok Sabha / direct</t>
        </is>
      </c>
      <c r="R12" s="4" t="inlineStr">
        <is>
          <t>Contestant</t>
        </is>
      </c>
      <c r="S12" s="4" t="inlineStr">
        <is>
          <t>Won: 647,445 votes against Annie Raja (283,023); signed margin +364,422.</t>
        </is>
      </c>
      <c r="T12" s="4" t="inlineStr">
        <is>
          <t>Votes; negative = loss</t>
        </is>
      </c>
      <c r="U12" s="4" t="inlineStr">
        <is>
          <t>Share uses ECI total polled, 1086459: 59.59%. Election-night 59.69% uses 1084653 counted votes including NOTA. Relinquished effective 18 June 2024.</t>
        </is>
      </c>
      <c r="V12" s="4" t="inlineStr">
        <is>
          <t>Recorded fact</t>
        </is>
      </c>
      <c r="W12" s="4" t="inlineStr">
        <is>
          <t>S006; S043</t>
        </is>
      </c>
      <c r="X12" s="4" t="inlineStr">
        <is>
          <t>P4 | Leader of Opposition (June 2024–September 2026)</t>
        </is>
      </c>
      <c r="Y12" s="4" t="inlineStr">
        <is>
          <t>Share uses ECI total polled, 1086459: 59.59%. Election-night 59.69% uses 1084653 counted votes including NOTA. Relinquished effective 18 June 2024.</t>
        </is>
      </c>
      <c r="Z12" s="4" t="inlineStr">
        <is>
          <t>Primary record</t>
        </is>
      </c>
      <c r="AA12" s="4" t="inlineStr">
        <is>
          <t>CT-P4-01; CT-P4-02; CT-P4-03</t>
        </is>
      </c>
    </row>
  </sheetData>
  <autoFilter ref="A5:AA12"/>
  <mergeCells count="3">
    <mergeCell ref="A1:I1"/>
    <mergeCell ref="A3:I3"/>
    <mergeCell ref="A2:I2"/>
  </mergeCells>
  <hyperlinks>
    <hyperlink xmlns:r="http://schemas.openxmlformats.org/officeDocument/2006/relationships" ref="H6" r:id="rId1"/>
    <hyperlink xmlns:r="http://schemas.openxmlformats.org/officeDocument/2006/relationships" ref="I6" r:id="rId2"/>
    <hyperlink xmlns:r="http://schemas.openxmlformats.org/officeDocument/2006/relationships" ref="H7" r:id="rId3"/>
    <hyperlink xmlns:r="http://schemas.openxmlformats.org/officeDocument/2006/relationships" ref="I7" r:id="rId4"/>
    <hyperlink xmlns:r="http://schemas.openxmlformats.org/officeDocument/2006/relationships" ref="H8" r:id="rId5"/>
    <hyperlink xmlns:r="http://schemas.openxmlformats.org/officeDocument/2006/relationships" ref="I8" r:id="rId6"/>
    <hyperlink xmlns:r="http://schemas.openxmlformats.org/officeDocument/2006/relationships" ref="H9" r:id="rId7"/>
    <hyperlink xmlns:r="http://schemas.openxmlformats.org/officeDocument/2006/relationships" ref="I9" r:id="rId8"/>
    <hyperlink xmlns:r="http://schemas.openxmlformats.org/officeDocument/2006/relationships" ref="H10" r:id="rId9"/>
    <hyperlink xmlns:r="http://schemas.openxmlformats.org/officeDocument/2006/relationships" ref="I10" r:id="rId10"/>
    <hyperlink xmlns:r="http://schemas.openxmlformats.org/officeDocument/2006/relationships" ref="H11" r:id="rId11"/>
    <hyperlink xmlns:r="http://schemas.openxmlformats.org/officeDocument/2006/relationships" ref="I11" r:id="rId12"/>
    <hyperlink xmlns:r="http://schemas.openxmlformats.org/officeDocument/2006/relationships" ref="H12" r:id="rId13"/>
    <hyperlink xmlns:r="http://schemas.openxmlformats.org/officeDocument/2006/relationships" ref="I12" r:id="rId14"/>
  </hyperlinks>
  <pageMargins left="0.75" right="0.75" top="1" bottom="1" header="0.5" footer="0.5"/>
  <pageSetup orientation="landscape" paperSize="8" fitToHeight="0" fitToWidth="1"/>
  <tableParts count="1">
    <tablePart xmlns:r="http://schemas.openxmlformats.org/officeDocument/2006/relationships" r:id="rId15"/>
  </tableParts>
</worksheet>
</file>

<file path=xl/worksheets/sheet5.xml><?xml version="1.0" encoding="utf-8"?>
<worksheet xmlns="http://schemas.openxmlformats.org/spreadsheetml/2006/main">
  <sheetPr>
    <outlinePr summaryBelow="1" summaryRight="0"/>
    <pageSetUpPr fitToPage="1"/>
  </sheetPr>
  <dimension ref="A1:P1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58"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44" customWidth="1" min="10" max="10"/>
    <col hidden="1" outlineLevel="1" width="18" customWidth="1" min="11" max="11"/>
    <col hidden="1" outlineLevel="1" width="24" customWidth="1" min="12" max="12"/>
    <col hidden="1" outlineLevel="1" width="44" customWidth="1" min="13" max="13"/>
    <col hidden="1" outlineLevel="1" width="44" customWidth="1" min="14" max="14"/>
    <col hidden="1" outlineLevel="1" width="44" customWidth="1" min="15" max="15"/>
    <col hidden="1" outlineLevel="1" width="44" customWidth="1" min="16" max="16"/>
  </cols>
  <sheetData>
    <row r="1" ht="36" customHeight="1">
      <c r="A1" s="1" t="inlineStr">
        <is>
          <t>Rahul Gandhi | Offices &amp; Party</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Position ID</t>
        </is>
      </c>
      <c r="B5" s="3" t="inlineStr">
        <is>
          <t>Position / institution</t>
        </is>
      </c>
      <c r="C5" s="3" t="inlineStr">
        <is>
          <t>Period</t>
        </is>
      </c>
      <c r="D5" s="3" t="inlineStr">
        <is>
          <t>Finding</t>
        </is>
      </c>
      <c r="E5" s="3" t="inlineStr">
        <is>
          <t>Evidence review</t>
        </is>
      </c>
      <c r="F5" s="3" t="inlineStr">
        <is>
          <t>All citations</t>
        </is>
      </c>
      <c r="G5" s="3" t="inlineStr">
        <is>
          <t>Claim details</t>
        </is>
      </c>
      <c r="H5" s="3" t="inlineStr">
        <is>
          <t>Start date</t>
        </is>
      </c>
      <c r="I5" s="3" t="inlineStr">
        <is>
          <t>End date</t>
        </is>
      </c>
      <c r="J5" s="3" t="inlineStr">
        <is>
          <t>Selection / exit</t>
        </is>
      </c>
      <c r="K5" s="3" t="inlineStr">
        <is>
          <t>Date note</t>
        </is>
      </c>
      <c r="L5" s="3" t="inlineStr">
        <is>
          <t>Claim type</t>
        </is>
      </c>
      <c r="M5" s="3" t="inlineStr">
        <is>
          <t>Source IDs</t>
        </is>
      </c>
      <c r="N5" s="3" t="inlineStr">
        <is>
          <t>Career phase</t>
        </is>
      </c>
      <c r="O5" s="3" t="inlineStr">
        <is>
          <t>Corroboration</t>
        </is>
      </c>
      <c r="P5" s="3" t="inlineStr">
        <is>
          <t>Context IDs</t>
        </is>
      </c>
    </row>
    <row r="6" ht="94" customHeight="1">
      <c r="A6" s="4" t="inlineStr">
        <is>
          <t>OF01</t>
        </is>
      </c>
      <c r="B6" s="4" t="inlineStr">
        <is>
          <t>MP, 14th Lok Sabha / Amethi</t>
        </is>
      </c>
      <c r="C6" s="4" t="inlineStr">
        <is>
          <t>2004–2009</t>
        </is>
      </c>
      <c r="D6" s="4" t="inlineStr">
        <is>
          <t>First elected term for INC; constituency inherited as a party stronghold, with candidature validated by election.</t>
        </is>
      </c>
      <c r="E6" s="4" t="inlineStr">
        <is>
          <t>Supported</t>
        </is>
      </c>
      <c r="F6" s="5" t="inlineStr">
        <is>
          <t>All citations</t>
        </is>
      </c>
      <c r="G6" s="5" t="inlineStr">
        <is>
          <t>Claims</t>
        </is>
      </c>
      <c r="H6" s="4" t="n"/>
      <c r="I6" s="4" t="n"/>
      <c r="J6" s="4" t="inlineStr">
        <is>
          <t>Elected</t>
        </is>
      </c>
      <c r="K6" s="4" t="inlineStr">
        <is>
          <t>Blank endpoints mean ongoing or insufficient precision; read Period and Finding.</t>
        </is>
      </c>
      <c r="L6" s="4" t="inlineStr">
        <is>
          <t>Recorded fact</t>
        </is>
      </c>
      <c r="M6" s="4" t="inlineStr">
        <is>
          <t>S004; S009</t>
        </is>
      </c>
      <c r="N6" s="4" t="inlineStr">
        <is>
          <t>P1 | Entry and UPA years (2004–2013)</t>
        </is>
      </c>
      <c r="O6" s="4" t="inlineStr">
        <is>
          <t>Multiple independent sources</t>
        </is>
      </c>
      <c r="P6" s="4" t="inlineStr">
        <is>
          <t>CT-P1-01; CT-P1-02; CT-P1-03</t>
        </is>
      </c>
    </row>
    <row r="7" ht="94" customHeight="1">
      <c r="A7" s="6" t="inlineStr">
        <is>
          <t>OF02</t>
        </is>
      </c>
      <c r="B7" s="6" t="inlineStr">
        <is>
          <t>MP, 15th Lok Sabha / Amethi</t>
        </is>
      </c>
      <c r="C7" s="6" t="inlineStr">
        <is>
          <t>2009–2014</t>
        </is>
      </c>
      <c r="D7" s="6" t="inlineStr">
        <is>
          <t>Second elected term, following the 2009 Amethi victory.</t>
        </is>
      </c>
      <c r="E7" s="6" t="inlineStr">
        <is>
          <t>Supported</t>
        </is>
      </c>
      <c r="F7" s="7" t="inlineStr">
        <is>
          <t>All citations</t>
        </is>
      </c>
      <c r="G7" s="7" t="inlineStr">
        <is>
          <t>Claims</t>
        </is>
      </c>
      <c r="H7" s="6" t="n"/>
      <c r="I7" s="6" t="n"/>
      <c r="J7" s="6" t="inlineStr">
        <is>
          <t>Elected</t>
        </is>
      </c>
      <c r="K7" s="6" t="inlineStr">
        <is>
          <t>Blank endpoints mean ongoing or insufficient precision; read Period and Finding.</t>
        </is>
      </c>
      <c r="L7" s="6" t="inlineStr">
        <is>
          <t>Recorded fact</t>
        </is>
      </c>
      <c r="M7" s="6" t="inlineStr">
        <is>
          <t>S004; S008</t>
        </is>
      </c>
      <c r="N7" s="6" t="inlineStr">
        <is>
          <t>P1 | Entry and UPA years (2004–2013)</t>
        </is>
      </c>
      <c r="O7" s="6" t="inlineStr">
        <is>
          <t>Multiple independent sources</t>
        </is>
      </c>
      <c r="P7" s="6" t="inlineStr">
        <is>
          <t>CT-P1-01; CT-P1-02; CT-P1-03</t>
        </is>
      </c>
    </row>
    <row r="8" ht="94" customHeight="1">
      <c r="A8" s="4" t="inlineStr">
        <is>
          <t>OF03</t>
        </is>
      </c>
      <c r="B8" s="4" t="inlineStr">
        <is>
          <t>MP, 16th Lok Sabha / Amethi</t>
        </is>
      </c>
      <c r="C8" s="4" t="inlineStr">
        <is>
          <t>2014–2019</t>
        </is>
      </c>
      <c r="D8" s="4" t="inlineStr">
        <is>
          <t>Third elected term; lost the seat in the 2019 election.</t>
        </is>
      </c>
      <c r="E8" s="4" t="inlineStr">
        <is>
          <t>Supported</t>
        </is>
      </c>
      <c r="F8" s="5" t="inlineStr">
        <is>
          <t>All citations</t>
        </is>
      </c>
      <c r="G8" s="5" t="inlineStr">
        <is>
          <t>Claims</t>
        </is>
      </c>
      <c r="H8" s="4" t="n"/>
      <c r="I8" s="4" t="n"/>
      <c r="J8" s="4" t="inlineStr">
        <is>
          <t>Elected</t>
        </is>
      </c>
      <c r="K8" s="4" t="inlineStr">
        <is>
          <t>Blank endpoints mean ongoing or insufficient precision; read Period and Finding.</t>
        </is>
      </c>
      <c r="L8" s="4" t="inlineStr">
        <is>
          <t>Recorded fact</t>
        </is>
      </c>
      <c r="M8" s="4" t="inlineStr">
        <is>
          <t>S004; S007; S008</t>
        </is>
      </c>
      <c r="N8" s="4" t="inlineStr">
        <is>
          <t>P2 | Opposition and party presidency (2014–2019 election)</t>
        </is>
      </c>
      <c r="O8" s="4" t="inlineStr">
        <is>
          <t>Multiple independent sources</t>
        </is>
      </c>
      <c r="P8" s="4" t="inlineStr">
        <is>
          <t>CT-P2-01; CT-P2-02; CT-P2-03</t>
        </is>
      </c>
    </row>
    <row r="9" ht="94" customHeight="1">
      <c r="A9" s="6" t="inlineStr">
        <is>
          <t>OF04</t>
        </is>
      </c>
      <c r="B9" s="6" t="inlineStr">
        <is>
          <t>MP, 17th Lok Sabha / Wayanad</t>
        </is>
      </c>
      <c r="C9" s="6" t="inlineStr">
        <is>
          <t>May 2019–March 2023</t>
        </is>
      </c>
      <c r="D9" s="6" t="inlineStr">
        <is>
          <t>Elected from Wayanad in 2019; disqualified effective 23 March 2023 after the defamation conviction.</t>
        </is>
      </c>
      <c r="E9" s="6" t="inlineStr">
        <is>
          <t>Supported</t>
        </is>
      </c>
      <c r="F9" s="7" t="inlineStr">
        <is>
          <t>All citations</t>
        </is>
      </c>
      <c r="G9" s="7" t="inlineStr">
        <is>
          <t>Claims</t>
        </is>
      </c>
      <c r="H9" s="12" t="n">
        <v>43608</v>
      </c>
      <c r="I9" s="12" t="n">
        <v>45008</v>
      </c>
      <c r="J9" s="6" t="inlineStr">
        <is>
          <t>Elected; interrupted</t>
        </is>
      </c>
      <c r="K9" s="6" t="inlineStr">
        <is>
          <t>Blank endpoints mean ongoing or insufficient precision; read Period and Finding.</t>
        </is>
      </c>
      <c r="L9" s="6" t="inlineStr">
        <is>
          <t>Recorded fact</t>
        </is>
      </c>
      <c r="M9" s="6" t="inlineStr">
        <is>
          <t>S042; S011</t>
        </is>
      </c>
      <c r="N9" s="6" t="inlineStr">
        <is>
          <t>P3 | Resignation, yatras and recovery (2019–2024 election)</t>
        </is>
      </c>
      <c r="O9" s="6" t="inlineStr">
        <is>
          <t>Multiple independent sources</t>
        </is>
      </c>
      <c r="P9" s="6" t="inlineStr">
        <is>
          <t>CT-P3-01; CT-P3-02; CT-P3-03</t>
        </is>
      </c>
    </row>
    <row r="10" ht="94" customHeight="1">
      <c r="A10" s="4" t="inlineStr">
        <is>
          <t>OF05</t>
        </is>
      </c>
      <c r="B10" s="4" t="inlineStr">
        <is>
          <t>MP, 17th Lok Sabha / Wayanad, restored</t>
        </is>
      </c>
      <c r="C10" s="4" t="inlineStr">
        <is>
          <t>7 August 2023–5 June 2024</t>
        </is>
      </c>
      <c r="D10" s="4" t="inlineStr">
        <is>
          <t>Membership restored after the conviction stay; PRS records term ending 5 June 2024.</t>
        </is>
      </c>
      <c r="E10" s="4" t="inlineStr">
        <is>
          <t>Supported</t>
        </is>
      </c>
      <c r="F10" s="5" t="inlineStr">
        <is>
          <t>All citations</t>
        </is>
      </c>
      <c r="G10" s="5" t="inlineStr">
        <is>
          <t>Claims</t>
        </is>
      </c>
      <c r="H10" s="11" t="n">
        <v>45145</v>
      </c>
      <c r="I10" s="11" t="n">
        <v>45448</v>
      </c>
      <c r="J10" s="4" t="inlineStr">
        <is>
          <t>Reinstated</t>
        </is>
      </c>
      <c r="K10" s="4" t="inlineStr">
        <is>
          <t>Blank endpoints mean ongoing or insufficient precision; read Period and Finding.</t>
        </is>
      </c>
      <c r="L10" s="4" t="inlineStr">
        <is>
          <t>Recorded fact</t>
        </is>
      </c>
      <c r="M10" s="4" t="inlineStr">
        <is>
          <t>S011; S042</t>
        </is>
      </c>
      <c r="N10" s="4" t="inlineStr">
        <is>
          <t>P3 | Resignation, yatras and recovery (2019–2024 election)</t>
        </is>
      </c>
      <c r="O10" s="4" t="inlineStr">
        <is>
          <t>Multiple independent sources</t>
        </is>
      </c>
      <c r="P10" s="4" t="inlineStr">
        <is>
          <t>CT-P3-01; CT-P3-02; CT-P3-03</t>
        </is>
      </c>
    </row>
    <row r="11" ht="94" customHeight="1">
      <c r="A11" s="6" t="inlineStr">
        <is>
          <t>OF06</t>
        </is>
      </c>
      <c r="B11" s="6" t="inlineStr">
        <is>
          <t>Member-elect / Wayanad, 18th Lok Sabha</t>
        </is>
      </c>
      <c r="C11" s="6" t="inlineStr">
        <is>
          <t>June 2024–18 June 2024</t>
        </is>
      </c>
      <c r="D11" s="6" t="inlineStr">
        <is>
          <t>Won again but gave up Wayanad effective 18 June before the new House’s oath-taking sessions.</t>
        </is>
      </c>
      <c r="E11" s="6" t="inlineStr">
        <is>
          <t>Supported</t>
        </is>
      </c>
      <c r="F11" s="7" t="inlineStr">
        <is>
          <t>All citations</t>
        </is>
      </c>
      <c r="G11" s="7" t="inlineStr">
        <is>
          <t>Claims</t>
        </is>
      </c>
      <c r="H11" s="6" t="n"/>
      <c r="I11" s="12" t="n">
        <v>45461</v>
      </c>
      <c r="J11" s="6" t="inlineStr">
        <is>
          <t>Election followed by resignation</t>
        </is>
      </c>
      <c r="K11" s="6" t="inlineStr">
        <is>
          <t>Blank endpoints mean ongoing or insufficient precision; read Period and Finding.</t>
        </is>
      </c>
      <c r="L11" s="6" t="inlineStr">
        <is>
          <t>Recorded fact</t>
        </is>
      </c>
      <c r="M11" s="6" t="inlineStr">
        <is>
          <t>S006; S043</t>
        </is>
      </c>
      <c r="N11" s="6" t="inlineStr">
        <is>
          <t>P4 | Leader of Opposition (June 2024–September 2026)</t>
        </is>
      </c>
      <c r="O11" s="6" t="inlineStr">
        <is>
          <t>Primary record</t>
        </is>
      </c>
      <c r="P11" s="6" t="inlineStr">
        <is>
          <t>CT-P4-01; CT-P4-02; CT-P4-03</t>
        </is>
      </c>
    </row>
    <row r="12" ht="94" customHeight="1">
      <c r="A12" s="4" t="inlineStr">
        <is>
          <t>OF07</t>
        </is>
      </c>
      <c r="B12" s="4" t="inlineStr">
        <is>
          <t>MP, 18th Lok Sabha / Rae Bareli</t>
        </is>
      </c>
      <c r="C12" s="4" t="inlineStr">
        <is>
          <t>9 June 2024–present</t>
        </is>
      </c>
      <c r="D12" s="4" t="inlineStr">
        <is>
          <t>Fifth Lok Sabha term; retained Rae Bareli after winning two seats.</t>
        </is>
      </c>
      <c r="E12" s="4" t="inlineStr">
        <is>
          <t>Supported</t>
        </is>
      </c>
      <c r="F12" s="5" t="inlineStr">
        <is>
          <t>All citations</t>
        </is>
      </c>
      <c r="G12" s="5" t="inlineStr">
        <is>
          <t>Claims</t>
        </is>
      </c>
      <c r="H12" s="11" t="n">
        <v>45452</v>
      </c>
      <c r="I12" s="4" t="n"/>
      <c r="J12" s="4" t="inlineStr">
        <is>
          <t>Elected</t>
        </is>
      </c>
      <c r="K12" s="4" t="inlineStr">
        <is>
          <t>Blank endpoints mean ongoing or insufficient precision; read Period and Finding.</t>
        </is>
      </c>
      <c r="L12" s="4" t="inlineStr">
        <is>
          <t>Recorded fact</t>
        </is>
      </c>
      <c r="M12" s="4" t="inlineStr">
        <is>
          <t>S003; S043</t>
        </is>
      </c>
      <c r="N12" s="4" t="inlineStr">
        <is>
          <t>P4 | Leader of Opposition (June 2024–September 2026)</t>
        </is>
      </c>
      <c r="O12" s="4" t="inlineStr">
        <is>
          <t>Multiple independent sources</t>
        </is>
      </c>
      <c r="P12" s="4" t="inlineStr">
        <is>
          <t>CT-P4-01; CT-P4-02; CT-P4-03</t>
        </is>
      </c>
    </row>
    <row r="13" ht="94" customHeight="1">
      <c r="A13" s="6" t="inlineStr">
        <is>
          <t>OF08</t>
        </is>
      </c>
      <c r="B13" s="6" t="inlineStr">
        <is>
          <t>Leader of Opposition / Lok Sabha</t>
        </is>
      </c>
      <c r="C13" s="6" t="inlineStr">
        <is>
          <t>9 June 2024–present</t>
        </is>
      </c>
      <c r="D13" s="6" t="inlineStr">
        <is>
          <t>Formal parliamentary office concurrent with Rae Bareli membership; effective date follows Lok Sabha’s register.</t>
        </is>
      </c>
      <c r="E13" s="6" t="inlineStr">
        <is>
          <t>Supported</t>
        </is>
      </c>
      <c r="F13" s="7" t="inlineStr">
        <is>
          <t>All citations</t>
        </is>
      </c>
      <c r="G13" s="7" t="inlineStr">
        <is>
          <t>Claims</t>
        </is>
      </c>
      <c r="H13" s="12" t="n">
        <v>45452</v>
      </c>
      <c r="I13" s="6" t="n"/>
      <c r="J13" s="6" t="inlineStr">
        <is>
          <t>Recognition by Speaker</t>
        </is>
      </c>
      <c r="K13" s="6" t="inlineStr">
        <is>
          <t>Blank endpoints mean ongoing or insufficient precision; read Period and Finding.</t>
        </is>
      </c>
      <c r="L13" s="6" t="inlineStr">
        <is>
          <t>Recorded fact</t>
        </is>
      </c>
      <c r="M13" s="6" t="inlineStr">
        <is>
          <t>S002; S003</t>
        </is>
      </c>
      <c r="N13" s="6" t="inlineStr">
        <is>
          <t>P4 | Leader of Opposition (June 2024–September 2026)</t>
        </is>
      </c>
      <c r="O13" s="6" t="inlineStr">
        <is>
          <t>Primary record</t>
        </is>
      </c>
      <c r="P13" s="6" t="inlineStr">
        <is>
          <t>CT-P4-01; CT-P4-02; CT-P4-03</t>
        </is>
      </c>
    </row>
    <row r="14" ht="94" customHeight="1">
      <c r="A14" s="4" t="inlineStr">
        <is>
          <t>OF09</t>
        </is>
      </c>
      <c r="B14" s="4" t="inlineStr">
        <is>
          <t>AICC general secretary / IYC and NSUI brief</t>
        </is>
      </c>
      <c r="C14" s="4" t="inlineStr">
        <is>
          <t>From 24 September 2007</t>
        </is>
      </c>
      <c r="D14" s="4" t="inlineStr">
        <is>
          <t>Party appointment placed the youth and student organisations in his organisational brief. Exact end of each charge not independently established.</t>
        </is>
      </c>
      <c r="E14" s="4" t="inlineStr">
        <is>
          <t>Supported</t>
        </is>
      </c>
      <c r="F14" s="5" t="inlineStr">
        <is>
          <t>All citations</t>
        </is>
      </c>
      <c r="G14" s="5" t="inlineStr">
        <is>
          <t>Claims</t>
        </is>
      </c>
      <c r="H14" s="11" t="n">
        <v>39349</v>
      </c>
      <c r="I14" s="4" t="n"/>
      <c r="J14" s="4" t="inlineStr">
        <is>
          <t>Party appointment</t>
        </is>
      </c>
      <c r="K14" s="4" t="inlineStr">
        <is>
          <t>Blank endpoints mean ongoing or insufficient precision; read Period and Finding.</t>
        </is>
      </c>
      <c r="L14" s="4" t="inlineStr">
        <is>
          <t>Recorded fact</t>
        </is>
      </c>
      <c r="M14" s="4" t="inlineStr">
        <is>
          <t>S004</t>
        </is>
      </c>
      <c r="N14" s="4" t="inlineStr">
        <is>
          <t>P1 | Entry and UPA years (2004–2013)</t>
        </is>
      </c>
      <c r="O14" s="4" t="inlineStr">
        <is>
          <t>Interested source only</t>
        </is>
      </c>
      <c r="P14" s="4" t="inlineStr">
        <is>
          <t>CT-P1-01; CT-P1-02; CT-P1-03</t>
        </is>
      </c>
    </row>
    <row r="15" ht="94" customHeight="1">
      <c r="A15" s="6" t="inlineStr">
        <is>
          <t>OF10</t>
        </is>
      </c>
      <c r="B15" s="6" t="inlineStr">
        <is>
          <t>Vice-president / Indian National Congress</t>
        </is>
      </c>
      <c r="C15" s="6" t="inlineStr">
        <is>
          <t>January 2013–December 2017</t>
        </is>
      </c>
      <c r="D15" s="6" t="inlineStr">
        <is>
          <t>Served as vice-president before taking over the presidency in December 2017.</t>
        </is>
      </c>
      <c r="E15" s="6" t="inlineStr">
        <is>
          <t>Supported</t>
        </is>
      </c>
      <c r="F15" s="7" t="inlineStr">
        <is>
          <t>All citations</t>
        </is>
      </c>
      <c r="G15" s="7" t="inlineStr">
        <is>
          <t>Claims</t>
        </is>
      </c>
      <c r="H15" s="6" t="n"/>
      <c r="I15" s="6" t="n"/>
      <c r="J15" s="6" t="inlineStr">
        <is>
          <t>Party appointment</t>
        </is>
      </c>
      <c r="K15" s="6" t="inlineStr">
        <is>
          <t>Blank endpoints mean ongoing or insufficient precision; read Period and Finding.</t>
        </is>
      </c>
      <c r="L15" s="6" t="inlineStr">
        <is>
          <t>Recorded fact</t>
        </is>
      </c>
      <c r="M15" s="6" t="inlineStr">
        <is>
          <t>S004</t>
        </is>
      </c>
      <c r="N15" s="6" t="inlineStr">
        <is>
          <t>P2 | Opposition and party presidency (2014–2019 election)</t>
        </is>
      </c>
      <c r="O15" s="6" t="inlineStr">
        <is>
          <t>Interested source only</t>
        </is>
      </c>
      <c r="P15" s="6" t="inlineStr">
        <is>
          <t>CT-P2-01; CT-P2-02; CT-P2-03</t>
        </is>
      </c>
    </row>
    <row r="16" ht="94" customHeight="1">
      <c r="A16" s="4" t="inlineStr">
        <is>
          <t>OF11</t>
        </is>
      </c>
      <c r="B16" s="4" t="inlineStr">
        <is>
          <t>President / Indian National Congress</t>
        </is>
      </c>
      <c r="C16" s="4" t="inlineStr">
        <is>
          <t>16 December 2017–2019 resignation</t>
        </is>
      </c>
      <c r="D16" s="4" t="inlineStr">
        <is>
          <t>Resignation offered 25 May 2019 and publicly confirmed 3 July. Party biography dates departure to May; do not erase this distinction.</t>
        </is>
      </c>
      <c r="E16" s="4" t="inlineStr">
        <is>
          <t>Supported</t>
        </is>
      </c>
      <c r="F16" s="5" t="inlineStr">
        <is>
          <t>All citations</t>
        </is>
      </c>
      <c r="G16" s="5" t="inlineStr">
        <is>
          <t>Claims</t>
        </is>
      </c>
      <c r="H16" s="11" t="n">
        <v>43085</v>
      </c>
      <c r="I16" s="4" t="n"/>
      <c r="J16" s="4" t="inlineStr">
        <is>
          <t>Party succession; resignation</t>
        </is>
      </c>
      <c r="K16" s="4" t="inlineStr">
        <is>
          <t>Blank endpoints mean ongoing or insufficient precision; read Period and Finding.</t>
        </is>
      </c>
      <c r="L16" s="4" t="inlineStr">
        <is>
          <t>Recorded fact</t>
        </is>
      </c>
      <c r="M16" s="4" t="inlineStr">
        <is>
          <t>S004; S014</t>
        </is>
      </c>
      <c r="N16" s="4" t="inlineStr">
        <is>
          <t>P2 | Opposition and party presidency (2014–2019 election)</t>
        </is>
      </c>
      <c r="O16" s="4" t="inlineStr">
        <is>
          <t>Multiple independent sources</t>
        </is>
      </c>
      <c r="P16" s="4" t="inlineStr">
        <is>
          <t>CT-P2-01; CT-P2-02; CT-P2-03</t>
        </is>
      </c>
    </row>
    <row r="17" ht="94" customHeight="1">
      <c r="A17" s="6" t="inlineStr">
        <is>
          <t>OF12</t>
        </is>
      </c>
      <c r="B17" s="6" t="inlineStr">
        <is>
          <t>Parliamentary committees / historical memberships</t>
        </is>
      </c>
      <c r="C17" s="6" t="inlineStr">
        <is>
          <t>Across parliamentary career</t>
        </is>
      </c>
      <c r="D17" s="6" t="inlineStr">
        <is>
          <t>Party biography lists Defence, Home Affairs, External Affairs, Human Resource Development and Civil Aviation committee assignments. Detailed start/end dates require the original committee records.</t>
        </is>
      </c>
      <c r="E17" s="6" t="inlineStr">
        <is>
          <t>Supported</t>
        </is>
      </c>
      <c r="F17" s="7" t="inlineStr">
        <is>
          <t>All citations</t>
        </is>
      </c>
      <c r="G17" s="7" t="inlineStr">
        <is>
          <t>Claims</t>
        </is>
      </c>
      <c r="H17" s="6" t="n"/>
      <c r="I17" s="6" t="n"/>
      <c r="J17" s="6" t="inlineStr">
        <is>
          <t>Committee membership</t>
        </is>
      </c>
      <c r="K17" s="6" t="inlineStr">
        <is>
          <t>Blank endpoints mean ongoing or insufficient precision; read Period and Finding.</t>
        </is>
      </c>
      <c r="L17" s="6" t="inlineStr">
        <is>
          <t>Recorded fact</t>
        </is>
      </c>
      <c r="M17" s="6" t="inlineStr">
        <is>
          <t>S004</t>
        </is>
      </c>
      <c r="N17" s="6" t="inlineStr">
        <is>
          <t>P3 | Resignation, yatras and recovery (2019–2024 election)</t>
        </is>
      </c>
      <c r="O17" s="6" t="inlineStr">
        <is>
          <t>Interested source only</t>
        </is>
      </c>
      <c r="P17" s="6" t="inlineStr">
        <is>
          <t>CT-P3-01; CT-P3-02; CT-P3-03</t>
        </is>
      </c>
    </row>
    <row r="18" ht="94" customHeight="1">
      <c r="A18" s="4" t="inlineStr">
        <is>
          <t>OF13</t>
        </is>
      </c>
      <c r="B18" s="4" t="inlineStr">
        <is>
          <t>Movement leadership / Bharat Jodo and Nyay yatras</t>
        </is>
      </c>
      <c r="C18" s="4" t="inlineStr">
        <is>
          <t>2022–2024</t>
        </is>
      </c>
      <c r="D18" s="4" t="inlineStr">
        <is>
          <t>Led public journeys combining political communication, listening and organisational mobilisation; this was a movement role rather than a government ministry.</t>
        </is>
      </c>
      <c r="E18" s="4" t="inlineStr">
        <is>
          <t>Supported</t>
        </is>
      </c>
      <c r="F18" s="5" t="inlineStr">
        <is>
          <t>All citations</t>
        </is>
      </c>
      <c r="G18" s="5" t="inlineStr">
        <is>
          <t>Claims</t>
        </is>
      </c>
      <c r="H18" s="4" t="n"/>
      <c r="I18" s="4" t="n"/>
      <c r="J18" s="4" t="inlineStr">
        <is>
          <t>Party-led mobilisation</t>
        </is>
      </c>
      <c r="K18" s="4" t="inlineStr">
        <is>
          <t>Blank endpoints mean ongoing or insufficient precision; read Period and Finding.</t>
        </is>
      </c>
      <c r="L18" s="4" t="inlineStr">
        <is>
          <t>Recorded fact</t>
        </is>
      </c>
      <c r="M18" s="4" t="inlineStr">
        <is>
          <t>S004; S015</t>
        </is>
      </c>
      <c r="N18" s="4" t="inlineStr">
        <is>
          <t>P3 | Resignation, yatras and recovery (2019–2024 election)</t>
        </is>
      </c>
      <c r="O18" s="4" t="inlineStr">
        <is>
          <t>Multiple independent sources</t>
        </is>
      </c>
      <c r="P18" s="4" t="inlineStr">
        <is>
          <t>CT-P3-01; CT-P3-02; CT-P3-03</t>
        </is>
      </c>
    </row>
  </sheetData>
  <autoFilter ref="A5:P18"/>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s>
  <pageMargins left="0.75" right="0.75" top="1" bottom="1" header="0.5" footer="0.5"/>
  <pageSetup orientation="landscape" paperSize="8" fitToHeight="0" fitToWidth="1"/>
  <tableParts count="1">
    <tablePart xmlns:r="http://schemas.openxmlformats.org/officeDocument/2006/relationships" r:id="rId27"/>
  </tableParts>
</worksheet>
</file>

<file path=xl/worksheets/sheet6.xml><?xml version="1.0" encoding="utf-8"?>
<worksheet xmlns="http://schemas.openxmlformats.org/spreadsheetml/2006/main">
  <sheetPr>
    <outlinePr summaryBelow="1" summaryRight="0"/>
    <pageSetUpPr fitToPage="1"/>
  </sheetPr>
  <dimension ref="A1:N1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Rahul Gandhi | Policy &amp; Governance</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Initiative / decision</t>
        </is>
      </c>
      <c r="C5" s="3" t="inlineStr">
        <is>
          <t>Finding</t>
        </is>
      </c>
      <c r="D5" s="3" t="inlineStr">
        <is>
          <t>Stage</t>
        </is>
      </c>
      <c r="E5" s="3" t="inlineStr">
        <is>
          <t>Evidence review</t>
        </is>
      </c>
      <c r="F5" s="3" t="inlineStr">
        <is>
          <t>All citations</t>
        </is>
      </c>
      <c r="G5" s="3" t="inlineStr">
        <is>
          <t>Claim details</t>
        </is>
      </c>
      <c r="H5" s="3" t="inlineStr">
        <is>
          <t>Documented role</t>
        </is>
      </c>
      <c r="I5" s="3" t="inlineStr">
        <is>
          <t>Attribution / outcome limit</t>
        </is>
      </c>
      <c r="J5" s="3" t="inlineStr">
        <is>
          <t>Claim type</t>
        </is>
      </c>
      <c r="K5" s="3" t="inlineStr">
        <is>
          <t>Source IDs</t>
        </is>
      </c>
      <c r="L5" s="3" t="inlineStr">
        <is>
          <t>Career phase</t>
        </is>
      </c>
      <c r="M5" s="3" t="inlineStr">
        <is>
          <t>Corroboration</t>
        </is>
      </c>
      <c r="N5" s="3" t="inlineStr">
        <is>
          <t>Context IDs</t>
        </is>
      </c>
    </row>
    <row r="6" ht="52" customHeight="1">
      <c r="A6" s="5" t="inlineStr">
        <is>
          <t>PG01</t>
        </is>
      </c>
      <c r="B6" s="4" t="inlineStr">
        <is>
          <t>Youth organisation elections</t>
        </is>
      </c>
      <c r="C6" s="4" t="inlineStr">
        <is>
          <t>Introduced elections in IYC/NSUI to replace nominations. Critics reported factionalism; supporters defended wider access.</t>
        </is>
      </c>
      <c r="D6" s="4" t="inlineStr">
        <is>
          <t>Organisational implementation</t>
        </is>
      </c>
      <c r="E6" s="4" t="inlineStr">
        <is>
          <t>Supported</t>
        </is>
      </c>
      <c r="F6" s="5" t="inlineStr">
        <is>
          <t>All citations</t>
        </is>
      </c>
      <c r="G6" s="5" t="inlineStr">
        <is>
          <t>Claims</t>
        </is>
      </c>
      <c r="H6" s="4" t="inlineStr">
        <is>
          <t>Led</t>
        </is>
      </c>
      <c r="I6" s="4" t="inlineStr">
        <is>
          <t>No causal estimate of long-term membership quality or electoral effect.</t>
        </is>
      </c>
      <c r="J6" s="4" t="inlineStr">
        <is>
          <t>Recorded fact</t>
        </is>
      </c>
      <c r="K6" s="4" t="inlineStr">
        <is>
          <t>S021; S022</t>
        </is>
      </c>
      <c r="L6" s="4" t="inlineStr">
        <is>
          <t>P1 | Entry and UPA years (2004–2013)</t>
        </is>
      </c>
      <c r="M6" s="4" t="inlineStr">
        <is>
          <t>Multiple independent sources</t>
        </is>
      </c>
      <c r="N6" s="4" t="inlineStr">
        <is>
          <t>CT-P1-01; CT-P1-02; CT-P1-03</t>
        </is>
      </c>
    </row>
    <row r="7" ht="52" customHeight="1">
      <c r="A7" s="7" t="inlineStr">
        <is>
          <t>PG02</t>
        </is>
      </c>
      <c r="B7" s="6" t="inlineStr">
        <is>
          <t>Convicted-lawmakers ordinance</t>
        </is>
      </c>
      <c r="C7" s="6" t="inlineStr">
        <is>
          <t>Public opposition preceded Cabinet’s decision to withdraw the ordinance proposal and related bill in October 2013.</t>
        </is>
      </c>
      <c r="D7" s="6" t="inlineStr">
        <is>
          <t>Government decision following advocacy</t>
        </is>
      </c>
      <c r="E7" s="6" t="inlineStr">
        <is>
          <t>Supported</t>
        </is>
      </c>
      <c r="F7" s="7" t="inlineStr">
        <is>
          <t>All citations</t>
        </is>
      </c>
      <c r="G7" s="7" t="inlineStr">
        <is>
          <t>Claims</t>
        </is>
      </c>
      <c r="H7" s="6" t="inlineStr">
        <is>
          <t>Opposed</t>
        </is>
      </c>
      <c r="I7" s="6" t="inlineStr">
        <is>
          <t>Cabinet retained decision authority; other opponents and presidential scrutiny also mattered.</t>
        </is>
      </c>
      <c r="J7" s="6" t="inlineStr">
        <is>
          <t>Recorded fact</t>
        </is>
      </c>
      <c r="K7" s="6" t="inlineStr">
        <is>
          <t>S038; S039</t>
        </is>
      </c>
      <c r="L7" s="6" t="inlineStr">
        <is>
          <t>P1 | Entry and UPA years (2004–2013)</t>
        </is>
      </c>
      <c r="M7" s="6" t="inlineStr">
        <is>
          <t>Multiple independent sources</t>
        </is>
      </c>
      <c r="N7" s="6" t="inlineStr">
        <is>
          <t>CT-P1-01; CT-P1-02; CT-P1-03</t>
        </is>
      </c>
    </row>
    <row r="8" ht="52" customHeight="1">
      <c r="A8" s="5" t="inlineStr">
        <is>
          <t>PG03</t>
        </is>
      </c>
      <c r="B8" s="4" t="inlineStr">
        <is>
          <t>Land-acquisition protections</t>
        </is>
      </c>
      <c r="C8" s="4" t="inlineStr">
        <is>
          <t>Opposed proposed exemptions from consent and social-impact provisions; mobilised both in Parliament and outside it.</t>
        </is>
      </c>
      <c r="D8" s="4" t="inlineStr">
        <is>
          <t>Legislative opposition</t>
        </is>
      </c>
      <c r="E8" s="4" t="inlineStr">
        <is>
          <t>Supported</t>
        </is>
      </c>
      <c r="F8" s="5" t="inlineStr">
        <is>
          <t>All citations</t>
        </is>
      </c>
      <c r="G8" s="5" t="inlineStr">
        <is>
          <t>Claims</t>
        </is>
      </c>
      <c r="H8" s="4" t="inlineStr">
        <is>
          <t>Opposed</t>
        </is>
      </c>
      <c r="I8" s="4" t="inlineStr">
        <is>
          <t>PRS explains the bill; the wider coalition of resistance prevents exclusive personal attribution.</t>
        </is>
      </c>
      <c r="J8" s="4" t="inlineStr">
        <is>
          <t>Recorded fact</t>
        </is>
      </c>
      <c r="K8" s="4" t="inlineStr">
        <is>
          <t>S037; S032</t>
        </is>
      </c>
      <c r="L8" s="4" t="inlineStr">
        <is>
          <t>P2 | Opposition and party presidency (2014–2019 election)</t>
        </is>
      </c>
      <c r="M8" s="4" t="inlineStr">
        <is>
          <t>Multiple independent sources</t>
        </is>
      </c>
      <c r="N8" s="4" t="inlineStr">
        <is>
          <t>CT-P2-01; CT-P2-02; CT-P2-03</t>
        </is>
      </c>
    </row>
    <row r="9" ht="52" customHeight="1">
      <c r="A9" s="7" t="inlineStr">
        <is>
          <t>PG04</t>
        </is>
      </c>
      <c r="B9" s="6" t="inlineStr">
        <is>
          <t>NYAY income-support proposal</t>
        </is>
      </c>
      <c r="C9" s="6" t="inlineStr">
        <is>
          <t>Campaigned in 2019 on a Rs 72000 transfer under NYAY if Congress won power.</t>
        </is>
      </c>
      <c r="D9" s="6" t="inlineStr">
        <is>
          <t>Campaign proposal</t>
        </is>
      </c>
      <c r="E9" s="6" t="inlineStr">
        <is>
          <t>Supported</t>
        </is>
      </c>
      <c r="F9" s="7" t="inlineStr">
        <is>
          <t>All citations</t>
        </is>
      </c>
      <c r="G9" s="7" t="inlineStr">
        <is>
          <t>Claims</t>
        </is>
      </c>
      <c r="H9" s="6" t="inlineStr">
        <is>
          <t>Led advocacy</t>
        </is>
      </c>
      <c r="I9" s="6" t="inlineStr">
        <is>
          <t>Congress remained in opposition; this record establishes a promise, not poverty reduction.</t>
        </is>
      </c>
      <c r="J9" s="6" t="inlineStr">
        <is>
          <t>Attributed position</t>
        </is>
      </c>
      <c r="K9" s="6" t="inlineStr">
        <is>
          <t>S028; S014</t>
        </is>
      </c>
      <c r="L9" s="6" t="inlineStr">
        <is>
          <t>P2 | Opposition and party presidency (2014–2019 election)</t>
        </is>
      </c>
      <c r="M9" s="6" t="inlineStr">
        <is>
          <t>Multiple independent sources</t>
        </is>
      </c>
      <c r="N9" s="6" t="inlineStr">
        <is>
          <t>CT-P2-01; CT-P2-02; CT-P2-03</t>
        </is>
      </c>
    </row>
    <row r="10" ht="66" customHeight="1">
      <c r="A10" s="5" t="inlineStr">
        <is>
          <t>PG05</t>
        </is>
      </c>
      <c r="B10" s="4" t="inlineStr">
        <is>
          <t>Caste census and reservation ceiling</t>
        </is>
      </c>
      <c r="C10" s="4" t="inlineStr">
        <is>
          <t>Congress’s 2024 platform promised caste enumeration and raising the reservation cap; Gandhi welcomed the government’s 2025 enumeration decision and sought a timetable.</t>
        </is>
      </c>
      <c r="D10" s="4" t="inlineStr">
        <is>
          <t>Proposal; separate government adoption of enumeration</t>
        </is>
      </c>
      <c r="E10" s="4" t="inlineStr">
        <is>
          <t>Supported</t>
        </is>
      </c>
      <c r="F10" s="5" t="inlineStr">
        <is>
          <t>All citations</t>
        </is>
      </c>
      <c r="G10" s="5" t="inlineStr">
        <is>
          <t>Claims</t>
        </is>
      </c>
      <c r="H10" s="4" t="inlineStr">
        <is>
          <t>Advocated</t>
        </is>
      </c>
      <c r="I10" s="4" t="inlineStr">
        <is>
          <t>The government made the decision. Completed census results and a causal estimate of Gandhi’s influence are outside inspected evidence.</t>
        </is>
      </c>
      <c r="J10" s="4" t="inlineStr">
        <is>
          <t>Attributed position</t>
        </is>
      </c>
      <c r="K10" s="4" t="inlineStr">
        <is>
          <t>S016; S035; S036</t>
        </is>
      </c>
      <c r="L10" s="4" t="inlineStr">
        <is>
          <t>P4 | Leader of Opposition (June 2024–September 2026)</t>
        </is>
      </c>
      <c r="M10" s="4" t="inlineStr">
        <is>
          <t>Primary record</t>
        </is>
      </c>
      <c r="N10" s="4" t="inlineStr">
        <is>
          <t>CT-P4-01; CT-P4-02; CT-P4-03</t>
        </is>
      </c>
    </row>
    <row r="11" ht="52" customHeight="1">
      <c r="A11" s="7" t="inlineStr">
        <is>
          <t>PG06</t>
        </is>
      </c>
      <c r="B11" s="6" t="inlineStr">
        <is>
          <t>Women’s legislative representation</t>
        </is>
      </c>
      <c r="C11" s="6" t="inlineStr">
        <is>
          <t>Supported the 2023 women’s reservation bill while calling for an OBC women’s quota and earlier implementation.</t>
        </is>
      </c>
      <c r="D11" s="6" t="inlineStr">
        <is>
          <t>Parliamentary advocacy</t>
        </is>
      </c>
      <c r="E11" s="6" t="inlineStr">
        <is>
          <t>Supported</t>
        </is>
      </c>
      <c r="F11" s="7" t="inlineStr">
        <is>
          <t>All citations</t>
        </is>
      </c>
      <c r="G11" s="7" t="inlineStr">
        <is>
          <t>Claims</t>
        </is>
      </c>
      <c r="H11" s="6" t="inlineStr">
        <is>
          <t>Supported with amendments sought</t>
        </is>
      </c>
      <c r="I11" s="6" t="inlineStr">
        <is>
          <t>Speech support does not establish that his preferred amendments were adopted.</t>
        </is>
      </c>
      <c r="J11" s="6" t="inlineStr">
        <is>
          <t>Attributed position</t>
        </is>
      </c>
      <c r="K11" s="6" t="inlineStr">
        <is>
          <t>S033</t>
        </is>
      </c>
      <c r="L11" s="6" t="inlineStr">
        <is>
          <t>P3 | Resignation, yatras and recovery (2019–2024 election)</t>
        </is>
      </c>
      <c r="M11" s="6" t="inlineStr">
        <is>
          <t>Single credible source</t>
        </is>
      </c>
      <c r="N11" s="6" t="inlineStr">
        <is>
          <t>CT-P3-01; CT-P3-02; CT-P3-03</t>
        </is>
      </c>
    </row>
    <row r="12" ht="52" customHeight="1">
      <c r="A12" s="5" t="inlineStr">
        <is>
          <t>PG07</t>
        </is>
      </c>
      <c r="B12" s="4" t="inlineStr">
        <is>
          <t>Mahalakshmi</t>
        </is>
      </c>
      <c r="C12" s="4" t="inlineStr">
        <is>
          <t>Congress proposed Rs 1 lakh annually per poor family, generally paid to its oldest woman, through phased implementation.</t>
        </is>
      </c>
      <c r="D12" s="4" t="inlineStr">
        <is>
          <t>2024 manifesto proposal</t>
        </is>
      </c>
      <c r="E12" s="4" t="inlineStr">
        <is>
          <t>Supported</t>
        </is>
      </c>
      <c r="F12" s="5" t="inlineStr">
        <is>
          <t>All citations</t>
        </is>
      </c>
      <c r="G12" s="5" t="inlineStr">
        <is>
          <t>Claims</t>
        </is>
      </c>
      <c r="H12" s="4" t="inlineStr">
        <is>
          <t>Associated: party platform</t>
        </is>
      </c>
      <c r="I12" s="4" t="inlineStr">
        <is>
          <t>No national implementation or beneficiary outcome is credited to Gandhi.</t>
        </is>
      </c>
      <c r="J12" s="4" t="inlineStr">
        <is>
          <t>Attributed position</t>
        </is>
      </c>
      <c r="K12" s="4" t="inlineStr">
        <is>
          <t>S017</t>
        </is>
      </c>
      <c r="L12" s="4" t="inlineStr">
        <is>
          <t>P3 | Resignation, yatras and recovery (2019–2024 election)</t>
        </is>
      </c>
      <c r="M12" s="4" t="inlineStr">
        <is>
          <t>Interested source only</t>
        </is>
      </c>
      <c r="N12" s="4" t="inlineStr">
        <is>
          <t>CT-P3-01; CT-P3-02; CT-P3-03</t>
        </is>
      </c>
    </row>
    <row r="13" ht="52" customHeight="1">
      <c r="A13" s="7" t="inlineStr">
        <is>
          <t>PG08</t>
        </is>
      </c>
      <c r="B13" s="6" t="inlineStr">
        <is>
          <t>Youth employment and examination integrity</t>
        </is>
      </c>
      <c r="C13" s="6" t="inlineStr">
        <is>
          <t>Congress proposed paid one-year apprenticeships for qualified under-25s, filling government vacancies and action against paper leaks.</t>
        </is>
      </c>
      <c r="D13" s="6" t="inlineStr">
        <is>
          <t>2024 manifesto proposal</t>
        </is>
      </c>
      <c r="E13" s="6" t="inlineStr">
        <is>
          <t>Supported</t>
        </is>
      </c>
      <c r="F13" s="7" t="inlineStr">
        <is>
          <t>All citations</t>
        </is>
      </c>
      <c r="G13" s="7" t="inlineStr">
        <is>
          <t>Claims</t>
        </is>
      </c>
      <c r="H13" s="6" t="inlineStr">
        <is>
          <t>Associated: party platform</t>
        </is>
      </c>
      <c r="I13" s="6" t="inlineStr">
        <is>
          <t>Spending, take-up and job creation are unmeasured proposals here.</t>
        </is>
      </c>
      <c r="J13" s="6" t="inlineStr">
        <is>
          <t>Attributed position</t>
        </is>
      </c>
      <c r="K13" s="6" t="inlineStr">
        <is>
          <t>S018</t>
        </is>
      </c>
      <c r="L13" s="6" t="inlineStr">
        <is>
          <t>P3 | Resignation, yatras and recovery (2019–2024 election)</t>
        </is>
      </c>
      <c r="M13" s="6" t="inlineStr">
        <is>
          <t>Interested source only</t>
        </is>
      </c>
      <c r="N13" s="6" t="inlineStr">
        <is>
          <t>CT-P3-01; CT-P3-02; CT-P3-03</t>
        </is>
      </c>
    </row>
    <row r="14" ht="52" customHeight="1">
      <c r="A14" s="5" t="inlineStr">
        <is>
          <t>PG09</t>
        </is>
      </c>
      <c r="B14" s="4" t="inlineStr">
        <is>
          <t>MSP legal guarantee</t>
        </is>
      </c>
      <c r="C14" s="4" t="inlineStr">
        <is>
          <t>Congress’s manifesto proposed legal guarantees for MSP and statutory status for the CACP.</t>
        </is>
      </c>
      <c r="D14" s="4" t="inlineStr">
        <is>
          <t>2024 manifesto proposal</t>
        </is>
      </c>
      <c r="E14" s="4" t="inlineStr">
        <is>
          <t>Supported</t>
        </is>
      </c>
      <c r="F14" s="5" t="inlineStr">
        <is>
          <t>All citations</t>
        </is>
      </c>
      <c r="G14" s="5" t="inlineStr">
        <is>
          <t>Claims</t>
        </is>
      </c>
      <c r="H14" s="4" t="inlineStr">
        <is>
          <t>Associated: party platform</t>
        </is>
      </c>
      <c r="I14" s="4" t="inlineStr">
        <is>
          <t>Farmer organisations, legislatures and governments are distinct actors; feasibility is not assessed.</t>
        </is>
      </c>
      <c r="J14" s="4" t="inlineStr">
        <is>
          <t>Attributed position</t>
        </is>
      </c>
      <c r="K14" s="4" t="inlineStr">
        <is>
          <t>S019</t>
        </is>
      </c>
      <c r="L14" s="4" t="inlineStr">
        <is>
          <t>P3 | Resignation, yatras and recovery (2019–2024 election)</t>
        </is>
      </c>
      <c r="M14" s="4" t="inlineStr">
        <is>
          <t>Interested source only</t>
        </is>
      </c>
      <c r="N14" s="4" t="inlineStr">
        <is>
          <t>CT-P3-01; CT-P3-02; CT-P3-03</t>
        </is>
      </c>
    </row>
    <row r="15" ht="52" customHeight="1">
      <c r="A15" s="7" t="inlineStr">
        <is>
          <t>PG10</t>
        </is>
      </c>
      <c r="B15" s="6" t="inlineStr">
        <is>
          <t>Military recruitment</t>
        </is>
      </c>
      <c r="C15" s="6" t="inlineStr">
        <is>
          <t>Congress’s 2024 defence platform proposed scrapping Agnipath and restoring the previous recruitment system.</t>
        </is>
      </c>
      <c r="D15" s="6" t="inlineStr">
        <is>
          <t>2024 manifesto proposal</t>
        </is>
      </c>
      <c r="E15" s="6" t="inlineStr">
        <is>
          <t>Supported</t>
        </is>
      </c>
      <c r="F15" s="7" t="inlineStr">
        <is>
          <t>All citations</t>
        </is>
      </c>
      <c r="G15" s="7" t="inlineStr">
        <is>
          <t>Claims</t>
        </is>
      </c>
      <c r="H15" s="6" t="inlineStr">
        <is>
          <t>Associated: party platform</t>
        </is>
      </c>
      <c r="I15" s="6" t="inlineStr">
        <is>
          <t>No military command, defence ministry decision or implementation is attributed to Gandhi.</t>
        </is>
      </c>
      <c r="J15" s="6" t="inlineStr">
        <is>
          <t>Attributed position</t>
        </is>
      </c>
      <c r="K15" s="6" t="inlineStr">
        <is>
          <t>S020</t>
        </is>
      </c>
      <c r="L15" s="6" t="inlineStr">
        <is>
          <t>P3 | Resignation, yatras and recovery (2019–2024 election)</t>
        </is>
      </c>
      <c r="M15" s="6" t="inlineStr">
        <is>
          <t>Interested source only</t>
        </is>
      </c>
      <c r="N15" s="6" t="inlineStr">
        <is>
          <t>CT-P3-01; CT-P3-02; CT-P3-03</t>
        </is>
      </c>
    </row>
    <row r="16" ht="66" customHeight="1">
      <c r="A16" s="5" t="inlineStr">
        <is>
          <t>PG11</t>
        </is>
      </c>
      <c r="B16" s="4" t="inlineStr">
        <is>
          <t>Constituency advocacy</t>
        </is>
      </c>
      <c r="C16" s="4" t="inlineStr">
        <is>
          <t>PRS lists Wayanad railway, farmer-distress and connectivity interventions; later lists calls for rehabilitation following Wayanad landslides.</t>
        </is>
      </c>
      <c r="D16" s="4" t="inlineStr">
        <is>
          <t>Parliamentary intervention</t>
        </is>
      </c>
      <c r="E16" s="4" t="inlineStr">
        <is>
          <t>Supported</t>
        </is>
      </c>
      <c r="F16" s="5" t="inlineStr">
        <is>
          <t>All citations</t>
        </is>
      </c>
      <c r="G16" s="5" t="inlineStr">
        <is>
          <t>Claims</t>
        </is>
      </c>
      <c r="H16" s="4" t="inlineStr">
        <is>
          <t>Advocated</t>
        </is>
      </c>
      <c r="I16" s="4" t="inlineStr">
        <is>
          <t>Requests establish representation activity; project completion and disaster-recovery outcomes require administrative records.</t>
        </is>
      </c>
      <c r="J16" s="4" t="inlineStr">
        <is>
          <t>Recorded fact</t>
        </is>
      </c>
      <c r="K16" s="4" t="inlineStr">
        <is>
          <t>S042; S003</t>
        </is>
      </c>
      <c r="L16" s="4" t="inlineStr">
        <is>
          <t>P4 | Leader of Opposition (June 2024–September 2026)</t>
        </is>
      </c>
      <c r="M16" s="4" t="inlineStr">
        <is>
          <t>Multiple independent sources</t>
        </is>
      </c>
      <c r="N16" s="4" t="inlineStr">
        <is>
          <t>CT-P4-01; CT-P4-02; CT-P4-03</t>
        </is>
      </c>
    </row>
    <row r="17" ht="66" customHeight="1">
      <c r="A17" s="7" t="inlineStr">
        <is>
          <t>PG12</t>
        </is>
      </c>
      <c r="B17" s="6" t="inlineStr">
        <is>
          <t>Parliamentary activity: 17th Lok Sabha</t>
        </is>
      </c>
      <c r="C17" s="6" t="inlineStr">
        <is>
          <t>PRS records 51% attendance, 8 debates, 99 questions and zero private member bills for 1 June 2019–10 February 2024.</t>
        </is>
      </c>
      <c r="D17" s="6" t="inlineStr">
        <is>
          <t>Observed activity</t>
        </is>
      </c>
      <c r="E17" s="6" t="inlineStr">
        <is>
          <t>Supported</t>
        </is>
      </c>
      <c r="F17" s="7" t="inlineStr">
        <is>
          <t>All citations</t>
        </is>
      </c>
      <c r="G17" s="7" t="inlineStr">
        <is>
          <t>Claims</t>
        </is>
      </c>
      <c r="H17" s="6" t="inlineStr">
        <is>
          <t>Participated</t>
        </is>
      </c>
      <c r="I17" s="6" t="inlineStr">
        <is>
          <t>The period includes political mobilisation and the membership interruption. Counts cannot alone measure opposition effectiveness.</t>
        </is>
      </c>
      <c r="J17" s="6" t="inlineStr">
        <is>
          <t>Recorded fact</t>
        </is>
      </c>
      <c r="K17" s="6" t="inlineStr">
        <is>
          <t>S042</t>
        </is>
      </c>
      <c r="L17" s="6" t="inlineStr">
        <is>
          <t>P3 | Resignation, yatras and recovery (2019–2024 election)</t>
        </is>
      </c>
      <c r="M17" s="6" t="inlineStr">
        <is>
          <t>Single credible source</t>
        </is>
      </c>
      <c r="N17" s="6" t="inlineStr">
        <is>
          <t>CT-P3-01; CT-P3-02; CT-P3-03</t>
        </is>
      </c>
    </row>
    <row r="18" ht="66" customHeight="1">
      <c r="A18" s="5" t="inlineStr">
        <is>
          <t>PG13</t>
        </is>
      </c>
      <c r="B18" s="4" t="inlineStr">
        <is>
          <t>Parliamentary activity: 18th Lok Sabha</t>
        </is>
      </c>
      <c r="C18" s="4" t="inlineStr">
        <is>
          <t>PRS records 17 debates, 64 questions and zero private member bills for 24 June 2024–13 August 2026. LoP attendance is N/A because he does not sign the register.</t>
        </is>
      </c>
      <c r="D18" s="4" t="inlineStr">
        <is>
          <t>Observed activity</t>
        </is>
      </c>
      <c r="E18" s="4" t="inlineStr">
        <is>
          <t>Supported</t>
        </is>
      </c>
      <c r="F18" s="5" t="inlineStr">
        <is>
          <t>All citations</t>
        </is>
      </c>
      <c r="G18" s="5" t="inlineStr">
        <is>
          <t>Claims</t>
        </is>
      </c>
      <c r="H18" s="4" t="inlineStr">
        <is>
          <t>Participated</t>
        </is>
      </c>
      <c r="I18" s="4" t="inlineStr">
        <is>
          <t>N/A is not zero attendance. This dataset ends before the workbook cutoff.</t>
        </is>
      </c>
      <c r="J18" s="4" t="inlineStr">
        <is>
          <t>Recorded fact</t>
        </is>
      </c>
      <c r="K18" s="4" t="inlineStr">
        <is>
          <t>S003</t>
        </is>
      </c>
      <c r="L18" s="4" t="inlineStr">
        <is>
          <t>P4 | Leader of Opposition (June 2024–September 2026)</t>
        </is>
      </c>
      <c r="M18" s="4" t="inlineStr">
        <is>
          <t>Single credible source</t>
        </is>
      </c>
      <c r="N18" s="4" t="inlineStr">
        <is>
          <t>CT-P4-01; CT-P4-02; CT-P4-03</t>
        </is>
      </c>
    </row>
  </sheetData>
  <autoFilter ref="A5:N18"/>
  <mergeCells count="3">
    <mergeCell ref="A3:G3"/>
    <mergeCell ref="A2:G2"/>
    <mergeCell ref="A1:G1"/>
  </mergeCells>
  <hyperlinks>
    <hyperlink xmlns:r="http://schemas.openxmlformats.org/officeDocument/2006/relationships" ref="A6" r:id="rId1"/>
    <hyperlink xmlns:r="http://schemas.openxmlformats.org/officeDocument/2006/relationships" ref="F6" r:id="rId2"/>
    <hyperlink xmlns:r="http://schemas.openxmlformats.org/officeDocument/2006/relationships" ref="G6" r:id="rId3"/>
    <hyperlink xmlns:r="http://schemas.openxmlformats.org/officeDocument/2006/relationships" ref="A7" r:id="rId4"/>
    <hyperlink xmlns:r="http://schemas.openxmlformats.org/officeDocument/2006/relationships" ref="F7" r:id="rId5"/>
    <hyperlink xmlns:r="http://schemas.openxmlformats.org/officeDocument/2006/relationships" ref="G7" r:id="rId6"/>
    <hyperlink xmlns:r="http://schemas.openxmlformats.org/officeDocument/2006/relationships" ref="A8" r:id="rId7"/>
    <hyperlink xmlns:r="http://schemas.openxmlformats.org/officeDocument/2006/relationships" ref="F8" r:id="rId8"/>
    <hyperlink xmlns:r="http://schemas.openxmlformats.org/officeDocument/2006/relationships" ref="G8" r:id="rId9"/>
    <hyperlink xmlns:r="http://schemas.openxmlformats.org/officeDocument/2006/relationships" ref="A9" r:id="rId10"/>
    <hyperlink xmlns:r="http://schemas.openxmlformats.org/officeDocument/2006/relationships" ref="F9" r:id="rId11"/>
    <hyperlink xmlns:r="http://schemas.openxmlformats.org/officeDocument/2006/relationships" ref="G9" r:id="rId12"/>
    <hyperlink xmlns:r="http://schemas.openxmlformats.org/officeDocument/2006/relationships" ref="A10" r:id="rId13"/>
    <hyperlink xmlns:r="http://schemas.openxmlformats.org/officeDocument/2006/relationships" ref="F10" r:id="rId14"/>
    <hyperlink xmlns:r="http://schemas.openxmlformats.org/officeDocument/2006/relationships" ref="G10" r:id="rId15"/>
    <hyperlink xmlns:r="http://schemas.openxmlformats.org/officeDocument/2006/relationships" ref="A11" r:id="rId16"/>
    <hyperlink xmlns:r="http://schemas.openxmlformats.org/officeDocument/2006/relationships" ref="F11" r:id="rId17"/>
    <hyperlink xmlns:r="http://schemas.openxmlformats.org/officeDocument/2006/relationships" ref="G11" r:id="rId18"/>
    <hyperlink xmlns:r="http://schemas.openxmlformats.org/officeDocument/2006/relationships" ref="A12" r:id="rId19"/>
    <hyperlink xmlns:r="http://schemas.openxmlformats.org/officeDocument/2006/relationships" ref="F12" r:id="rId20"/>
    <hyperlink xmlns:r="http://schemas.openxmlformats.org/officeDocument/2006/relationships" ref="G12" r:id="rId21"/>
    <hyperlink xmlns:r="http://schemas.openxmlformats.org/officeDocument/2006/relationships" ref="A13" r:id="rId22"/>
    <hyperlink xmlns:r="http://schemas.openxmlformats.org/officeDocument/2006/relationships" ref="F13" r:id="rId23"/>
    <hyperlink xmlns:r="http://schemas.openxmlformats.org/officeDocument/2006/relationships" ref="G13" r:id="rId24"/>
    <hyperlink xmlns:r="http://schemas.openxmlformats.org/officeDocument/2006/relationships" ref="A14" r:id="rId25"/>
    <hyperlink xmlns:r="http://schemas.openxmlformats.org/officeDocument/2006/relationships" ref="F14" r:id="rId26"/>
    <hyperlink xmlns:r="http://schemas.openxmlformats.org/officeDocument/2006/relationships" ref="G14" r:id="rId27"/>
    <hyperlink xmlns:r="http://schemas.openxmlformats.org/officeDocument/2006/relationships" ref="A15" r:id="rId28"/>
    <hyperlink xmlns:r="http://schemas.openxmlformats.org/officeDocument/2006/relationships" ref="F15" r:id="rId29"/>
    <hyperlink xmlns:r="http://schemas.openxmlformats.org/officeDocument/2006/relationships" ref="G15" r:id="rId30"/>
    <hyperlink xmlns:r="http://schemas.openxmlformats.org/officeDocument/2006/relationships" ref="A16" r:id="rId31"/>
    <hyperlink xmlns:r="http://schemas.openxmlformats.org/officeDocument/2006/relationships" ref="F16" r:id="rId32"/>
    <hyperlink xmlns:r="http://schemas.openxmlformats.org/officeDocument/2006/relationships" ref="G16" r:id="rId33"/>
    <hyperlink xmlns:r="http://schemas.openxmlformats.org/officeDocument/2006/relationships" ref="A17" r:id="rId34"/>
    <hyperlink xmlns:r="http://schemas.openxmlformats.org/officeDocument/2006/relationships" ref="F17" r:id="rId35"/>
    <hyperlink xmlns:r="http://schemas.openxmlformats.org/officeDocument/2006/relationships" ref="G17" r:id="rId36"/>
    <hyperlink xmlns:r="http://schemas.openxmlformats.org/officeDocument/2006/relationships" ref="A18" r:id="rId37"/>
    <hyperlink xmlns:r="http://schemas.openxmlformats.org/officeDocument/2006/relationships" ref="F18" r:id="rId38"/>
    <hyperlink xmlns:r="http://schemas.openxmlformats.org/officeDocument/2006/relationships" ref="G18" r:id="rId39"/>
  </hyperlinks>
  <pageMargins left="0.75" right="0.75" top="1" bottom="1" header="0.5" footer="0.5"/>
  <pageSetup orientation="landscape" paperSize="8" fitToHeight="0" fitToWidth="1"/>
  <tableParts count="1">
    <tablePart xmlns:r="http://schemas.openxmlformats.org/officeDocument/2006/relationships" r:id="rId40"/>
  </tableParts>
</worksheet>
</file>

<file path=xl/worksheets/sheet7.xml><?xml version="1.0" encoding="utf-8"?>
<worksheet xmlns="http://schemas.openxmlformats.org/spreadsheetml/2006/main">
  <sheetPr>
    <outlinePr summaryBelow="1" summaryRight="0"/>
    <pageSetUpPr fitToPage="1"/>
  </sheetPr>
  <dimension ref="A1:K1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s>
  <sheetData>
    <row r="1" ht="36" customHeight="1">
      <c r="A1" s="1" t="inlineStr">
        <is>
          <t>Rahul Gandhi | Ideas &amp; Political Method</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Topic</t>
        </is>
      </c>
      <c r="C5" s="3" t="inlineStr">
        <is>
          <t>Finding</t>
        </is>
      </c>
      <c r="D5" s="3" t="inlineStr">
        <is>
          <t>Evidence review</t>
        </is>
      </c>
      <c r="E5" s="3" t="inlineStr">
        <is>
          <t>All citations</t>
        </is>
      </c>
      <c r="F5" s="3" t="inlineStr">
        <is>
          <t>Claim details</t>
        </is>
      </c>
      <c r="G5" s="3" t="inlineStr">
        <is>
          <t>Claim type</t>
        </is>
      </c>
      <c r="H5" s="3" t="inlineStr">
        <is>
          <t>Source IDs</t>
        </is>
      </c>
      <c r="I5" s="3" t="inlineStr">
        <is>
          <t>Career phase</t>
        </is>
      </c>
      <c r="J5" s="3" t="inlineStr">
        <is>
          <t>Corroboration</t>
        </is>
      </c>
      <c r="K5" s="3" t="inlineStr">
        <is>
          <t>Context IDs</t>
        </is>
      </c>
    </row>
    <row r="6" ht="52" customHeight="1">
      <c r="A6" s="5" t="inlineStr">
        <is>
          <t>IM01</t>
        </is>
      </c>
      <c r="B6" s="4" t="inlineStr">
        <is>
          <t>Dynastic access and legitimacy</t>
        </is>
      </c>
      <c r="C6" s="4" t="inlineStr">
        <is>
          <t>Family name and organisational access assisted entry and leadership succession; opponents used the same background to challenge his credibility.</t>
        </is>
      </c>
      <c r="D6" s="4" t="inlineStr">
        <is>
          <t>Supported</t>
        </is>
      </c>
      <c r="E6" s="5" t="inlineStr">
        <is>
          <t>All citations</t>
        </is>
      </c>
      <c r="F6" s="5" t="inlineStr">
        <is>
          <t>Claims</t>
        </is>
      </c>
      <c r="G6" s="4" t="inlineStr">
        <is>
          <t>Analysis</t>
        </is>
      </c>
      <c r="H6" s="4" t="inlineStr">
        <is>
          <t>S004; S023</t>
        </is>
      </c>
      <c r="I6" s="4" t="inlineStr">
        <is>
          <t>P1 | Entry and UPA years (2004–2013)</t>
        </is>
      </c>
      <c r="J6" s="4" t="inlineStr">
        <is>
          <t>Multiple independent sources</t>
        </is>
      </c>
      <c r="K6" s="4" t="inlineStr">
        <is>
          <t>CT-P1-01; CT-P1-02; CT-P1-03</t>
        </is>
      </c>
    </row>
    <row r="7" ht="66" customHeight="1">
      <c r="A7" s="7" t="inlineStr">
        <is>
          <t>IM02</t>
        </is>
      </c>
      <c r="B7" s="6" t="inlineStr">
        <is>
          <t>Organisation and democratisation</t>
        </is>
      </c>
      <c r="C7" s="6" t="inlineStr">
        <is>
          <t>Internal youth elections offered an alternative to nomination, but internal critics saw factional and financial competition. Democratisation is an objective and a disputed outcome.</t>
        </is>
      </c>
      <c r="D7" s="6" t="inlineStr">
        <is>
          <t>Supported</t>
        </is>
      </c>
      <c r="E7" s="7" t="inlineStr">
        <is>
          <t>All citations</t>
        </is>
      </c>
      <c r="F7" s="7" t="inlineStr">
        <is>
          <t>Claims</t>
        </is>
      </c>
      <c r="G7" s="6" t="inlineStr">
        <is>
          <t>Analysis</t>
        </is>
      </c>
      <c r="H7" s="6" t="inlineStr">
        <is>
          <t>S021; S022</t>
        </is>
      </c>
      <c r="I7" s="6" t="inlineStr">
        <is>
          <t>P1 | Entry and UPA years (2004–2013)</t>
        </is>
      </c>
      <c r="J7" s="6" t="inlineStr">
        <is>
          <t>Multiple independent sources</t>
        </is>
      </c>
      <c r="K7" s="6" t="inlineStr">
        <is>
          <t>CT-P1-01; CT-P1-02; CT-P1-03</t>
        </is>
      </c>
    </row>
    <row r="8" ht="66" customHeight="1">
      <c r="A8" s="5" t="inlineStr">
        <is>
          <t>IM03</t>
        </is>
      </c>
      <c r="B8" s="4" t="inlineStr">
        <is>
          <t>Confrontation within his own party</t>
        </is>
      </c>
      <c r="C8" s="4" t="inlineStr">
        <is>
          <t>The 2013 ordinance episode displayed influence over a Congress-led government while exposing tension between party leadership and the prime minister.</t>
        </is>
      </c>
      <c r="D8" s="4" t="inlineStr">
        <is>
          <t>Supported</t>
        </is>
      </c>
      <c r="E8" s="5" t="inlineStr">
        <is>
          <t>All citations</t>
        </is>
      </c>
      <c r="F8" s="5" t="inlineStr">
        <is>
          <t>Claims</t>
        </is>
      </c>
      <c r="G8" s="4" t="inlineStr">
        <is>
          <t>Analysis</t>
        </is>
      </c>
      <c r="H8" s="4" t="inlineStr">
        <is>
          <t>S038; S039</t>
        </is>
      </c>
      <c r="I8" s="4" t="inlineStr">
        <is>
          <t>P1 | Entry and UPA years (2004–2013)</t>
        </is>
      </c>
      <c r="J8" s="4" t="inlineStr">
        <is>
          <t>Multiple independent sources</t>
        </is>
      </c>
      <c r="K8" s="4" t="inlineStr">
        <is>
          <t>CT-P1-01; CT-P1-02; CT-P1-03</t>
        </is>
      </c>
    </row>
    <row r="9" ht="52" customHeight="1">
      <c r="A9" s="7" t="inlineStr">
        <is>
          <t>IM04</t>
        </is>
      </c>
      <c r="B9" s="6" t="inlineStr">
        <is>
          <t>Economic inequality and farmer politics</t>
        </is>
      </c>
      <c r="C9" s="6" t="inlineStr">
        <is>
          <t>Land-law opposition and NYAY linked criticism of concentrated economic power to a proposed redistributive alternative.</t>
        </is>
      </c>
      <c r="D9" s="6" t="inlineStr">
        <is>
          <t>Supported</t>
        </is>
      </c>
      <c r="E9" s="7" t="inlineStr">
        <is>
          <t>All citations</t>
        </is>
      </c>
      <c r="F9" s="7" t="inlineStr">
        <is>
          <t>Claims</t>
        </is>
      </c>
      <c r="G9" s="6" t="inlineStr">
        <is>
          <t>Analysis</t>
        </is>
      </c>
      <c r="H9" s="6" t="inlineStr">
        <is>
          <t>S037; S028</t>
        </is>
      </c>
      <c r="I9" s="6" t="inlineStr">
        <is>
          <t>P2 | Opposition and party presidency (2014–2019 election)</t>
        </is>
      </c>
      <c r="J9" s="6" t="inlineStr">
        <is>
          <t>Multiple independent sources</t>
        </is>
      </c>
      <c r="K9" s="6" t="inlineStr">
        <is>
          <t>CT-P2-01; CT-P2-02; CT-P2-03</t>
        </is>
      </c>
    </row>
    <row r="10" ht="66" customHeight="1">
      <c r="A10" s="5" t="inlineStr">
        <is>
          <t>IM05</t>
        </is>
      </c>
      <c r="B10" s="4" t="inlineStr">
        <is>
          <t>Accountability after defeat</t>
        </is>
      </c>
      <c r="C10" s="4" t="inlineStr">
        <is>
          <t>His 2019 letter accepted personal electoral responsibility and called for wider accountability; it simultaneously alleged unequal institutional conditions.</t>
        </is>
      </c>
      <c r="D10" s="4" t="inlineStr">
        <is>
          <t>Supported</t>
        </is>
      </c>
      <c r="E10" s="5" t="inlineStr">
        <is>
          <t>All citations</t>
        </is>
      </c>
      <c r="F10" s="5" t="inlineStr">
        <is>
          <t>Claims</t>
        </is>
      </c>
      <c r="G10" s="4" t="inlineStr">
        <is>
          <t>Analysis</t>
        </is>
      </c>
      <c r="H10" s="4" t="inlineStr">
        <is>
          <t>S014</t>
        </is>
      </c>
      <c r="I10" s="4" t="inlineStr">
        <is>
          <t>P3 | Resignation, yatras and recovery (2019–2024 election)</t>
        </is>
      </c>
      <c r="J10" s="4" t="inlineStr">
        <is>
          <t>Single credible source</t>
        </is>
      </c>
      <c r="K10" s="4" t="inlineStr">
        <is>
          <t>CT-P3-01; CT-P3-02; CT-P3-03</t>
        </is>
      </c>
    </row>
    <row r="11" ht="66" customHeight="1">
      <c r="A11" s="7" t="inlineStr">
        <is>
          <t>IM06</t>
        </is>
      </c>
      <c r="B11" s="6" t="inlineStr">
        <is>
          <t>Yatra and listening</t>
        </is>
      </c>
      <c r="C11" s="6" t="inlineStr">
        <is>
          <t>The yatras combined direct contact, repeated public appearances and a unity message. Image renewal is documented; the marches’ independent electoral effect is not isolated.</t>
        </is>
      </c>
      <c r="D11" s="6" t="inlineStr">
        <is>
          <t>Supported</t>
        </is>
      </c>
      <c r="E11" s="7" t="inlineStr">
        <is>
          <t>All citations</t>
        </is>
      </c>
      <c r="F11" s="7" t="inlineStr">
        <is>
          <t>Claims</t>
        </is>
      </c>
      <c r="G11" s="6" t="inlineStr">
        <is>
          <t>Analysis</t>
        </is>
      </c>
      <c r="H11" s="6" t="inlineStr">
        <is>
          <t>S015; S023</t>
        </is>
      </c>
      <c r="I11" s="6" t="inlineStr">
        <is>
          <t>P3 | Resignation, yatras and recovery (2019–2024 election)</t>
        </is>
      </c>
      <c r="J11" s="6" t="inlineStr">
        <is>
          <t>Multiple independent sources</t>
        </is>
      </c>
      <c r="K11" s="6" t="inlineStr">
        <is>
          <t>CT-P3-01; CT-P3-02; CT-P3-03</t>
        </is>
      </c>
    </row>
    <row r="12" ht="66" customHeight="1">
      <c r="A12" s="5" t="inlineStr">
        <is>
          <t>IM07</t>
        </is>
      </c>
      <c r="B12" s="4" t="inlineStr">
        <is>
          <t>Caste representation</t>
        </is>
      </c>
      <c r="C12" s="4" t="inlineStr">
        <is>
          <t>Advocacy increasingly connected representation data, caste enumeration and affirmative action. His demands intersected with longstanding regional-party agendas.</t>
        </is>
      </c>
      <c r="D12" s="4" t="inlineStr">
        <is>
          <t>Supported</t>
        </is>
      </c>
      <c r="E12" s="5" t="inlineStr">
        <is>
          <t>All citations</t>
        </is>
      </c>
      <c r="F12" s="5" t="inlineStr">
        <is>
          <t>Claims</t>
        </is>
      </c>
      <c r="G12" s="4" t="inlineStr">
        <is>
          <t>Analysis</t>
        </is>
      </c>
      <c r="H12" s="4" t="inlineStr">
        <is>
          <t>S016; S035</t>
        </is>
      </c>
      <c r="I12" s="4" t="inlineStr">
        <is>
          <t>P4 | Leader of Opposition (June 2024–September 2026)</t>
        </is>
      </c>
      <c r="J12" s="4" t="inlineStr">
        <is>
          <t>Multiple independent sources</t>
        </is>
      </c>
      <c r="K12" s="4" t="inlineStr">
        <is>
          <t>CT-P4-01; CT-P4-02; CT-P4-03</t>
        </is>
      </c>
    </row>
    <row r="13" ht="52" customHeight="1">
      <c r="A13" s="7" t="inlineStr">
        <is>
          <t>IM08</t>
        </is>
      </c>
      <c r="B13" s="6" t="inlineStr">
        <is>
          <t>Pluralism and constitutional rights</t>
        </is>
      </c>
      <c r="C13" s="6" t="inlineStr">
        <is>
          <t>Congress’s platform defends religious and linguistic minority rights; Gandhi’s march speeches framed violence and exclusion as political problems.</t>
        </is>
      </c>
      <c r="D13" s="6" t="inlineStr">
        <is>
          <t>Supported</t>
        </is>
      </c>
      <c r="E13" s="7" t="inlineStr">
        <is>
          <t>All citations</t>
        </is>
      </c>
      <c r="F13" s="7" t="inlineStr">
        <is>
          <t>Claims</t>
        </is>
      </c>
      <c r="G13" s="6" t="inlineStr">
        <is>
          <t>Analysis</t>
        </is>
      </c>
      <c r="H13" s="6" t="inlineStr">
        <is>
          <t>S016; S015</t>
        </is>
      </c>
      <c r="I13" s="6" t="inlineStr">
        <is>
          <t>P3 | Resignation, yatras and recovery (2019–2024 election)</t>
        </is>
      </c>
      <c r="J13" s="6" t="inlineStr">
        <is>
          <t>Multiple independent sources</t>
        </is>
      </c>
      <c r="K13" s="6" t="inlineStr">
        <is>
          <t>CT-P3-01; CT-P3-02; CT-P3-03</t>
        </is>
      </c>
    </row>
    <row r="14" ht="66" customHeight="1">
      <c r="A14" s="5" t="inlineStr">
        <is>
          <t>IM09</t>
        </is>
      </c>
      <c r="B14" s="4" t="inlineStr">
        <is>
          <t>Coalition method</t>
        </is>
      </c>
      <c r="C14" s="4" t="inlineStr">
        <is>
          <t>In 2024 Gandhi campaigned within a multi-party opposition while Kharge headed Congress. Carnegie cautioned that INDIA lacked a common leadership and organisational structure.</t>
        </is>
      </c>
      <c r="D14" s="4" t="inlineStr">
        <is>
          <t>Supported</t>
        </is>
      </c>
      <c r="E14" s="5" t="inlineStr">
        <is>
          <t>All citations</t>
        </is>
      </c>
      <c r="F14" s="5" t="inlineStr">
        <is>
          <t>Claims</t>
        </is>
      </c>
      <c r="G14" s="4" t="inlineStr">
        <is>
          <t>Analysis</t>
        </is>
      </c>
      <c r="H14" s="4" t="inlineStr">
        <is>
          <t>S023; S024</t>
        </is>
      </c>
      <c r="I14" s="4" t="inlineStr">
        <is>
          <t>P4 | Leader of Opposition (June 2024–September 2026)</t>
        </is>
      </c>
      <c r="J14" s="4" t="inlineStr">
        <is>
          <t>Multiple independent sources</t>
        </is>
      </c>
      <c r="K14" s="4" t="inlineStr">
        <is>
          <t>CT-P4-01; CT-P4-02; CT-P4-03</t>
        </is>
      </c>
    </row>
    <row r="15" ht="66" customHeight="1">
      <c r="A15" s="7" t="inlineStr">
        <is>
          <t>IM10</t>
        </is>
      </c>
      <c r="B15" s="6" t="inlineStr">
        <is>
          <t>Gender and physical imagery</t>
        </is>
      </c>
      <c r="C15" s="6" t="inlineStr">
        <is>
          <t>Revati Laul interpreted T-shirt/endurance discussion as masculine political messaging. This is a local, attributed interpretation, not evidence that all voters responded that way.</t>
        </is>
      </c>
      <c r="D15" s="6" t="inlineStr">
        <is>
          <t>Supported</t>
        </is>
      </c>
      <c r="E15" s="7" t="inlineStr">
        <is>
          <t>All citations</t>
        </is>
      </c>
      <c r="F15" s="7" t="inlineStr">
        <is>
          <t>Claims</t>
        </is>
      </c>
      <c r="G15" s="6" t="inlineStr">
        <is>
          <t>Analysis</t>
        </is>
      </c>
      <c r="H15" s="6" t="inlineStr">
        <is>
          <t>S025</t>
        </is>
      </c>
      <c r="I15" s="6" t="inlineStr">
        <is>
          <t>P3 | Resignation, yatras and recovery (2019–2024 election)</t>
        </is>
      </c>
      <c r="J15" s="6" t="inlineStr">
        <is>
          <t>Single credible source</t>
        </is>
      </c>
      <c r="K15" s="6" t="inlineStr">
        <is>
          <t>CT-P3-01; CT-P3-02; CT-P3-03</t>
        </is>
      </c>
    </row>
    <row r="16" ht="66" customHeight="1">
      <c r="A16" s="5" t="inlineStr">
        <is>
          <t>IM11</t>
        </is>
      </c>
      <c r="B16" s="4" t="inlineStr">
        <is>
          <t>Electoral integrity as an opposition issue</t>
        </is>
      </c>
      <c r="C16" s="4" t="inlineStr">
        <is>
          <t>From 2025 through September 2026 he used press conferences and roll data to allege manipulation. Election authorities rejected his broad charges; underlying national claims remain contested.</t>
        </is>
      </c>
      <c r="D16" s="4" t="inlineStr">
        <is>
          <t>Supported</t>
        </is>
      </c>
      <c r="E16" s="5" t="inlineStr">
        <is>
          <t>All citations</t>
        </is>
      </c>
      <c r="F16" s="5" t="inlineStr">
        <is>
          <t>Claims</t>
        </is>
      </c>
      <c r="G16" s="4" t="inlineStr">
        <is>
          <t>Analysis</t>
        </is>
      </c>
      <c r="H16" s="4" t="inlineStr">
        <is>
          <t>S031; S030</t>
        </is>
      </c>
      <c r="I16" s="4" t="inlineStr">
        <is>
          <t>P4 | Leader of Opposition (June 2024–September 2026)</t>
        </is>
      </c>
      <c r="J16" s="4" t="inlineStr">
        <is>
          <t>Multiple independent sources</t>
        </is>
      </c>
      <c r="K16" s="4" t="inlineStr">
        <is>
          <t>CT-P4-01; CT-P4-02; CT-P4-03</t>
        </is>
      </c>
    </row>
    <row r="17" ht="66" customHeight="1">
      <c r="A17" s="7" t="inlineStr">
        <is>
          <t>IM12</t>
        </is>
      </c>
      <c r="B17" s="6" t="inlineStr">
        <is>
          <t>Foreign-policy and security ideas</t>
        </is>
      </c>
      <c r="C17" s="6" t="inlineStr">
        <is>
          <t>The 2024 party platform coupled strategic-autonomy language with demands for greater parliamentary security oversight. This is a proposed framework, not a diplomatic record in executive office.</t>
        </is>
      </c>
      <c r="D17" s="6" t="inlineStr">
        <is>
          <t>Supported</t>
        </is>
      </c>
      <c r="E17" s="7" t="inlineStr">
        <is>
          <t>All citations</t>
        </is>
      </c>
      <c r="F17" s="7" t="inlineStr">
        <is>
          <t>Claims</t>
        </is>
      </c>
      <c r="G17" s="6" t="inlineStr">
        <is>
          <t>Analysis</t>
        </is>
      </c>
      <c r="H17" s="6" t="inlineStr">
        <is>
          <t>S020</t>
        </is>
      </c>
      <c r="I17" s="6" t="inlineStr">
        <is>
          <t>P3 | Resignation, yatras and recovery (2019–2024 election)</t>
        </is>
      </c>
      <c r="J17" s="6" t="inlineStr">
        <is>
          <t>Interested source only</t>
        </is>
      </c>
      <c r="K17" s="6" t="inlineStr">
        <is>
          <t>CT-P3-01; CT-P3-02; CT-P3-03</t>
        </is>
      </c>
    </row>
  </sheetData>
  <autoFilter ref="A5:K17"/>
  <mergeCells count="3">
    <mergeCell ref="A3:F3"/>
    <mergeCell ref="A2:F2"/>
    <mergeCell ref="A1:F1"/>
  </mergeCells>
  <hyperlinks>
    <hyperlink xmlns:r="http://schemas.openxmlformats.org/officeDocument/2006/relationships" ref="A6" r:id="rId1"/>
    <hyperlink xmlns:r="http://schemas.openxmlformats.org/officeDocument/2006/relationships" ref="E6" r:id="rId2"/>
    <hyperlink xmlns:r="http://schemas.openxmlformats.org/officeDocument/2006/relationships" ref="F6" r:id="rId3"/>
    <hyperlink xmlns:r="http://schemas.openxmlformats.org/officeDocument/2006/relationships" ref="A7" r:id="rId4"/>
    <hyperlink xmlns:r="http://schemas.openxmlformats.org/officeDocument/2006/relationships" ref="E7" r:id="rId5"/>
    <hyperlink xmlns:r="http://schemas.openxmlformats.org/officeDocument/2006/relationships" ref="F7" r:id="rId6"/>
    <hyperlink xmlns:r="http://schemas.openxmlformats.org/officeDocument/2006/relationships" ref="A8" r:id="rId7"/>
    <hyperlink xmlns:r="http://schemas.openxmlformats.org/officeDocument/2006/relationships" ref="E8" r:id="rId8"/>
    <hyperlink xmlns:r="http://schemas.openxmlformats.org/officeDocument/2006/relationships" ref="F8" r:id="rId9"/>
    <hyperlink xmlns:r="http://schemas.openxmlformats.org/officeDocument/2006/relationships" ref="A9" r:id="rId10"/>
    <hyperlink xmlns:r="http://schemas.openxmlformats.org/officeDocument/2006/relationships" ref="E9" r:id="rId11"/>
    <hyperlink xmlns:r="http://schemas.openxmlformats.org/officeDocument/2006/relationships" ref="F9" r:id="rId12"/>
    <hyperlink xmlns:r="http://schemas.openxmlformats.org/officeDocument/2006/relationships" ref="A10" r:id="rId13"/>
    <hyperlink xmlns:r="http://schemas.openxmlformats.org/officeDocument/2006/relationships" ref="E10" r:id="rId14"/>
    <hyperlink xmlns:r="http://schemas.openxmlformats.org/officeDocument/2006/relationships" ref="F10" r:id="rId15"/>
    <hyperlink xmlns:r="http://schemas.openxmlformats.org/officeDocument/2006/relationships" ref="A11" r:id="rId16"/>
    <hyperlink xmlns:r="http://schemas.openxmlformats.org/officeDocument/2006/relationships" ref="E11" r:id="rId17"/>
    <hyperlink xmlns:r="http://schemas.openxmlformats.org/officeDocument/2006/relationships" ref="F11" r:id="rId18"/>
    <hyperlink xmlns:r="http://schemas.openxmlformats.org/officeDocument/2006/relationships" ref="A12" r:id="rId19"/>
    <hyperlink xmlns:r="http://schemas.openxmlformats.org/officeDocument/2006/relationships" ref="E12" r:id="rId20"/>
    <hyperlink xmlns:r="http://schemas.openxmlformats.org/officeDocument/2006/relationships" ref="F12" r:id="rId21"/>
    <hyperlink xmlns:r="http://schemas.openxmlformats.org/officeDocument/2006/relationships" ref="A13" r:id="rId22"/>
    <hyperlink xmlns:r="http://schemas.openxmlformats.org/officeDocument/2006/relationships" ref="E13" r:id="rId23"/>
    <hyperlink xmlns:r="http://schemas.openxmlformats.org/officeDocument/2006/relationships" ref="F13" r:id="rId24"/>
    <hyperlink xmlns:r="http://schemas.openxmlformats.org/officeDocument/2006/relationships" ref="A14" r:id="rId25"/>
    <hyperlink xmlns:r="http://schemas.openxmlformats.org/officeDocument/2006/relationships" ref="E14" r:id="rId26"/>
    <hyperlink xmlns:r="http://schemas.openxmlformats.org/officeDocument/2006/relationships" ref="F14" r:id="rId27"/>
    <hyperlink xmlns:r="http://schemas.openxmlformats.org/officeDocument/2006/relationships" ref="A15" r:id="rId28"/>
    <hyperlink xmlns:r="http://schemas.openxmlformats.org/officeDocument/2006/relationships" ref="E15" r:id="rId29"/>
    <hyperlink xmlns:r="http://schemas.openxmlformats.org/officeDocument/2006/relationships" ref="F15" r:id="rId30"/>
    <hyperlink xmlns:r="http://schemas.openxmlformats.org/officeDocument/2006/relationships" ref="A16" r:id="rId31"/>
    <hyperlink xmlns:r="http://schemas.openxmlformats.org/officeDocument/2006/relationships" ref="E16" r:id="rId32"/>
    <hyperlink xmlns:r="http://schemas.openxmlformats.org/officeDocument/2006/relationships" ref="F16" r:id="rId33"/>
    <hyperlink xmlns:r="http://schemas.openxmlformats.org/officeDocument/2006/relationships" ref="A17" r:id="rId34"/>
    <hyperlink xmlns:r="http://schemas.openxmlformats.org/officeDocument/2006/relationships" ref="E17" r:id="rId35"/>
    <hyperlink xmlns:r="http://schemas.openxmlformats.org/officeDocument/2006/relationships" ref="F17" r:id="rId36"/>
  </hyperlinks>
  <pageMargins left="0.75" right="0.75" top="1" bottom="1" header="0.5" footer="0.5"/>
  <pageSetup orientation="landscape" paperSize="8" fitToHeight="0" fitToWidth="1"/>
  <tableParts count="1">
    <tablePart xmlns:r="http://schemas.openxmlformats.org/officeDocument/2006/relationships" r:id="rId37"/>
  </tableParts>
</worksheet>
</file>

<file path=xl/worksheets/sheet8.xml><?xml version="1.0" encoding="utf-8"?>
<worksheet xmlns="http://schemas.openxmlformats.org/spreadsheetml/2006/main">
  <sheetPr>
    <outlinePr summaryBelow="1" summaryRight="0"/>
    <pageSetUpPr fitToPage="1"/>
  </sheetPr>
  <dimension ref="A1:P12"/>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18" customWidth="1" min="10" max="10"/>
    <col hidden="1" outlineLevel="1" width="24" customWidth="1" min="11" max="11"/>
    <col hidden="1" outlineLevel="1" width="44" customWidth="1" min="12" max="12"/>
    <col hidden="1" outlineLevel="1" width="44" customWidth="1" min="13" max="13"/>
    <col hidden="1" outlineLevel="1" width="44" customWidth="1" min="14" max="14"/>
    <col hidden="1" outlineLevel="1" width="44" customWidth="1" min="15" max="15"/>
    <col hidden="1" outlineLevel="1" width="44" customWidth="1" min="16" max="16"/>
  </cols>
  <sheetData>
    <row r="1" ht="36" customHeight="1">
      <c r="A1" s="1" t="inlineStr">
        <is>
          <t>Rahul Gandhi | Controversies</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Matter ID</t>
        </is>
      </c>
      <c r="B5" s="3" t="inlineStr">
        <is>
          <t>Matter</t>
        </is>
      </c>
      <c r="C5" s="3" t="inlineStr">
        <is>
          <t>Finding</t>
        </is>
      </c>
      <c r="D5" s="3" t="inlineStr">
        <is>
          <t>Procedural status</t>
        </is>
      </c>
      <c r="E5" s="3" t="inlineStr">
        <is>
          <t>Evidence review</t>
        </is>
      </c>
      <c r="F5" s="3" t="inlineStr">
        <is>
          <t>All citations</t>
        </is>
      </c>
      <c r="G5" s="3" t="inlineStr">
        <is>
          <t>Claim details</t>
        </is>
      </c>
      <c r="H5" s="3" t="inlineStr">
        <is>
          <t>Subject / party response</t>
        </is>
      </c>
      <c r="I5" s="3" t="inlineStr">
        <is>
          <t>Finding / dispute qualification</t>
        </is>
      </c>
      <c r="J5" s="3" t="inlineStr">
        <is>
          <t>Latest evidence date</t>
        </is>
      </c>
      <c r="K5" s="3" t="inlineStr">
        <is>
          <t>Claim type</t>
        </is>
      </c>
      <c r="L5" s="3" t="inlineStr">
        <is>
          <t>Source IDs</t>
        </is>
      </c>
      <c r="M5" s="3" t="inlineStr">
        <is>
          <t>Career phase</t>
        </is>
      </c>
      <c r="N5" s="3" t="inlineStr">
        <is>
          <t>Research note</t>
        </is>
      </c>
      <c r="O5" s="3" t="inlineStr">
        <is>
          <t>Corroboration</t>
        </is>
      </c>
      <c r="P5" s="3" t="inlineStr">
        <is>
          <t>Context IDs</t>
        </is>
      </c>
    </row>
    <row r="6" ht="66" customHeight="1">
      <c r="A6" s="4" t="inlineStr">
        <is>
          <t>CO01</t>
        </is>
      </c>
      <c r="B6" s="4" t="inlineStr">
        <is>
          <t>Modi-surname defamation conviction and disqualification</t>
        </is>
      </c>
      <c r="C6" s="4" t="inlineStr">
        <is>
          <t>Trial conviction brought a two-year sentence and parliamentary disqualification in March 2023. Supreme Court stayed conviction on 4 August; membership returned 7 August.</t>
        </is>
      </c>
      <c r="D6" s="4" t="inlineStr">
        <is>
          <t>Conviction stayed; merits disposition after stay not confirmed</t>
        </is>
      </c>
      <c r="E6" s="4" t="inlineStr">
        <is>
          <t>Supported</t>
        </is>
      </c>
      <c r="F6" s="5" t="inlineStr">
        <is>
          <t>All citations</t>
        </is>
      </c>
      <c r="G6" s="5" t="inlineStr">
        <is>
          <t>Claims</t>
        </is>
      </c>
      <c r="H6" s="4" t="inlineStr">
        <is>
          <t>Gandhi pursued appeals and sought a stay.</t>
        </is>
      </c>
      <c r="I6" s="4" t="inlineStr">
        <is>
          <t>Supreme Court criticised his remarks, questioned maximum-sentence reasoning and expressly reserved merits.</t>
        </is>
      </c>
      <c r="J6" s="11" t="n">
        <v>45145</v>
      </c>
      <c r="K6" s="4" t="inlineStr">
        <is>
          <t>Recorded fact</t>
        </is>
      </c>
      <c r="L6" s="4" t="inlineStr">
        <is>
          <t>S010; S011</t>
        </is>
      </c>
      <c r="M6" s="4" t="inlineStr">
        <is>
          <t>P3 | Resignation, yatras and recovery (2019–2024 election)</t>
        </is>
      </c>
      <c r="N6" s="4" t="inlineStr">
        <is>
          <t>Reported allegations are supported as attributed statements, not as findings of wrongdoing.</t>
        </is>
      </c>
      <c r="O6" s="4" t="inlineStr">
        <is>
          <t>Primary record</t>
        </is>
      </c>
      <c r="P6" s="4" t="inlineStr">
        <is>
          <t>CT-P3-01; CT-P3-02; CT-P3-03</t>
        </is>
      </c>
    </row>
    <row r="7" ht="66" customHeight="1">
      <c r="A7" s="6" t="inlineStr">
        <is>
          <t>CO02</t>
        </is>
      </c>
      <c r="B7" s="6" t="inlineStr">
        <is>
          <t>National Herald / ED proceedings</t>
        </is>
      </c>
      <c r="C7" s="6" t="inlineStr">
        <is>
          <t>ED alleges wrongdoing in the AJL/Young Indian transaction. Trial court refused cognisance on 16 December 2025; ED challenged it. September 2026 reporting records pending High Court proceedings.</t>
        </is>
      </c>
      <c r="D7" s="6" t="inlineStr">
        <is>
          <t>Refusal of cognisance challenged; no merits acquittal or conviction established</t>
        </is>
      </c>
      <c r="E7" s="6" t="inlineStr">
        <is>
          <t>Supported</t>
        </is>
      </c>
      <c r="F7" s="7" t="inlineStr">
        <is>
          <t>All citations</t>
        </is>
      </c>
      <c r="G7" s="7" t="inlineStr">
        <is>
          <t>Claims</t>
        </is>
      </c>
      <c r="H7" s="6" t="inlineStr">
        <is>
          <t>Gandhis contest the private-complaint foundation and call ED proceedings legally unsustainable.</t>
        </is>
      </c>
      <c r="I7" s="6" t="inlineStr">
        <is>
          <t>Bar &amp; Bench reports adjournment on 22 September to 12 October 2026; this future date is a listing, not an outcome.</t>
        </is>
      </c>
      <c r="J7" s="12" t="n">
        <v>46287</v>
      </c>
      <c r="K7" s="6" t="inlineStr">
        <is>
          <t>Recorded fact</t>
        </is>
      </c>
      <c r="L7" s="6" t="inlineStr">
        <is>
          <t>S012; S013</t>
        </is>
      </c>
      <c r="M7" s="6" t="inlineStr">
        <is>
          <t>P4 | Leader of Opposition (June 2024–September 2026)</t>
        </is>
      </c>
      <c r="N7" s="6" t="inlineStr">
        <is>
          <t>Reported allegations are supported as attributed statements, not as findings of wrongdoing.</t>
        </is>
      </c>
      <c r="O7" s="6" t="inlineStr">
        <is>
          <t>Multiple independent sources</t>
        </is>
      </c>
      <c r="P7" s="6" t="inlineStr">
        <is>
          <t>CT-P4-01; CT-P4-02; CT-P4-03</t>
        </is>
      </c>
    </row>
    <row r="8" ht="66" customHeight="1">
      <c r="A8" s="4" t="inlineStr">
        <is>
          <t>CO03</t>
        </is>
      </c>
      <c r="B8" s="4" t="inlineStr">
        <is>
          <t>Rafale-related contempt</t>
        </is>
      </c>
      <c r="C8" s="4" t="inlineStr">
        <is>
          <t>Meenakshi Lekhi challenged Gandhi’s false attribution of a campaign slogan to the Supreme Court. Proceedings were closed on 14 November 2019 following an unconditional apology.</t>
        </is>
      </c>
      <c r="D8" s="4" t="inlineStr">
        <is>
          <t>Contempt proceedings closed with caution</t>
        </is>
      </c>
      <c r="E8" s="4" t="inlineStr">
        <is>
          <t>Supported</t>
        </is>
      </c>
      <c r="F8" s="5" t="inlineStr">
        <is>
          <t>All citations</t>
        </is>
      </c>
      <c r="G8" s="5" t="inlineStr">
        <is>
          <t>Claims</t>
        </is>
      </c>
      <c r="H8" s="4" t="inlineStr">
        <is>
          <t>Gandhi tendered an unconditional apology.</t>
        </is>
      </c>
      <c r="I8" s="4" t="inlineStr">
        <is>
          <t>Separate from whether every political allegation about the procurement was substantiated.</t>
        </is>
      </c>
      <c r="J8" s="11" t="n">
        <v>43783</v>
      </c>
      <c r="K8" s="4" t="inlineStr">
        <is>
          <t>Recorded fact</t>
        </is>
      </c>
      <c r="L8" s="4" t="inlineStr">
        <is>
          <t>S029; S010</t>
        </is>
      </c>
      <c r="M8" s="4" t="inlineStr">
        <is>
          <t>P3 | Resignation, yatras and recovery (2019–2024 election)</t>
        </is>
      </c>
      <c r="N8" s="4" t="inlineStr">
        <is>
          <t>Reported allegations are supported as attributed statements, not as findings of wrongdoing.</t>
        </is>
      </c>
      <c r="O8" s="4" t="inlineStr">
        <is>
          <t>Primary record</t>
        </is>
      </c>
      <c r="P8" s="4" t="inlineStr">
        <is>
          <t>CT-P3-01; CT-P3-02; CT-P3-03</t>
        </is>
      </c>
    </row>
    <row r="9" ht="66" customHeight="1">
      <c r="A9" s="6" t="inlineStr">
        <is>
          <t>CO04</t>
        </is>
      </c>
      <c r="B9" s="6" t="inlineStr">
        <is>
          <t>2013 ordinance and prime-ministerial authority</t>
        </is>
      </c>
      <c r="C9" s="6" t="inlineStr">
        <is>
          <t>Critics said his public repudiation embarrassed Manmohan Singh and demonstrated unaccountable family power within Congress. Cabinet subsequently decided to withdraw the proposals.</t>
        </is>
      </c>
      <c r="D9" s="6" t="inlineStr">
        <is>
          <t>Political criticism; Cabinet decision</t>
        </is>
      </c>
      <c r="E9" s="6" t="inlineStr">
        <is>
          <t>Supported</t>
        </is>
      </c>
      <c r="F9" s="7" t="inlineStr">
        <is>
          <t>All citations</t>
        </is>
      </c>
      <c r="G9" s="7" t="inlineStr">
        <is>
          <t>Claims</t>
        </is>
      </c>
      <c r="H9" s="6" t="inlineStr">
        <is>
          <t>Gandhi framed the intervention as refusing compromise over corruption.</t>
        </is>
      </c>
      <c r="I9" s="6" t="inlineStr">
        <is>
          <t>The constitutional withdrawal decision belonged to Cabinet; motivations and propriety remain matters of political assessment.</t>
        </is>
      </c>
      <c r="J9" s="12" t="n">
        <v>41549</v>
      </c>
      <c r="K9" s="6" t="inlineStr">
        <is>
          <t>Recorded fact</t>
        </is>
      </c>
      <c r="L9" s="6" t="inlineStr">
        <is>
          <t>S038; S039</t>
        </is>
      </c>
      <c r="M9" s="6" t="inlineStr">
        <is>
          <t>P1 | Entry and UPA years (2004–2013)</t>
        </is>
      </c>
      <c r="N9" s="6" t="inlineStr">
        <is>
          <t>Reported allegations are supported as attributed statements, not as findings of wrongdoing.</t>
        </is>
      </c>
      <c r="O9" s="6" t="inlineStr">
        <is>
          <t>Multiple independent sources</t>
        </is>
      </c>
      <c r="P9" s="6" t="inlineStr">
        <is>
          <t>CT-P1-01; CT-P1-02; CT-P1-03</t>
        </is>
      </c>
    </row>
    <row r="10" ht="66" customHeight="1">
      <c r="A10" s="4" t="inlineStr">
        <is>
          <t>CO05</t>
        </is>
      </c>
      <c r="B10" s="4" t="inlineStr">
        <is>
          <t>Dynasty versus organisational reform</t>
        </is>
      </c>
      <c r="C10" s="4" t="inlineStr">
        <is>
          <t>Opponents attacked his inherited prominence; youth-organisation reforms were also criticised by Congress figures for generating factional competition.</t>
        </is>
      </c>
      <c r="D10" s="4" t="inlineStr">
        <is>
          <t>Political and organisational criticism</t>
        </is>
      </c>
      <c r="E10" s="4" t="inlineStr">
        <is>
          <t>Supported</t>
        </is>
      </c>
      <c r="F10" s="5" t="inlineStr">
        <is>
          <t>All citations</t>
        </is>
      </c>
      <c r="G10" s="5" t="inlineStr">
        <is>
          <t>Claims</t>
        </is>
      </c>
      <c r="H10" s="4" t="inlineStr">
        <is>
          <t>IYC chief Rajiv Satav defended elections as opening opportunities and supported continuation.</t>
        </is>
      </c>
      <c r="I10" s="4" t="inlineStr">
        <is>
          <t>Dynastic entry and attempts at organisational reform can coexist; neither proves the full outcome of the other.</t>
        </is>
      </c>
      <c r="J10" s="11" t="n">
        <v>41815</v>
      </c>
      <c r="K10" s="4" t="inlineStr">
        <is>
          <t>Attributed position</t>
        </is>
      </c>
      <c r="L10" s="4" t="inlineStr">
        <is>
          <t>S021; S022; S023</t>
        </is>
      </c>
      <c r="M10" s="4" t="inlineStr">
        <is>
          <t>P2 | Opposition and party presidency (2014–2019 election)</t>
        </is>
      </c>
      <c r="N10" s="4" t="inlineStr">
        <is>
          <t>Reported allegations are supported as attributed statements, not as findings of wrongdoing.</t>
        </is>
      </c>
      <c r="O10" s="4" t="inlineStr">
        <is>
          <t>Multiple independent sources</t>
        </is>
      </c>
      <c r="P10" s="4" t="inlineStr">
        <is>
          <t>CT-P2-01; CT-P2-02; CT-P2-03</t>
        </is>
      </c>
    </row>
    <row r="11" ht="80" customHeight="1">
      <c r="A11" s="6" t="inlineStr">
        <is>
          <t>CO06</t>
        </is>
      </c>
      <c r="B11" s="6" t="inlineStr">
        <is>
          <t>Electoral-roll and rigging allegations</t>
        </is>
      </c>
      <c r="C11" s="6" t="inlineStr">
        <is>
          <t>Gandhi alleged roll manipulation in 2025 and escalated claims in September 2026. ECI rejected the allegations and described internal dissent as part of normal decision-making.</t>
        </is>
      </c>
      <c r="D11" s="6" t="inlineStr">
        <is>
          <t>Contested allegations; no national rigging finding established here</t>
        </is>
      </c>
      <c r="E11" s="6" t="inlineStr">
        <is>
          <t>Supported</t>
        </is>
      </c>
      <c r="F11" s="7" t="inlineStr">
        <is>
          <t>All citations</t>
        </is>
      </c>
      <c r="G11" s="7" t="inlineStr">
        <is>
          <t>Claims</t>
        </is>
      </c>
      <c r="H11" s="6" t="inlineStr">
        <is>
          <t>He says his data prove malpractice; Congress disputed completeness of information provided to investigators.</t>
        </is>
      </c>
      <c r="I11" s="6" t="inlineStr">
        <is>
          <t>EC said an Aland FIR was registered and information shared; in 2026 it said final decisions were unanimous. Neither side’s assertion is treated as adjudication.</t>
        </is>
      </c>
      <c r="J11" s="12" t="n">
        <v>46289</v>
      </c>
      <c r="K11" s="6" t="inlineStr">
        <is>
          <t>Attributed position</t>
        </is>
      </c>
      <c r="L11" s="6" t="inlineStr">
        <is>
          <t>S031; S030</t>
        </is>
      </c>
      <c r="M11" s="6" t="inlineStr">
        <is>
          <t>P4 | Leader of Opposition (June 2024–September 2026)</t>
        </is>
      </c>
      <c r="N11" s="6" t="inlineStr">
        <is>
          <t>Reported allegations are supported as attributed statements, not as findings of wrongdoing.</t>
        </is>
      </c>
      <c r="O11" s="6" t="inlineStr">
        <is>
          <t>Multiple independent sources</t>
        </is>
      </c>
      <c r="P11" s="6" t="inlineStr">
        <is>
          <t>CT-P4-01; CT-P4-02; CT-P4-03</t>
        </is>
      </c>
    </row>
    <row r="12" ht="66" customHeight="1">
      <c r="A12" s="4" t="inlineStr">
        <is>
          <t>CO07</t>
        </is>
      </c>
      <c r="B12" s="4" t="inlineStr">
        <is>
          <t>Electoral leadership and organisation</t>
        </is>
      </c>
      <c r="C12" s="4" t="inlineStr">
        <is>
          <t>2012 UP and 2019 national defeats generated accountability questions; losing Congress candidates blamed organisational and campaign choices after Bihar 2025.</t>
        </is>
      </c>
      <c r="D12" s="4" t="inlineStr">
        <is>
          <t>Electoral results and attributed criticism</t>
        </is>
      </c>
      <c r="E12" s="4" t="inlineStr">
        <is>
          <t>Supported</t>
        </is>
      </c>
      <c r="F12" s="5" t="inlineStr">
        <is>
          <t>All citations</t>
        </is>
      </c>
      <c r="G12" s="5" t="inlineStr">
        <is>
          <t>Claims</t>
        </is>
      </c>
      <c r="H12" s="4" t="inlineStr">
        <is>
          <t>Publicly accepted responsibility in 2012 and 2019; reportedly accepted shared responsibility at the Bihar review.</t>
        </is>
      </c>
      <c r="I12" s="4" t="inlineStr">
        <is>
          <t>Bihar meeting report relies on unnamed sources; campaign failure cannot be reduced to a single cause.</t>
        </is>
      </c>
      <c r="J12" s="11" t="n">
        <v>45989</v>
      </c>
      <c r="K12" s="4" t="inlineStr">
        <is>
          <t>Attributed position</t>
        </is>
      </c>
      <c r="L12" s="4" t="inlineStr">
        <is>
          <t>S034; S014; S026; S027</t>
        </is>
      </c>
      <c r="M12" s="4" t="inlineStr">
        <is>
          <t>P4 | Leader of Opposition (June 2024–September 2026)</t>
        </is>
      </c>
      <c r="N12" s="4" t="inlineStr">
        <is>
          <t>Reported allegations are supported as attributed statements, not as findings of wrongdoing.</t>
        </is>
      </c>
      <c r="O12" s="4" t="inlineStr">
        <is>
          <t>Multiple independent sources</t>
        </is>
      </c>
      <c r="P12" s="4" t="inlineStr">
        <is>
          <t>CT-P4-01; CT-P4-02; CT-P4-03</t>
        </is>
      </c>
    </row>
  </sheetData>
  <autoFilter ref="A5:P12"/>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s>
  <pageMargins left="0.75" right="0.75" top="1" bottom="1" header="0.5" footer="0.5"/>
  <pageSetup orientation="landscape" paperSize="8" fitToHeight="0" fitToWidth="1"/>
  <tableParts count="1">
    <tablePart xmlns:r="http://schemas.openxmlformats.org/officeDocument/2006/relationships" r:id="rId15"/>
  </tableParts>
</worksheet>
</file>

<file path=xl/worksheets/sheet9.xml><?xml version="1.0" encoding="utf-8"?>
<worksheet xmlns="http://schemas.openxmlformats.org/spreadsheetml/2006/main">
  <sheetPr>
    <outlinePr summaryBelow="1" summaryRight="0"/>
    <pageSetUpPr fitToPage="1"/>
  </sheetPr>
  <dimension ref="A1:L1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24" customWidth="1" min="4" max="4"/>
    <col width="16" customWidth="1" min="5" max="5"/>
    <col collapsed="1" width="16" customWidth="1" min="6" max="6"/>
    <col hidden="1" outlineLevel="1" width="44" customWidth="1" min="7" max="7"/>
    <col hidden="1" outlineLevel="1" width="24" customWidth="1" min="8" max="8"/>
    <col hidden="1" outlineLevel="1" width="44" customWidth="1" min="9" max="9"/>
    <col hidden="1" outlineLevel="1" width="44" customWidth="1" min="10" max="10"/>
    <col hidden="1" outlineLevel="1" width="44" customWidth="1" min="11" max="11"/>
    <col hidden="1" outlineLevel="1" width="44" customWidth="1" min="12" max="12"/>
  </cols>
  <sheetData>
    <row r="1" ht="36" customHeight="1">
      <c r="A1" s="1" t="inlineStr">
        <is>
          <t>Rahul Gandhi | Legacy &amp; Assessments</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Assessment ID</t>
        </is>
      </c>
      <c r="B5" s="3" t="inlineStr">
        <is>
          <t>Theme</t>
        </is>
      </c>
      <c r="C5" s="3" t="inlineStr">
        <is>
          <t>Assessment</t>
        </is>
      </c>
      <c r="D5" s="3" t="inlineStr">
        <is>
          <t>Evidence review</t>
        </is>
      </c>
      <c r="E5" s="3" t="inlineStr">
        <is>
          <t>All citations</t>
        </is>
      </c>
      <c r="F5" s="3" t="inlineStr">
        <is>
          <t>Claim details</t>
        </is>
      </c>
      <c r="G5" s="3" t="inlineStr">
        <is>
          <t>Assessor</t>
        </is>
      </c>
      <c r="H5" s="3" t="inlineStr">
        <is>
          <t>Claim type</t>
        </is>
      </c>
      <c r="I5" s="3" t="inlineStr">
        <is>
          <t>Source IDs</t>
        </is>
      </c>
      <c r="J5" s="3" t="inlineStr">
        <is>
          <t>Career phase</t>
        </is>
      </c>
      <c r="K5" s="3" t="inlineStr">
        <is>
          <t>Corroboration</t>
        </is>
      </c>
      <c r="L5" s="3" t="inlineStr">
        <is>
          <t>Context IDs</t>
        </is>
      </c>
    </row>
    <row r="6" ht="94" customHeight="1">
      <c r="A6" s="4" t="inlineStr">
        <is>
          <t>LA01</t>
        </is>
      </c>
      <c r="B6" s="4" t="inlineStr">
        <is>
          <t>Recovery of political credibility</t>
        </is>
      </c>
      <c r="C6" s="4" t="inlineStr">
        <is>
          <t>Reuters reported a revived image in 2024; analyst Rahul Verma credited mobilisation and ideological clarity. The observation does not isolate Gandhi’s contribution from allies or local candidates.</t>
        </is>
      </c>
      <c r="D6" s="4" t="inlineStr">
        <is>
          <t>Supported</t>
        </is>
      </c>
      <c r="E6" s="5" t="inlineStr">
        <is>
          <t>All citations</t>
        </is>
      </c>
      <c r="F6" s="5" t="inlineStr">
        <is>
          <t>Claims</t>
        </is>
      </c>
      <c r="G6" s="4" t="inlineStr">
        <is>
          <t>Reuters / Rahul Verma</t>
        </is>
      </c>
      <c r="H6" s="4" t="inlineStr">
        <is>
          <t>Analysis</t>
        </is>
      </c>
      <c r="I6" s="4" t="inlineStr">
        <is>
          <t>S023</t>
        </is>
      </c>
      <c r="J6" s="4" t="inlineStr">
        <is>
          <t>P4 | Leader of Opposition (June 2024–September 2026)</t>
        </is>
      </c>
      <c r="K6" s="4" t="inlineStr">
        <is>
          <t>Single credible source</t>
        </is>
      </c>
      <c r="L6" s="4" t="inlineStr">
        <is>
          <t>CT-P4-01; CT-P4-02; CT-P4-03</t>
        </is>
      </c>
    </row>
    <row r="7" ht="80" customHeight="1">
      <c r="A7" s="6" t="inlineStr">
        <is>
          <t>LA02</t>
        </is>
      </c>
      <c r="B7" s="6" t="inlineStr">
        <is>
          <t>Limits of the 2024 turning point</t>
        </is>
      </c>
      <c r="C7" s="6" t="inlineStr">
        <is>
          <t>Vaishnav and Mallory argued that the 2024 verdict curbed BJP dominance while preserving BJP centrality. This qualifies claims that Gandhi had transformed the entire party system.</t>
        </is>
      </c>
      <c r="D7" s="6" t="inlineStr">
        <is>
          <t>Supported</t>
        </is>
      </c>
      <c r="E7" s="7" t="inlineStr">
        <is>
          <t>All citations</t>
        </is>
      </c>
      <c r="F7" s="7" t="inlineStr">
        <is>
          <t>Claims</t>
        </is>
      </c>
      <c r="G7" s="6" t="inlineStr">
        <is>
          <t>Carnegie research, September 2024</t>
        </is>
      </c>
      <c r="H7" s="6" t="inlineStr">
        <is>
          <t>Analysis</t>
        </is>
      </c>
      <c r="I7" s="6" t="inlineStr">
        <is>
          <t>S024</t>
        </is>
      </c>
      <c r="J7" s="6" t="inlineStr">
        <is>
          <t>P4 | Leader of Opposition (June 2024–September 2026)</t>
        </is>
      </c>
      <c r="K7" s="6" t="inlineStr">
        <is>
          <t>Single credible source</t>
        </is>
      </c>
      <c r="L7" s="6" t="inlineStr">
        <is>
          <t>CT-P4-01; CT-P4-02; CT-P4-03</t>
        </is>
      </c>
    </row>
    <row r="8" ht="80" customHeight="1">
      <c r="A8" s="4" t="inlineStr">
        <is>
          <t>LA03</t>
        </is>
      </c>
      <c r="B8" s="4" t="inlineStr">
        <is>
          <t>Organisational reform as unfinished work</t>
        </is>
      </c>
      <c r="C8" s="4" t="inlineStr">
        <is>
          <t>Internal youth elections were a documented intervention. Supporters’ access claims and critics’ factionalism claims leave their durable institutional effect unsettled.</t>
        </is>
      </c>
      <c r="D8" s="4" t="inlineStr">
        <is>
          <t>Supported</t>
        </is>
      </c>
      <c r="E8" s="5" t="inlineStr">
        <is>
          <t>All citations</t>
        </is>
      </c>
      <c r="F8" s="5" t="inlineStr">
        <is>
          <t>Claims</t>
        </is>
      </c>
      <c r="G8" s="4" t="inlineStr">
        <is>
          <t>Synthesis of contemporaneous reporting</t>
        </is>
      </c>
      <c r="H8" s="4" t="inlineStr">
        <is>
          <t>Analysis</t>
        </is>
      </c>
      <c r="I8" s="4" t="inlineStr">
        <is>
          <t>S021; S022</t>
        </is>
      </c>
      <c r="J8" s="4" t="inlineStr">
        <is>
          <t>P1 | Entry and UPA years (2004–2013)</t>
        </is>
      </c>
      <c r="K8" s="4" t="inlineStr">
        <is>
          <t>Multiple independent sources</t>
        </is>
      </c>
      <c r="L8" s="4" t="inlineStr">
        <is>
          <t>CT-P1-01; CT-P1-02; CT-P1-03</t>
        </is>
      </c>
    </row>
    <row r="9" ht="80" customHeight="1">
      <c r="A9" s="6" t="inlineStr">
        <is>
          <t>LA04</t>
        </is>
      </c>
      <c r="B9" s="6" t="inlineStr">
        <is>
          <t>Policy influence without executive control</t>
        </is>
      </c>
      <c r="C9" s="6" t="inlineStr">
        <is>
          <t>Caste-enumeration advocacy reached a government decision, but government and opposition claim credit. The evidence establishes advocacy and adoption separately, not sole authorship.</t>
        </is>
      </c>
      <c r="D9" s="6" t="inlineStr">
        <is>
          <t>Supported</t>
        </is>
      </c>
      <c r="E9" s="7" t="inlineStr">
        <is>
          <t>All citations</t>
        </is>
      </c>
      <c r="F9" s="7" t="inlineStr">
        <is>
          <t>Claims</t>
        </is>
      </c>
      <c r="G9" s="6" t="inlineStr">
        <is>
          <t>Synthesis of official decision and responses</t>
        </is>
      </c>
      <c r="H9" s="6" t="inlineStr">
        <is>
          <t>Analysis</t>
        </is>
      </c>
      <c r="I9" s="6" t="inlineStr">
        <is>
          <t>S035; S036</t>
        </is>
      </c>
      <c r="J9" s="6" t="inlineStr">
        <is>
          <t>P4 | Leader of Opposition (June 2024–September 2026)</t>
        </is>
      </c>
      <c r="K9" s="6" t="inlineStr">
        <is>
          <t>Primary record</t>
        </is>
      </c>
      <c r="L9" s="6" t="inlineStr">
        <is>
          <t>CT-P4-01; CT-P4-02; CT-P4-03</t>
        </is>
      </c>
    </row>
    <row r="10" ht="80" customHeight="1">
      <c r="A10" s="4" t="inlineStr">
        <is>
          <t>LA05</t>
        </is>
      </c>
      <c r="B10" s="4" t="inlineStr">
        <is>
          <t>Persistent implementation gap in political organisation</t>
        </is>
      </c>
      <c r="C10" s="4" t="inlineStr">
        <is>
          <t>Bihar 2025 renewed questions about converting publicity into local organisation. Losing candidates’ explanations are evidence of internal criticism, not a controlled causal study.</t>
        </is>
      </c>
      <c r="D10" s="4" t="inlineStr">
        <is>
          <t>Supported</t>
        </is>
      </c>
      <c r="E10" s="5" t="inlineStr">
        <is>
          <t>All citations</t>
        </is>
      </c>
      <c r="F10" s="5" t="inlineStr">
        <is>
          <t>Claims</t>
        </is>
      </c>
      <c r="G10" s="4" t="inlineStr">
        <is>
          <t>Asad Rehman’s candidate interviews</t>
        </is>
      </c>
      <c r="H10" s="4" t="inlineStr">
        <is>
          <t>Analysis</t>
        </is>
      </c>
      <c r="I10" s="4" t="inlineStr">
        <is>
          <t>S026; S027</t>
        </is>
      </c>
      <c r="J10" s="4" t="inlineStr">
        <is>
          <t>P4 | Leader of Opposition (June 2024–September 2026)</t>
        </is>
      </c>
      <c r="K10" s="4" t="inlineStr">
        <is>
          <t>Multiple independent sources</t>
        </is>
      </c>
      <c r="L10" s="4" t="inlineStr">
        <is>
          <t>CT-P4-01; CT-P4-02; CT-P4-03</t>
        </is>
      </c>
    </row>
    <row r="11" ht="94" customHeight="1">
      <c r="A11" s="6" t="inlineStr">
        <is>
          <t>LA06</t>
        </is>
      </c>
      <c r="B11" s="6" t="inlineStr">
        <is>
          <t>Provisional legacy</t>
        </is>
      </c>
      <c r="C11" s="6" t="inlineStr">
        <is>
          <t>His career remains open. Formal opposition leadership, electoral resilience and social-justice advocacy are established areas for assessment; national executive performance is not demonstrated by this record.</t>
        </is>
      </c>
      <c r="D11" s="6" t="inlineStr">
        <is>
          <t>Supported</t>
        </is>
      </c>
      <c r="E11" s="7" t="inlineStr">
        <is>
          <t>All citations</t>
        </is>
      </c>
      <c r="F11" s="7" t="inlineStr">
        <is>
          <t>Claims</t>
        </is>
      </c>
      <c r="G11" s="6" t="inlineStr">
        <is>
          <t>Workbook synthesis</t>
        </is>
      </c>
      <c r="H11" s="6" t="inlineStr">
        <is>
          <t>Analysis</t>
        </is>
      </c>
      <c r="I11" s="6" t="inlineStr">
        <is>
          <t>S002; S003; S023; S035</t>
        </is>
      </c>
      <c r="J11" s="6" t="inlineStr">
        <is>
          <t>P4 | Leader of Opposition (June 2024–September 2026)</t>
        </is>
      </c>
      <c r="K11" s="6" t="inlineStr">
        <is>
          <t>Primary record</t>
        </is>
      </c>
      <c r="L11" s="6" t="inlineStr">
        <is>
          <t>CT-P4-01; CT-P4-02; CT-P4-03</t>
        </is>
      </c>
    </row>
  </sheetData>
  <autoFilter ref="A5:L11"/>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s>
  <pageMargins left="0.75" right="0.75" top="1" bottom="1" header="0.5" footer="0.5"/>
  <pageSetup orientation="landscape" paperSize="8" fitToHeight="0" fitToWidth="1"/>
  <tableParts count="1">
    <tablePart xmlns:r="http://schemas.openxmlformats.org/officeDocument/2006/relationships" r:id="rId13"/>
  </tableParts>
</worksheet>
</file>

<file path=xl/worksheets/sheet10.xml><?xml version="1.0" encoding="utf-8"?>
<worksheet xmlns="http://schemas.openxmlformats.org/spreadsheetml/2006/main">
  <sheetPr>
    <outlinePr summaryBelow="1" summaryRight="0"/>
    <pageSetUpPr fitToPage="1"/>
  </sheetPr>
  <dimension ref="A1:N4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4" customWidth="1" min="3" max="3"/>
    <col collapsed="1" width="34" customWidth="1" min="4" max="4"/>
    <col hidden="1" outlineLevel="1" width="44" customWidth="1" min="5" max="5"/>
    <col hidden="1" outlineLevel="1" width="18" customWidth="1" min="6" max="6"/>
    <col hidden="1" outlineLevel="1" width="18" customWidth="1" min="7" max="7"/>
    <col hidden="1" outlineLevel="1" width="44" customWidth="1" min="8" max="8"/>
    <col hidden="1" outlineLevel="1" width="44" customWidth="1" min="9" max="9"/>
    <col hidden="1" outlineLevel="1" width="16"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Rahul Gandhi | Sources</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Source ID</t>
        </is>
      </c>
      <c r="B5" s="3" t="inlineStr">
        <is>
          <t>Title</t>
        </is>
      </c>
      <c r="C5" s="3" t="inlineStr">
        <is>
          <t>Access status</t>
        </is>
      </c>
      <c r="D5" s="3" t="inlineStr">
        <is>
          <t>URL</t>
        </is>
      </c>
      <c r="E5" s="3" t="inlineStr">
        <is>
          <t>Author / institution</t>
        </is>
      </c>
      <c r="F5" s="3" t="inlineStr">
        <is>
          <t>Publication date</t>
        </is>
      </c>
      <c r="G5" s="3" t="inlineStr">
        <is>
          <t>Access date</t>
        </is>
      </c>
      <c r="H5" s="3" t="inlineStr">
        <is>
          <t>Source class</t>
        </is>
      </c>
      <c r="I5" s="3" t="inlineStr">
        <is>
          <t>Primary / secondary</t>
        </is>
      </c>
      <c r="J5" s="3" t="inlineStr">
        <is>
          <t>Origin ID</t>
        </is>
      </c>
      <c r="K5" s="3" t="inlineStr">
        <is>
          <t>Locator</t>
        </is>
      </c>
      <c r="L5" s="3" t="inlineStr">
        <is>
          <t>Reliability / limitation</t>
        </is>
      </c>
      <c r="M5" s="3" t="inlineStr">
        <is>
          <t>Language / geography</t>
        </is>
      </c>
      <c r="N5" s="3" t="inlineStr">
        <is>
          <t>Used in</t>
        </is>
      </c>
    </row>
    <row r="6" ht="52" customHeight="1">
      <c r="A6" s="4" t="inlineStr">
        <is>
          <t>S001</t>
        </is>
      </c>
      <c r="B6" s="4" t="inlineStr">
        <is>
          <t>Rahul Gandhi: current member biography</t>
        </is>
      </c>
      <c r="C6" s="4" t="inlineStr">
        <is>
          <t>Located only</t>
        </is>
      </c>
      <c r="D6" s="5" t="inlineStr">
        <is>
          <t>https://sansad.in/ls/members/biography/4074?from=members</t>
        </is>
      </c>
      <c r="E6" s="4" t="inlineStr">
        <is>
          <t>Lok Sabha Secretariat</t>
        </is>
      </c>
      <c r="F6" s="4" t="n"/>
      <c r="G6" s="4" t="inlineStr">
        <is>
          <t>2026-09-24</t>
        </is>
      </c>
      <c r="H6" s="4" t="inlineStr">
        <is>
          <t>Official record</t>
        </is>
      </c>
      <c r="I6" s="4" t="inlineStr">
        <is>
          <t>Primary</t>
        </is>
      </c>
      <c r="J6" s="4" t="inlineStr">
        <is>
          <t>S001</t>
        </is>
      </c>
      <c r="K6" s="4" t="inlineStr">
        <is>
          <t>Member ID 4074</t>
        </is>
      </c>
      <c r="L6" s="4" t="inlineStr">
        <is>
          <t>Dynamic page returned no readable text; not used to support reviewed findings.</t>
        </is>
      </c>
      <c r="M6" s="4" t="inlineStr">
        <is>
          <t>English / India</t>
        </is>
      </c>
      <c r="N6" s="4" t="inlineStr"/>
    </row>
    <row r="7" ht="52" customHeight="1">
      <c r="A7" s="6" t="inlineStr">
        <is>
          <t>S002</t>
        </is>
      </c>
      <c r="B7" s="6" t="inlineStr">
        <is>
          <t>Leader of Opposition</t>
        </is>
      </c>
      <c r="C7" s="6" t="inlineStr">
        <is>
          <t>Passage inspected</t>
        </is>
      </c>
      <c r="D7" s="7" t="inlineStr">
        <is>
          <t>https://sansad.in/ls/about/leader-of-opposition</t>
        </is>
      </c>
      <c r="E7" s="6" t="inlineStr">
        <is>
          <t>Lok Sabha Secretariat</t>
        </is>
      </c>
      <c r="F7" s="6" t="n"/>
      <c r="G7" s="6" t="inlineStr">
        <is>
          <t>2026-09-24</t>
        </is>
      </c>
      <c r="H7" s="6" t="inlineStr">
        <is>
          <t>Official record</t>
        </is>
      </c>
      <c r="I7" s="6" t="inlineStr">
        <is>
          <t>Primary</t>
        </is>
      </c>
      <c r="J7" s="6" t="inlineStr">
        <is>
          <t>S002</t>
        </is>
      </c>
      <c r="K7" s="6" t="inlineStr">
        <is>
          <t>Present leader; lines 23–31</t>
        </is>
      </c>
      <c r="L7" s="6" t="inlineStr">
        <is>
          <t>Read only for the specified passage and claim; no blanket verification of the publication.</t>
        </is>
      </c>
      <c r="M7" s="6" t="inlineStr">
        <is>
          <t>English / India</t>
        </is>
      </c>
      <c r="N7" s="6" t="inlineStr">
        <is>
          <t>Overview; Context &amp; Constraints; Career Timeline; Offices &amp; Party; Legacy &amp; Assessments</t>
        </is>
      </c>
    </row>
    <row r="8" ht="52" customHeight="1">
      <c r="A8" s="4" t="inlineStr">
        <is>
          <t>S003</t>
        </is>
      </c>
      <c r="B8" s="4" t="inlineStr">
        <is>
          <t>Rahul Gandhi: 18th Lok Sabha MPTrack</t>
        </is>
      </c>
      <c r="C8" s="4" t="inlineStr">
        <is>
          <t>Passage inspected</t>
        </is>
      </c>
      <c r="D8" s="5" t="inlineStr">
        <is>
          <t>https://prsindia.org/mptrack/18-lok-sabha/rahul-gandhi</t>
        </is>
      </c>
      <c r="E8" s="4" t="inlineStr">
        <is>
          <t>PRS Legislative Research</t>
        </is>
      </c>
      <c r="F8" s="4" t="n"/>
      <c r="G8" s="4" t="inlineStr">
        <is>
          <t>2026-09-24</t>
        </is>
      </c>
      <c r="H8" s="4" t="inlineStr">
        <is>
          <t>Dataset</t>
        </is>
      </c>
      <c r="I8" s="4" t="inlineStr">
        <is>
          <t>Secondary</t>
        </is>
      </c>
      <c r="J8" s="4" t="inlineStr">
        <is>
          <t>S003</t>
        </is>
      </c>
      <c r="K8" s="4" t="inlineStr">
        <is>
          <t>Profile and Parliamentary Activity; data through 13 August 2026</t>
        </is>
      </c>
      <c r="L8" s="4" t="inlineStr">
        <is>
          <t>Tracker periods are not the workbook cutoff. Counts are activity measures, not a leadership score.</t>
        </is>
      </c>
      <c r="M8" s="4" t="inlineStr">
        <is>
          <t>English / India</t>
        </is>
      </c>
      <c r="N8" s="4" t="inlineStr">
        <is>
          <t>Overview; Context &amp; Constraints; Offices &amp; Party; Policy &amp; Governance; Legacy &amp; Assessments</t>
        </is>
      </c>
    </row>
    <row r="9" ht="80" customHeight="1">
      <c r="A9" s="6" t="inlineStr">
        <is>
          <t>S004</t>
        </is>
      </c>
      <c r="B9" s="6" t="inlineStr">
        <is>
          <t>Shri Rahul Gandhi: past party president</t>
        </is>
      </c>
      <c r="C9" s="6" t="inlineStr">
        <is>
          <t>Passage inspected</t>
        </is>
      </c>
      <c r="D9" s="7" t="inlineStr">
        <is>
          <t>https://inc.in/leadership/past-party-presidents/shri-rahul-gandhi</t>
        </is>
      </c>
      <c r="E9" s="6" t="inlineStr">
        <is>
          <t>Indian National Congress</t>
        </is>
      </c>
      <c r="F9" s="6" t="n"/>
      <c r="G9" s="6" t="inlineStr">
        <is>
          <t>2026-09-24</t>
        </is>
      </c>
      <c r="H9" s="6" t="inlineStr">
        <is>
          <t>Party / campaign</t>
        </is>
      </c>
      <c r="I9" s="6" t="inlineStr">
        <is>
          <t>Primary</t>
        </is>
      </c>
      <c r="J9" s="6" t="inlineStr">
        <is>
          <t>S004</t>
        </is>
      </c>
      <c r="K9" s="6" t="inlineStr">
        <is>
          <t>Family; Political journey; Presidency; Post-presidency</t>
        </is>
      </c>
      <c r="L9" s="6" t="inlineStr">
        <is>
          <t>Interested party biography. Its four-term/Wayanad present-tense description is stale. May 2019 resignation is distinguished from July public confirmation.</t>
        </is>
      </c>
      <c r="M9" s="6" t="inlineStr">
        <is>
          <t>English / India</t>
        </is>
      </c>
      <c r="N9" s="6" t="inlineStr">
        <is>
          <t>Overview; Context &amp; Constraints; Career Timeline; Offices &amp; Party; Ideas &amp; Political Method</t>
        </is>
      </c>
    </row>
    <row r="10" ht="80" customHeight="1">
      <c r="A10" s="4" t="inlineStr">
        <is>
          <t>S005</t>
        </is>
      </c>
      <c r="B10" s="4" t="inlineStr">
        <is>
          <t>Rahul Gandhi turns 53: before joining politics</t>
        </is>
      </c>
      <c r="C10" s="4" t="inlineStr">
        <is>
          <t>Passage inspected</t>
        </is>
      </c>
      <c r="D10" s="5" t="inlineStr">
        <is>
          <t>https://indianexpress.com/article/explained/explained-politics/rahul-gandhi-turns-53-what-he-was-doing-before-politics-8672843/lite/</t>
        </is>
      </c>
      <c r="E10" s="4" t="inlineStr">
        <is>
          <t>Explained Desk, Indian Express</t>
        </is>
      </c>
      <c r="F10" s="4" t="inlineStr">
        <is>
          <t>2023-06-19</t>
        </is>
      </c>
      <c r="G10" s="4" t="inlineStr">
        <is>
          <t>2026-09-24</t>
        </is>
      </c>
      <c r="H10" s="4" t="inlineStr">
        <is>
          <t>Journalism</t>
        </is>
      </c>
      <c r="I10" s="4" t="inlineStr">
        <is>
          <t>Secondary</t>
        </is>
      </c>
      <c r="J10" s="4" t="inlineStr">
        <is>
          <t>S005</t>
        </is>
      </c>
      <c r="K10" s="4" t="inlineStr">
        <is>
          <t>Education and After college; lines 40–61</t>
        </is>
      </c>
      <c r="L10" s="4" t="inlineStr">
        <is>
          <t>Education confirmation is reproduced reporting; underlying university statement not retrieved.</t>
        </is>
      </c>
      <c r="M10" s="4" t="inlineStr">
        <is>
          <t>English / India</t>
        </is>
      </c>
      <c r="N10" s="4" t="inlineStr">
        <is>
          <t>Overview; Context &amp; Constraints; Career Timeline</t>
        </is>
      </c>
    </row>
    <row r="11" ht="80" customHeight="1">
      <c r="A11" s="6" t="inlineStr">
        <is>
          <t>S006</t>
        </is>
      </c>
      <c r="B11" s="6" t="inlineStr">
        <is>
          <t>General Election 2024: constituency-wise detailed result</t>
        </is>
      </c>
      <c r="C11" s="6" t="inlineStr">
        <is>
          <t>Passage inspected</t>
        </is>
      </c>
      <c r="D11" s="7" t="inlineStr">
        <is>
          <t>https://www.eci.gov.in/eci-backend/public/all_files/GE-2024-statistical-report/33-Constituency-Wise-Detailed-Result.pdf</t>
        </is>
      </c>
      <c r="E11" s="6" t="inlineStr">
        <is>
          <t>Election Commission of India</t>
        </is>
      </c>
      <c r="F11" s="6" t="n"/>
      <c r="G11" s="6" t="inlineStr">
        <is>
          <t>2026-09-24</t>
        </is>
      </c>
      <c r="H11" s="6" t="inlineStr">
        <is>
          <t>Official record</t>
        </is>
      </c>
      <c r="I11" s="6" t="inlineStr">
        <is>
          <t>Primary</t>
        </is>
      </c>
      <c r="J11" s="6" t="inlineStr">
        <is>
          <t>S006</t>
        </is>
      </c>
      <c r="K11" s="6" t="inlineStr">
        <is>
          <t>Printed pp.165 and 444; Wayanad and Rae Bareli</t>
        </is>
      </c>
      <c r="L11" s="6" t="inlineStr">
        <is>
          <t>Final report distinguishes total polled, counted votes and valid candidate votes. Workbook vote shares for 2024 use total polled, not election-night denominator.</t>
        </is>
      </c>
      <c r="M11" s="6" t="inlineStr">
        <is>
          <t>English / India</t>
        </is>
      </c>
      <c r="N11" s="6" t="inlineStr">
        <is>
          <t>Overview; Context &amp; Constraints; Career Timeline; Elections; Offices &amp; Party</t>
        </is>
      </c>
    </row>
    <row r="12" ht="66" customHeight="1">
      <c r="A12" s="4" t="inlineStr">
        <is>
          <t>S007</t>
        </is>
      </c>
      <c r="B12" s="4" t="inlineStr">
        <is>
          <t>Analysis of Vote Share and Margin of Victory: Lok Sabha 2019</t>
        </is>
      </c>
      <c r="C12" s="4" t="inlineStr">
        <is>
          <t>Passage inspected</t>
        </is>
      </c>
      <c r="D12" s="5" t="inlineStr">
        <is>
          <t>https://adrindia.org/sites/default/files/Analysis_of_Vote_Share_Margin_Of_Victory_Lok_Sabha__2019.pdf</t>
        </is>
      </c>
      <c r="E12" s="4" t="inlineStr">
        <is>
          <t>Association for Democratic Reforms / National Election Watch</t>
        </is>
      </c>
      <c r="F12" s="4" t="inlineStr">
        <is>
          <t>2019-07-18</t>
        </is>
      </c>
      <c r="G12" s="4" t="inlineStr">
        <is>
          <t>2026-09-24</t>
        </is>
      </c>
      <c r="H12" s="4" t="inlineStr">
        <is>
          <t>Dataset</t>
        </is>
      </c>
      <c r="I12" s="4" t="inlineStr">
        <is>
          <t>Secondary</t>
        </is>
      </c>
      <c r="J12" s="4" t="inlineStr">
        <is>
          <t>ECI-GE-2019</t>
        </is>
      </c>
      <c r="K12" s="4" t="inlineStr">
        <is>
          <t>Printed pp.26 and 69; Wayanad and Amethi</t>
        </is>
      </c>
      <c r="L12" s="4" t="inlineStr">
        <is>
          <t>ADR compilation from electoral returns; not independent of the underlying election counts.</t>
        </is>
      </c>
      <c r="M12" s="4" t="inlineStr">
        <is>
          <t>English / India</t>
        </is>
      </c>
      <c r="N12" s="4" t="inlineStr">
        <is>
          <t>Overview; Context &amp; Constraints; Career Timeline; Elections; Offices &amp; Party</t>
        </is>
      </c>
    </row>
    <row r="13" ht="80" customHeight="1">
      <c r="A13" s="6" t="inlineStr">
        <is>
          <t>S008</t>
        </is>
      </c>
      <c r="B13" s="6" t="inlineStr">
        <is>
          <t>Amethi: past election results</t>
        </is>
      </c>
      <c r="C13" s="6" t="inlineStr">
        <is>
          <t>Passage inspected</t>
        </is>
      </c>
      <c r="D13" s="7" t="inlineStr">
        <is>
          <t>https://www.moneycontrol.com/elections/lok-sabha-election/uttar-pradesh/constituencies/amethi-constituency-s24led2008p037/</t>
        </is>
      </c>
      <c r="E13" s="6" t="inlineStr">
        <is>
          <t>Moneycontrol election desk</t>
        </is>
      </c>
      <c r="F13" s="6" t="n"/>
      <c r="G13" s="6" t="inlineStr">
        <is>
          <t>2026-09-24</t>
        </is>
      </c>
      <c r="H13" s="6" t="inlineStr">
        <is>
          <t>Dataset</t>
        </is>
      </c>
      <c r="I13" s="6" t="inlineStr">
        <is>
          <t>Secondary</t>
        </is>
      </c>
      <c r="J13" s="6" t="inlineStr">
        <is>
          <t>S008</t>
        </is>
      </c>
      <c r="K13" s="6" t="inlineStr">
        <is>
          <t>Past election results; lines 459–466 and 510–520</t>
        </is>
      </c>
      <c r="L13" s="6" t="inlineStr">
        <is>
          <t>Page contains conflicting 2014 shares (46.71/46.72%) and a broken 2024 row. Use inspected historical vote totals; leave 2014 share unresolved.</t>
        </is>
      </c>
      <c r="M13" s="6" t="inlineStr">
        <is>
          <t>English / India</t>
        </is>
      </c>
      <c r="N13" s="6" t="inlineStr">
        <is>
          <t>Overview; Context &amp; Constraints; Career Timeline; Elections; Offices &amp; Party</t>
        </is>
      </c>
    </row>
    <row r="14" ht="66" customHeight="1">
      <c r="A14" s="4" t="inlineStr">
        <is>
          <t>S009</t>
        </is>
      </c>
      <c r="B14" s="4" t="inlineStr">
        <is>
          <t>2004 India General Election results</t>
        </is>
      </c>
      <c r="C14" s="4" t="inlineStr">
        <is>
          <t>Passage inspected</t>
        </is>
      </c>
      <c r="D14" s="5" t="inlineStr">
        <is>
          <t>https://www.elections.in/parliamentary-constituencies/2004-election-results.html</t>
        </is>
      </c>
      <c r="E14" s="4" t="inlineStr">
        <is>
          <t>Elections.in</t>
        </is>
      </c>
      <c r="F14" s="4" t="n"/>
      <c r="G14" s="4" t="inlineStr">
        <is>
          <t>2026-09-24</t>
        </is>
      </c>
      <c r="H14" s="4" t="inlineStr">
        <is>
          <t>Dataset</t>
        </is>
      </c>
      <c r="I14" s="4" t="inlineStr">
        <is>
          <t>Secondary</t>
        </is>
      </c>
      <c r="J14" s="4" t="inlineStr">
        <is>
          <t>S009</t>
        </is>
      </c>
      <c r="K14" s="4" t="inlineStr">
        <is>
          <t>Uttar Pradesh, constituency 21 Amethi; line 545</t>
        </is>
      </c>
      <c r="L14" s="4" t="inlineStr">
        <is>
          <t>Secondary election compilation. Canonical ECI/official mirror route did not yield the Uttar Pradesh table; primary reconciliation remains open.</t>
        </is>
      </c>
      <c r="M14" s="4" t="inlineStr">
        <is>
          <t>English / India</t>
        </is>
      </c>
      <c r="N14" s="4" t="inlineStr">
        <is>
          <t>Overview; Context &amp; Constraints; Career Timeline; Elections; Offices &amp; Party</t>
        </is>
      </c>
    </row>
    <row r="15" ht="80" customHeight="1">
      <c r="A15" s="6" t="inlineStr">
        <is>
          <t>S010</t>
        </is>
      </c>
      <c r="B15" s="6" t="inlineStr">
        <is>
          <t>Rahul Gandhi v Purnesh Ishwarbhai Modi: stay order</t>
        </is>
      </c>
      <c r="C15" s="6" t="inlineStr">
        <is>
          <t>Passage inspected</t>
        </is>
      </c>
      <c r="D15" s="7" t="inlineStr">
        <is>
          <t>https://api.sci.gov.in/supremecourt/2023/27941/27941_2023_4_55_45901_Order_04-Aug-2023.pdf</t>
        </is>
      </c>
      <c r="E15" s="6" t="inlineStr">
        <is>
          <t>Supreme Court of India</t>
        </is>
      </c>
      <c r="F15" s="6" t="inlineStr">
        <is>
          <t>2023-08-04</t>
        </is>
      </c>
      <c r="G15" s="6" t="inlineStr">
        <is>
          <t>2026-09-24</t>
        </is>
      </c>
      <c r="H15" s="6" t="inlineStr">
        <is>
          <t>Court order</t>
        </is>
      </c>
      <c r="I15" s="6" t="inlineStr">
        <is>
          <t>Primary</t>
        </is>
      </c>
      <c r="J15" s="6" t="inlineStr">
        <is>
          <t>S010</t>
        </is>
      </c>
      <c r="K15" s="6" t="inlineStr">
        <is>
          <t>Order paragraphs 4–11; pp.2–4</t>
        </is>
      </c>
      <c r="L15" s="6" t="inlineStr">
        <is>
          <t>Stay is not acquittal. A later merits disposition was not found in this research. The PDF itself misstates the RP Act year; workbook does not reproduce that year.</t>
        </is>
      </c>
      <c r="M15" s="6" t="inlineStr">
        <is>
          <t>English / India</t>
        </is>
      </c>
      <c r="N15" s="6" t="inlineStr">
        <is>
          <t>Overview; Context &amp; Constraints; Career Timeline; Controversies</t>
        </is>
      </c>
    </row>
    <row r="16" ht="66" customHeight="1">
      <c r="A16" s="4" t="inlineStr">
        <is>
          <t>S011</t>
        </is>
      </c>
      <c r="B16" s="4" t="inlineStr">
        <is>
          <t>Rahul Gandhi’s MP status restored</t>
        </is>
      </c>
      <c r="C16" s="4" t="inlineStr">
        <is>
          <t>Passage inspected</t>
        </is>
      </c>
      <c r="D16" s="5" t="inlineStr">
        <is>
          <t>https://indianexpress.com/article/political-pulse/rahul-gandhi-returns-mp-lok-sabha-supreme-court-8880307/</t>
        </is>
      </c>
      <c r="E16" s="4" t="inlineStr">
        <is>
          <t>Liz Mathew, Indian Express</t>
        </is>
      </c>
      <c r="F16" s="4" t="inlineStr">
        <is>
          <t>2023-08-07</t>
        </is>
      </c>
      <c r="G16" s="4" t="inlineStr">
        <is>
          <t>2026-09-24</t>
        </is>
      </c>
      <c r="H16" s="4" t="inlineStr">
        <is>
          <t>Journalism</t>
        </is>
      </c>
      <c r="I16" s="4" t="inlineStr">
        <is>
          <t>Secondary</t>
        </is>
      </c>
      <c r="J16" s="4" t="inlineStr">
        <is>
          <t>S011</t>
        </is>
      </c>
      <c r="K16" s="4" t="inlineStr">
        <is>
          <t>Opening and closing paragraphs</t>
        </is>
      </c>
      <c r="L16" s="4" t="inlineStr">
        <is>
          <t>Reports the parliamentary notification; formal announcement was on 24 March, effective from conviction date.</t>
        </is>
      </c>
      <c r="M16" s="4" t="inlineStr">
        <is>
          <t>English / India</t>
        </is>
      </c>
      <c r="N16" s="4" t="inlineStr">
        <is>
          <t>Overview; Context &amp; Constraints; Career Timeline; Offices &amp; Party; Controversies</t>
        </is>
      </c>
    </row>
    <row r="17" ht="80" customHeight="1">
      <c r="A17" s="6" t="inlineStr">
        <is>
          <t>S012</t>
        </is>
      </c>
      <c r="B17" s="6" t="inlineStr">
        <is>
          <t>Private complaint cannot be ED’s foundation for National Herald case, say Gandhis</t>
        </is>
      </c>
      <c r="C17" s="6" t="inlineStr">
        <is>
          <t>Passage inspected</t>
        </is>
      </c>
      <c r="D17" s="7" t="inlineStr">
        <is>
          <t>https://indianexpress.com/article/legal-news/national-herald-case-gandhis-oppose-ed-plea-private-complaint-10889668/</t>
        </is>
      </c>
      <c r="E17" s="6" t="inlineStr">
        <is>
          <t>Sohini Ghosh, Indian Express</t>
        </is>
      </c>
      <c r="F17" s="6" t="inlineStr">
        <is>
          <t>2026-09-23</t>
        </is>
      </c>
      <c r="G17" s="6" t="inlineStr">
        <is>
          <t>2026-09-24</t>
        </is>
      </c>
      <c r="H17" s="6" t="inlineStr">
        <is>
          <t>Journalism</t>
        </is>
      </c>
      <c r="I17" s="6" t="inlineStr">
        <is>
          <t>Secondary</t>
        </is>
      </c>
      <c r="J17" s="6" t="inlineStr">
        <is>
          <t>S012</t>
        </is>
      </c>
      <c r="K17" s="6" t="inlineStr">
        <is>
          <t>Case status, reply and The case; lines 59–88</t>
        </is>
      </c>
      <c r="L17" s="6" t="inlineStr">
        <is>
          <t>Allegations and legal submissions are attributed; no guilt finding is established.</t>
        </is>
      </c>
      <c r="M17" s="6" t="inlineStr">
        <is>
          <t>English / India</t>
        </is>
      </c>
      <c r="N17" s="6" t="inlineStr">
        <is>
          <t>Overview; Context &amp; Constraints; Controversies</t>
        </is>
      </c>
    </row>
    <row r="18" ht="94" customHeight="1">
      <c r="A18" s="4" t="inlineStr">
        <is>
          <t>S013</t>
        </is>
      </c>
      <c r="B18" s="4" t="inlineStr">
        <is>
          <t>Gandhis’ reply to Delhi High Court on National Herald case</t>
        </is>
      </c>
      <c r="C18" s="4" t="inlineStr">
        <is>
          <t>Passage inspected</t>
        </is>
      </c>
      <c r="D18" s="5" t="inlineStr">
        <is>
          <t>https://www.barandbench.com/news/only-case-where-ed-proceeded-on-private-complaint-sonia-and-rahul-gandhi-to-delhi-high-court-on-national-herald-case</t>
        </is>
      </c>
      <c r="E18" s="4" t="inlineStr">
        <is>
          <t>Prashant Jha / Bar &amp; Bench</t>
        </is>
      </c>
      <c r="F18" s="4" t="inlineStr">
        <is>
          <t>2026-09-22</t>
        </is>
      </c>
      <c r="G18" s="4" t="inlineStr">
        <is>
          <t>2026-09-24</t>
        </is>
      </c>
      <c r="H18" s="4" t="inlineStr">
        <is>
          <t>Journalism</t>
        </is>
      </c>
      <c r="I18" s="4" t="inlineStr">
        <is>
          <t>Secondary</t>
        </is>
      </c>
      <c r="J18" s="4" t="inlineStr">
        <is>
          <t>S013</t>
        </is>
      </c>
      <c r="K18" s="4" t="inlineStr">
        <is>
          <t>Paragraphs describing complaint, orders and adjournment; lines 48–73</t>
        </is>
      </c>
      <c r="L18" s="4" t="inlineStr">
        <is>
          <t>Current procedural reporting independently corroborates S012; trial and High Court orders were not downloaded.</t>
        </is>
      </c>
      <c r="M18" s="4" t="inlineStr">
        <is>
          <t>English / India</t>
        </is>
      </c>
      <c r="N18" s="4" t="inlineStr">
        <is>
          <t>Overview; Context &amp; Constraints; Career Timeline; Controversies</t>
        </is>
      </c>
    </row>
    <row r="19" ht="66" customHeight="1">
      <c r="A19" s="6" t="inlineStr">
        <is>
          <t>S014</t>
        </is>
      </c>
      <c r="B19" s="6" t="inlineStr">
        <is>
          <t>Rahul Gandhi’s resignation letter and accountability statement</t>
        </is>
      </c>
      <c r="C19" s="6" t="inlineStr">
        <is>
          <t>Passage inspected</t>
        </is>
      </c>
      <c r="D19" s="7" t="inlineStr">
        <is>
          <t>https://www.ndtv.com/india-news/rahul-gandhis-open-letter-full-text-at-times-i-stood-completely-alone-2063455</t>
        </is>
      </c>
      <c r="E19" s="6" t="inlineStr">
        <is>
          <t>Vaibhav Tiwari / NDTV</t>
        </is>
      </c>
      <c r="F19" s="6" t="inlineStr">
        <is>
          <t>2019-07-03</t>
        </is>
      </c>
      <c r="G19" s="6" t="inlineStr">
        <is>
          <t>2026-09-24</t>
        </is>
      </c>
      <c r="H19" s="6" t="inlineStr">
        <is>
          <t>Journalism</t>
        </is>
      </c>
      <c r="I19" s="6" t="inlineStr">
        <is>
          <t>Secondary</t>
        </is>
      </c>
      <c r="J19" s="6" t="inlineStr">
        <is>
          <t>S014</t>
        </is>
      </c>
      <c r="K19" s="6" t="inlineStr">
        <is>
          <t>Resignation discussion; lines 225–248</t>
        </is>
      </c>
      <c r="L19" s="6" t="inlineStr">
        <is>
          <t>His institutional claims are positions; report is used for public confirmation and stated reasons.</t>
        </is>
      </c>
      <c r="M19" s="6" t="inlineStr">
        <is>
          <t>English / India</t>
        </is>
      </c>
      <c r="N19" s="6" t="inlineStr">
        <is>
          <t>Overview; Context &amp; Constraints; Career Timeline; Offices &amp; Party; Policy &amp; Governance; Ideas &amp; Political Method; Controversies</t>
        </is>
      </c>
    </row>
    <row r="20" ht="66" customHeight="1">
      <c r="A20" s="4" t="inlineStr">
        <is>
          <t>S015</t>
        </is>
      </c>
      <c r="B20" s="4" t="inlineStr">
        <is>
          <t>Rahul Gandhi at the conclusion of Bharat Jodo Yatra</t>
        </is>
      </c>
      <c r="C20" s="4" t="inlineStr">
        <is>
          <t>Passage inspected</t>
        </is>
      </c>
      <c r="D20" s="5" t="inlineStr">
        <is>
          <t>https://indianexpress.com/article/political-pulse/rahul-modi-shah-doval-srinagar-bharat-jodo-yatra-8413548/</t>
        </is>
      </c>
      <c r="E20" s="4" t="inlineStr">
        <is>
          <t>Bashaarat Masood, Indian Express</t>
        </is>
      </c>
      <c r="F20" s="4" t="inlineStr">
        <is>
          <t>2023-01-31</t>
        </is>
      </c>
      <c r="G20" s="4" t="inlineStr">
        <is>
          <t>2026-09-24</t>
        </is>
      </c>
      <c r="H20" s="4" t="inlineStr">
        <is>
          <t>Journalism</t>
        </is>
      </c>
      <c r="I20" s="4" t="inlineStr">
        <is>
          <t>Secondary</t>
        </is>
      </c>
      <c r="J20" s="4" t="inlineStr">
        <is>
          <t>S015</t>
        </is>
      </c>
      <c r="K20" s="4" t="inlineStr">
        <is>
          <t>Concluding rally; lines 19–36</t>
        </is>
      </c>
      <c r="L20" s="4" t="inlineStr">
        <is>
          <t>Speech claims about opponents are not adopted as facts. Distances vary by route definitions; no exact mileage used.</t>
        </is>
      </c>
      <c r="M20" s="4" t="inlineStr">
        <is>
          <t>English / India</t>
        </is>
      </c>
      <c r="N20" s="4" t="inlineStr">
        <is>
          <t>Overview; Context &amp; Constraints; Career Timeline; Offices &amp; Party; Ideas &amp; Political Method</t>
        </is>
      </c>
    </row>
    <row r="21" ht="52" customHeight="1">
      <c r="A21" s="6" t="inlineStr">
        <is>
          <t>S016</t>
        </is>
      </c>
      <c r="B21" s="6" t="inlineStr">
        <is>
          <t>Nyay Patra 2024: Equity</t>
        </is>
      </c>
      <c r="C21" s="6" t="inlineStr">
        <is>
          <t>Passage inspected</t>
        </is>
      </c>
      <c r="D21" s="7" t="inlineStr">
        <is>
          <t>https://manifesto.inc.in/en/equity/</t>
        </is>
      </c>
      <c r="E21" s="6" t="inlineStr">
        <is>
          <t>Indian National Congress</t>
        </is>
      </c>
      <c r="F21" s="6" t="inlineStr">
        <is>
          <t>2024-04-05</t>
        </is>
      </c>
      <c r="G21" s="6" t="inlineStr">
        <is>
          <t>2026-09-24</t>
        </is>
      </c>
      <c r="H21" s="6" t="inlineStr">
        <is>
          <t>Party / campaign</t>
        </is>
      </c>
      <c r="I21" s="6" t="inlineStr">
        <is>
          <t>Primary</t>
        </is>
      </c>
      <c r="J21" s="6" t="inlineStr">
        <is>
          <t>INC-MANIFESTO-2024</t>
        </is>
      </c>
      <c r="K21" s="6" t="inlineStr">
        <is>
          <t>Social Justice 1–2; minority rights; LGBTQIA+ 11</t>
        </is>
      </c>
      <c r="L21" s="6" t="inlineStr">
        <is>
          <t>Evidence of party proposals, not implementation or independent validation of its social statistics.</t>
        </is>
      </c>
      <c r="M21" s="6" t="inlineStr">
        <is>
          <t>English / India</t>
        </is>
      </c>
      <c r="N21" s="6" t="inlineStr">
        <is>
          <t>Overview; Context &amp; Constraints; Policy &amp; Governance; Ideas &amp; Political Method</t>
        </is>
      </c>
    </row>
    <row r="22" ht="44" customHeight="1">
      <c r="A22" s="4" t="inlineStr">
        <is>
          <t>S017</t>
        </is>
      </c>
      <c r="B22" s="4" t="inlineStr">
        <is>
          <t>Nyay Patra 2024: Women</t>
        </is>
      </c>
      <c r="C22" s="4" t="inlineStr">
        <is>
          <t>Passage inspected</t>
        </is>
      </c>
      <c r="D22" s="5" t="inlineStr">
        <is>
          <t>https://manifesto.inc.in/en/women/</t>
        </is>
      </c>
      <c r="E22" s="4" t="inlineStr">
        <is>
          <t>Indian National Congress</t>
        </is>
      </c>
      <c r="F22" s="4" t="inlineStr">
        <is>
          <t>2024-04-05</t>
        </is>
      </c>
      <c r="G22" s="4" t="inlineStr">
        <is>
          <t>2026-09-24</t>
        </is>
      </c>
      <c r="H22" s="4" t="inlineStr">
        <is>
          <t>Party / campaign</t>
        </is>
      </c>
      <c r="I22" s="4" t="inlineStr">
        <is>
          <t>Primary</t>
        </is>
      </c>
      <c r="J22" s="4" t="inlineStr">
        <is>
          <t>INC-MANIFESTO-2024</t>
        </is>
      </c>
      <c r="K22" s="4" t="inlineStr">
        <is>
          <t>Mahalakshmi 1–3; Women’s Empowerment 1–2</t>
        </is>
      </c>
      <c r="L22" s="4" t="inlineStr">
        <is>
          <t>Party promises; not a national programme implemented by Rahul Gandhi.</t>
        </is>
      </c>
      <c r="M22" s="4" t="inlineStr">
        <is>
          <t>English / India</t>
        </is>
      </c>
      <c r="N22" s="4" t="inlineStr">
        <is>
          <t>Overview; Context &amp; Constraints; Policy &amp; Governance</t>
        </is>
      </c>
    </row>
    <row r="23" ht="44" customHeight="1">
      <c r="A23" s="6" t="inlineStr">
        <is>
          <t>S018</t>
        </is>
      </c>
      <c r="B23" s="6" t="inlineStr">
        <is>
          <t>Nyay Patra 2024: Youth</t>
        </is>
      </c>
      <c r="C23" s="6" t="inlineStr">
        <is>
          <t>Passage inspected</t>
        </is>
      </c>
      <c r="D23" s="7" t="inlineStr">
        <is>
          <t>https://manifesto.inc.in/en/youth/</t>
        </is>
      </c>
      <c r="E23" s="6" t="inlineStr">
        <is>
          <t>Indian National Congress</t>
        </is>
      </c>
      <c r="F23" s="6" t="inlineStr">
        <is>
          <t>2024-04-05</t>
        </is>
      </c>
      <c r="G23" s="6" t="inlineStr">
        <is>
          <t>2026-09-24</t>
        </is>
      </c>
      <c r="H23" s="6" t="inlineStr">
        <is>
          <t>Party / campaign</t>
        </is>
      </c>
      <c r="I23" s="6" t="inlineStr">
        <is>
          <t>Primary</t>
        </is>
      </c>
      <c r="J23" s="6" t="inlineStr">
        <is>
          <t>INC-MANIFESTO-2024</t>
        </is>
      </c>
      <c r="K23" s="6" t="inlineStr">
        <is>
          <t>Jobs 1–3 and Education 2, 13</t>
        </is>
      </c>
      <c r="L23" s="6" t="inlineStr">
        <is>
          <t>Party platform, not proof of fiscal feasibility or delivered jobs.</t>
        </is>
      </c>
      <c r="M23" s="6" t="inlineStr">
        <is>
          <t>English / India</t>
        </is>
      </c>
      <c r="N23" s="6" t="inlineStr">
        <is>
          <t>Overview; Context &amp; Constraints; Policy &amp; Governance</t>
        </is>
      </c>
    </row>
    <row r="24" ht="52" customHeight="1">
      <c r="A24" s="4" t="inlineStr">
        <is>
          <t>S019</t>
        </is>
      </c>
      <c r="B24" s="4" t="inlineStr">
        <is>
          <t>Nyay Patra 2024: Farmers</t>
        </is>
      </c>
      <c r="C24" s="4" t="inlineStr">
        <is>
          <t>Passage inspected</t>
        </is>
      </c>
      <c r="D24" s="5" t="inlineStr">
        <is>
          <t>https://manifesto.inc.in/en/farmers/</t>
        </is>
      </c>
      <c r="E24" s="4" t="inlineStr">
        <is>
          <t>Indian National Congress</t>
        </is>
      </c>
      <c r="F24" s="4" t="inlineStr">
        <is>
          <t>2024-04-05</t>
        </is>
      </c>
      <c r="G24" s="4" t="inlineStr">
        <is>
          <t>2026-09-24</t>
        </is>
      </c>
      <c r="H24" s="4" t="inlineStr">
        <is>
          <t>Party / campaign</t>
        </is>
      </c>
      <c r="I24" s="4" t="inlineStr">
        <is>
          <t>Primary</t>
        </is>
      </c>
      <c r="J24" s="4" t="inlineStr">
        <is>
          <t>INC-MANIFESTO-2024</t>
        </is>
      </c>
      <c r="K24" s="4" t="inlineStr">
        <is>
          <t>Agriculture 1–6</t>
        </is>
      </c>
      <c r="L24" s="4" t="inlineStr">
        <is>
          <t>Party proposal; farmer movements and state administrations are distinct actors.</t>
        </is>
      </c>
      <c r="M24" s="4" t="inlineStr">
        <is>
          <t>English / India</t>
        </is>
      </c>
      <c r="N24" s="4" t="inlineStr">
        <is>
          <t>Overview; Context &amp; Constraints; Policy &amp; Governance</t>
        </is>
      </c>
    </row>
    <row r="25" ht="52" customHeight="1">
      <c r="A25" s="6" t="inlineStr">
        <is>
          <t>S020</t>
        </is>
      </c>
      <c r="B25" s="6" t="inlineStr">
        <is>
          <t>Nyay Patra 2024: National Security</t>
        </is>
      </c>
      <c r="C25" s="6" t="inlineStr">
        <is>
          <t>Passage inspected</t>
        </is>
      </c>
      <c r="D25" s="7" t="inlineStr">
        <is>
          <t>https://manifesto.inc.in/en/national-security/</t>
        </is>
      </c>
      <c r="E25" s="6" t="inlineStr">
        <is>
          <t>Indian National Congress</t>
        </is>
      </c>
      <c r="F25" s="6" t="inlineStr">
        <is>
          <t>2024-04-05</t>
        </is>
      </c>
      <c r="G25" s="6" t="inlineStr">
        <is>
          <t>2026-09-24</t>
        </is>
      </c>
      <c r="H25" s="6" t="inlineStr">
        <is>
          <t>Party / campaign</t>
        </is>
      </c>
      <c r="I25" s="6" t="inlineStr">
        <is>
          <t>Primary</t>
        </is>
      </c>
      <c r="J25" s="6" t="inlineStr">
        <is>
          <t>INC-MANIFESTO-2024</t>
        </is>
      </c>
      <c r="K25" s="6" t="inlineStr">
        <is>
          <t>Defence and Foreign Policy</t>
        </is>
      </c>
      <c r="L25" s="6" t="inlineStr">
        <is>
          <t>Use only stated party positions; territorial and causal allegations are not independently validated.</t>
        </is>
      </c>
      <c r="M25" s="6" t="inlineStr">
        <is>
          <t>English / India</t>
        </is>
      </c>
      <c r="N25" s="6" t="inlineStr">
        <is>
          <t>Context &amp; Constraints; Policy &amp; Governance; Ideas &amp; Political Method</t>
        </is>
      </c>
    </row>
    <row r="26" ht="80" customHeight="1">
      <c r="A26" s="4" t="inlineStr">
        <is>
          <t>S021</t>
        </is>
      </c>
      <c r="B26" s="4" t="inlineStr">
        <is>
          <t>Dissent over Rahul’s internal election system</t>
        </is>
      </c>
      <c r="C26" s="4" t="inlineStr">
        <is>
          <t>Passage inspected</t>
        </is>
      </c>
      <c r="D26" s="5" t="inlineStr">
        <is>
          <t>https://indianexpress.com/article/political-pulse/in-kerala-youth-cong-dissent-over-rahuls-internal-election-system/</t>
        </is>
      </c>
      <c r="E26" s="4" t="inlineStr">
        <is>
          <t>Shaju Philip, Indian Express</t>
        </is>
      </c>
      <c r="F26" s="4" t="inlineStr">
        <is>
          <t>2014-06-25</t>
        </is>
      </c>
      <c r="G26" s="4" t="inlineStr">
        <is>
          <t>2026-09-24</t>
        </is>
      </c>
      <c r="H26" s="4" t="inlineStr">
        <is>
          <t>Journalism</t>
        </is>
      </c>
      <c r="I26" s="4" t="inlineStr">
        <is>
          <t>Secondary</t>
        </is>
      </c>
      <c r="J26" s="4" t="inlineStr">
        <is>
          <t>S021</t>
        </is>
      </c>
      <c r="K26" s="4" t="inlineStr">
        <is>
          <t>Kerala Youth Congress camp; lines 101–110</t>
        </is>
      </c>
      <c r="L26" s="4" t="inlineStr">
        <is>
          <t>Local criticism is not a national causal evaluation.</t>
        </is>
      </c>
      <c r="M26" s="4" t="inlineStr">
        <is>
          <t>English / India</t>
        </is>
      </c>
      <c r="N26" s="4" t="inlineStr">
        <is>
          <t>Overview; Context &amp; Constraints; Policy &amp; Governance; Ideas &amp; Political Method; Controversies; Legacy &amp; Assessments</t>
        </is>
      </c>
    </row>
    <row r="27" ht="66" customHeight="1">
      <c r="A27" s="6" t="inlineStr">
        <is>
          <t>S022</t>
        </is>
      </c>
      <c r="B27" s="6" t="inlineStr">
        <is>
          <t>Youth Congress to retain internal polls</t>
        </is>
      </c>
      <c r="C27" s="6" t="inlineStr">
        <is>
          <t>Passage inspected</t>
        </is>
      </c>
      <c r="D27" s="7" t="inlineStr">
        <is>
          <t>https://timesofindia.indiatimes.com/india/youth-congress-to-retain-internal-polls/articleshow/36734347.cms</t>
        </is>
      </c>
      <c r="E27" s="6" t="inlineStr">
        <is>
          <t>Subodh Ghildiyal, Times of India</t>
        </is>
      </c>
      <c r="F27" s="6" t="inlineStr">
        <is>
          <t>2014-06-18</t>
        </is>
      </c>
      <c r="G27" s="6" t="inlineStr">
        <is>
          <t>2026-09-24</t>
        </is>
      </c>
      <c r="H27" s="6" t="inlineStr">
        <is>
          <t>Journalism</t>
        </is>
      </c>
      <c r="I27" s="6" t="inlineStr">
        <is>
          <t>Secondary</t>
        </is>
      </c>
      <c r="J27" s="6" t="inlineStr">
        <is>
          <t>S022</t>
        </is>
      </c>
      <c r="K27" s="6" t="inlineStr">
        <is>
          <t>Internal reform and Rajiv Satav response; lines 119–133</t>
        </is>
      </c>
      <c r="L27" s="6" t="inlineStr">
        <is>
          <t>Identifies reform and competing views; does not measure durable democratisation.</t>
        </is>
      </c>
      <c r="M27" s="6" t="inlineStr">
        <is>
          <t>English / India</t>
        </is>
      </c>
      <c r="N27" s="6" t="inlineStr">
        <is>
          <t>Overview; Context &amp; Constraints; Policy &amp; Governance; Ideas &amp; Political Method; Controversies; Legacy &amp; Assessments</t>
        </is>
      </c>
    </row>
    <row r="28" ht="80" customHeight="1">
      <c r="A28" s="4" t="inlineStr">
        <is>
          <t>S023</t>
        </is>
      </c>
      <c r="B28" s="4" t="inlineStr">
        <is>
          <t>Ridiculed for a decade, Rahul Gandhi slows Modi juggernaut</t>
        </is>
      </c>
      <c r="C28" s="4" t="inlineStr">
        <is>
          <t>Passage inspected</t>
        </is>
      </c>
      <c r="D28" s="5" t="inlineStr">
        <is>
          <t>https://www.marketscreener.com/news/latest/Ridiculed-for-a-decade-India-s-Rahul-Gandhi-slows-Modi-juggernaut-46900641/</t>
        </is>
      </c>
      <c r="E28" s="4" t="inlineStr">
        <is>
          <t>Reuters; hosted by MarketScreener</t>
        </is>
      </c>
      <c r="F28" s="4" t="inlineStr">
        <is>
          <t>2024-06-05</t>
        </is>
      </c>
      <c r="G28" s="4" t="inlineStr">
        <is>
          <t>2026-09-24</t>
        </is>
      </c>
      <c r="H28" s="4" t="inlineStr">
        <is>
          <t>Journalism</t>
        </is>
      </c>
      <c r="I28" s="4" t="inlineStr">
        <is>
          <t>Secondary</t>
        </is>
      </c>
      <c r="J28" s="4" t="inlineStr">
        <is>
          <t>REUTERS-2024-06-05-GANDHI</t>
        </is>
      </c>
      <c r="K28" s="4" t="inlineStr">
        <is>
          <t>Opening and analyst Rahul Verma; lines 932–946</t>
        </is>
      </c>
      <c r="L28" s="4" t="inlineStr">
        <is>
          <t>Election-count reporting is provisional; use final returns elsewhere. A Reuters reproduction is one origin.</t>
        </is>
      </c>
      <c r="M28" s="4" t="inlineStr">
        <is>
          <t>English / India</t>
        </is>
      </c>
      <c r="N28" s="4" t="inlineStr">
        <is>
          <t>Overview; Context &amp; Constraints; Ideas &amp; Political Method; Controversies; Legacy &amp; Assessments</t>
        </is>
      </c>
    </row>
    <row r="29" ht="52" customHeight="1">
      <c r="A29" s="6" t="inlineStr">
        <is>
          <t>S024</t>
        </is>
      </c>
      <c r="B29" s="6" t="inlineStr">
        <is>
          <t>The Resilience of India’s Fourth Party System</t>
        </is>
      </c>
      <c r="C29" s="6" t="inlineStr">
        <is>
          <t>Passage inspected</t>
        </is>
      </c>
      <c r="D29" s="7" t="inlineStr">
        <is>
          <t>https://carnegieendowment.org/research/2024/09/india-election-bjp-party-politics</t>
        </is>
      </c>
      <c r="E29" s="6" t="inlineStr">
        <is>
          <t>Milan Vaishnav and Caroline Mallory, Carnegie Endowment</t>
        </is>
      </c>
      <c r="F29" s="6" t="inlineStr">
        <is>
          <t>2024-09</t>
        </is>
      </c>
      <c r="G29" s="6" t="inlineStr">
        <is>
          <t>2026-09-24</t>
        </is>
      </c>
      <c r="H29" s="6" t="inlineStr">
        <is>
          <t>Academic / research</t>
        </is>
      </c>
      <c r="I29" s="6" t="inlineStr">
        <is>
          <t>Secondary</t>
        </is>
      </c>
      <c r="J29" s="6" t="inlineStr">
        <is>
          <t>S024</t>
        </is>
      </c>
      <c r="K29" s="6" t="inlineStr">
        <is>
          <t>Evolution of party systems; 2024 interpretation; lines 61–104</t>
        </is>
      </c>
      <c r="L29" s="6" t="inlineStr">
        <is>
          <t>Attributed interpretation written in 2024, not a forecast confirmed through 2026.</t>
        </is>
      </c>
      <c r="M29" s="6" t="inlineStr">
        <is>
          <t>English / India</t>
        </is>
      </c>
      <c r="N29" s="6" t="inlineStr">
        <is>
          <t>Overview; Context &amp; Constraints; Career Timeline; Ideas &amp; Political Method; Legacy &amp; Assessments</t>
        </is>
      </c>
    </row>
    <row r="30" ht="52" customHeight="1">
      <c r="A30" s="4" t="inlineStr">
        <is>
          <t>S025</t>
        </is>
      </c>
      <c r="B30" s="4" t="inlineStr">
        <is>
          <t>The T-Shirt Debate Shows India Is All About Testosterone</t>
        </is>
      </c>
      <c r="C30" s="4" t="inlineStr">
        <is>
          <t>Passage inspected</t>
        </is>
      </c>
      <c r="D30" s="5" t="inlineStr">
        <is>
          <t>https://m.thewire.in/article/politics/rahul-gandhi-t-shirt</t>
        </is>
      </c>
      <c r="E30" s="4" t="inlineStr">
        <is>
          <t>Revati Laul, The Wire</t>
        </is>
      </c>
      <c r="F30" s="4" t="inlineStr">
        <is>
          <t>2023-01</t>
        </is>
      </c>
      <c r="G30" s="4" t="inlineStr">
        <is>
          <t>2026-09-24</t>
        </is>
      </c>
      <c r="H30" s="4" t="inlineStr">
        <is>
          <t>Journalism / opinion</t>
        </is>
      </c>
      <c r="I30" s="4" t="inlineStr">
        <is>
          <t>Secondary</t>
        </is>
      </c>
      <c r="J30" s="4" t="inlineStr">
        <is>
          <t>S025</t>
        </is>
      </c>
      <c r="K30" s="4" t="inlineStr">
        <is>
          <t>Opening argument; lines 47–65</t>
        </is>
      </c>
      <c r="L30" s="4" t="inlineStr">
        <is>
          <t>Situated gender interpretation based on colleagues’ observations, not representative voter research.</t>
        </is>
      </c>
      <c r="M30" s="4" t="inlineStr">
        <is>
          <t>English / India</t>
        </is>
      </c>
      <c r="N30" s="4" t="inlineStr">
        <is>
          <t>Overview; Context &amp; Constraints; Ideas &amp; Political Method</t>
        </is>
      </c>
    </row>
    <row r="31" ht="80" customHeight="1">
      <c r="A31" s="6" t="inlineStr">
        <is>
          <t>S026</t>
        </is>
      </c>
      <c r="B31" s="6" t="inlineStr">
        <is>
          <t>Congress camp’s Bihar post-mortem</t>
        </is>
      </c>
      <c r="C31" s="6" t="inlineStr">
        <is>
          <t>Passage inspected</t>
        </is>
      </c>
      <c r="D31" s="7" t="inlineStr">
        <is>
          <t>https://indianexpress.com/article/political-pulse/congress-camps-bihar-post-mortem-rahul-yatra-fiasco-allavaru-problem-weak-structure-10375553/</t>
        </is>
      </c>
      <c r="E31" s="6" t="inlineStr">
        <is>
          <t>Asad Rehman, Indian Express</t>
        </is>
      </c>
      <c r="F31" s="6" t="inlineStr">
        <is>
          <t>2025-11-21</t>
        </is>
      </c>
      <c r="G31" s="6" t="inlineStr">
        <is>
          <t>2026-09-24</t>
        </is>
      </c>
      <c r="H31" s="6" t="inlineStr">
        <is>
          <t>Journalism</t>
        </is>
      </c>
      <c r="I31" s="6" t="inlineStr">
        <is>
          <t>Secondary</t>
        </is>
      </c>
      <c r="J31" s="6" t="inlineStr">
        <is>
          <t>S026</t>
        </is>
      </c>
      <c r="K31" s="6" t="inlineStr">
        <is>
          <t>Opening; interviews with ten losing candidates; lines 17–52</t>
        </is>
      </c>
      <c r="L31" s="6" t="inlineStr">
        <is>
          <t>Retrospective testimony from losing candidates has selection and self-exculpation risks; causes are attributed.</t>
        </is>
      </c>
      <c r="M31" s="6" t="inlineStr">
        <is>
          <t>English / India</t>
        </is>
      </c>
      <c r="N31" s="6" t="inlineStr">
        <is>
          <t>Overview; Context &amp; Constraints; Career Timeline; Controversies; Legacy &amp; Assessments</t>
        </is>
      </c>
    </row>
    <row r="32" ht="66" customHeight="1">
      <c r="A32" s="4" t="inlineStr">
        <is>
          <t>S027</t>
        </is>
      </c>
      <c r="B32" s="4" t="inlineStr">
        <is>
          <t>Rahul reportedly accepts shared responsibility for Bihar loss</t>
        </is>
      </c>
      <c r="C32" s="4" t="inlineStr">
        <is>
          <t>Passage inspected</t>
        </is>
      </c>
      <c r="D32" s="5" t="inlineStr">
        <is>
          <t>https://indianexpress.com/article/political-pulse/rahul-equallyresponsible-bihar-loss-poll-review-10390484/</t>
        </is>
      </c>
      <c r="E32" s="4" t="inlineStr">
        <is>
          <t>Asad Rehman, Indian Express</t>
        </is>
      </c>
      <c r="F32" s="4" t="inlineStr">
        <is>
          <t>2025-11-28</t>
        </is>
      </c>
      <c r="G32" s="4" t="inlineStr">
        <is>
          <t>2026-09-24</t>
        </is>
      </c>
      <c r="H32" s="4" t="inlineStr">
        <is>
          <t>Journalism</t>
        </is>
      </c>
      <c r="I32" s="4" t="inlineStr">
        <is>
          <t>Secondary</t>
        </is>
      </c>
      <c r="J32" s="4" t="inlineStr">
        <is>
          <t>S027</t>
        </is>
      </c>
      <c r="K32" s="4" t="inlineStr">
        <is>
          <t>Review meeting; lines 18–27</t>
        </is>
      </c>
      <c r="L32" s="4" t="inlineStr">
        <is>
          <t>Private-meeting account based on unnamed sources; same outlet as S026, not independent corroboration of every cause.</t>
        </is>
      </c>
      <c r="M32" s="4" t="inlineStr">
        <is>
          <t>English / India</t>
        </is>
      </c>
      <c r="N32" s="4" t="inlineStr">
        <is>
          <t>Context &amp; Constraints; Career Timeline; Controversies; Legacy &amp; Assessments</t>
        </is>
      </c>
    </row>
    <row r="33" ht="66" customHeight="1">
      <c r="A33" s="6" t="inlineStr">
        <is>
          <t>S028</t>
        </is>
      </c>
      <c r="B33" s="6" t="inlineStr">
        <is>
          <t>Rs 72,000 NYAY promise</t>
        </is>
      </c>
      <c r="C33" s="6" t="inlineStr">
        <is>
          <t>Passage inspected</t>
        </is>
      </c>
      <c r="D33" s="7" t="inlineStr">
        <is>
          <t>https://www.ndtv.com/india-news/rs-72-000-will-be-given-to-beneficiaries-under-nyay-scheme-rahul-gandhi-2031993</t>
        </is>
      </c>
      <c r="E33" s="6" t="inlineStr">
        <is>
          <t>PTI, hosted by NDTV</t>
        </is>
      </c>
      <c r="F33" s="6" t="inlineStr">
        <is>
          <t>2019-05-02</t>
        </is>
      </c>
      <c r="G33" s="6" t="inlineStr">
        <is>
          <t>2026-09-24</t>
        </is>
      </c>
      <c r="H33" s="6" t="inlineStr">
        <is>
          <t>Journalism</t>
        </is>
      </c>
      <c r="I33" s="6" t="inlineStr">
        <is>
          <t>Secondary</t>
        </is>
      </c>
      <c r="J33" s="6" t="inlineStr">
        <is>
          <t>PTI-NYAY-2019-05-02</t>
        </is>
      </c>
      <c r="K33" s="6" t="inlineStr">
        <is>
          <t>Simdega speech; lines 231–242</t>
        </is>
      </c>
      <c r="L33" s="6" t="inlineStr">
        <is>
          <t>Campaign speech. Avoid the report’s ambiguous people/families denominator when quantifying coverage.</t>
        </is>
      </c>
      <c r="M33" s="6" t="inlineStr">
        <is>
          <t>English / India</t>
        </is>
      </c>
      <c r="N33" s="6" t="inlineStr">
        <is>
          <t>Overview; Context &amp; Constraints; Policy &amp; Governance; Ideas &amp; Political Method</t>
        </is>
      </c>
    </row>
    <row r="34" ht="80" customHeight="1">
      <c r="A34" s="4" t="inlineStr">
        <is>
          <t>S029</t>
        </is>
      </c>
      <c r="B34" s="4" t="inlineStr">
        <is>
          <t>Supreme Court closes Rafale-related contempt proceedings</t>
        </is>
      </c>
      <c r="C34" s="4" t="inlineStr">
        <is>
          <t>Passage inspected</t>
        </is>
      </c>
      <c r="D34" s="5" t="inlineStr">
        <is>
          <t>https://indianexpress.com/article/india/rafale-case-sc-closes-defamation-case-against-rahul-gandhi-says-he-needs-to-be-more-careful/</t>
        </is>
      </c>
      <c r="E34" s="4" t="inlineStr">
        <is>
          <t>Express Web Desk, Indian Express</t>
        </is>
      </c>
      <c r="F34" s="4" t="inlineStr">
        <is>
          <t>2019-11-14</t>
        </is>
      </c>
      <c r="G34" s="4" t="inlineStr">
        <is>
          <t>2026-09-24</t>
        </is>
      </c>
      <c r="H34" s="4" t="inlineStr">
        <is>
          <t>Journalism</t>
        </is>
      </c>
      <c r="I34" s="4" t="inlineStr">
        <is>
          <t>Secondary</t>
        </is>
      </c>
      <c r="J34" s="4" t="inlineStr">
        <is>
          <t>S029</t>
        </is>
      </c>
      <c r="K34" s="4" t="inlineStr">
        <is>
          <t>Disposition and response; lines 61–78</t>
        </is>
      </c>
      <c r="L34" s="4" t="inlineStr">
        <is>
          <t>Contempt is separate from merits of Rafale procurement. Underlying 2019 order not inspected.</t>
        </is>
      </c>
      <c r="M34" s="4" t="inlineStr">
        <is>
          <t>English / India</t>
        </is>
      </c>
      <c r="N34" s="4" t="inlineStr">
        <is>
          <t>Career Timeline; Controversies</t>
        </is>
      </c>
    </row>
    <row r="35" ht="94" customHeight="1">
      <c r="A35" s="6" t="inlineStr">
        <is>
          <t>S030</t>
        </is>
      </c>
      <c r="B35" s="6" t="inlineStr">
        <is>
          <t>Rahul Gandhi escalates EC criticism amid SIR dispute</t>
        </is>
      </c>
      <c r="C35" s="6" t="inlineStr">
        <is>
          <t>Passage inspected</t>
        </is>
      </c>
      <c r="D35" s="7" t="inlineStr">
        <is>
          <t>https://timesofindia.indiatimes.com/india/rahul-gandhi-press-conference-on-ec-gyanesh-kumar-resignation-sir-congress-vote-chori-election-bjp/articleshow/134457370.cms</t>
        </is>
      </c>
      <c r="E35" s="6" t="inlineStr">
        <is>
          <t>Aastha Jha, Times of India</t>
        </is>
      </c>
      <c r="F35" s="6" t="inlineStr">
        <is>
          <t>2026-09-24</t>
        </is>
      </c>
      <c r="G35" s="6" t="inlineStr">
        <is>
          <t>2026-09-24</t>
        </is>
      </c>
      <c r="H35" s="6" t="inlineStr">
        <is>
          <t>Journalism</t>
        </is>
      </c>
      <c r="I35" s="6" t="inlineStr">
        <is>
          <t>Secondary</t>
        </is>
      </c>
      <c r="J35" s="6" t="inlineStr">
        <is>
          <t>S030</t>
        </is>
      </c>
      <c r="K35" s="6" t="inlineStr">
        <is>
          <t>Press conference and ECI response; lines 150–156,183</t>
        </is>
      </c>
      <c r="L35" s="6" t="inlineStr">
        <is>
          <t>Contested political allegations; neither a press conference nor internal dissent proves that all elections were rigged.</t>
        </is>
      </c>
      <c r="M35" s="6" t="inlineStr">
        <is>
          <t>English / India</t>
        </is>
      </c>
      <c r="N35" s="6" t="inlineStr">
        <is>
          <t>Context &amp; Constraints; Career Timeline; Ideas &amp; Political Method; Controversies</t>
        </is>
      </c>
    </row>
    <row r="36" ht="80" customHeight="1">
      <c r="A36" s="4" t="inlineStr">
        <is>
          <t>S031</t>
        </is>
      </c>
      <c r="B36" s="4" t="inlineStr">
        <is>
          <t>Gandhi’s voter deletion allegations and EC response</t>
        </is>
      </c>
      <c r="C36" s="4" t="inlineStr">
        <is>
          <t>Passage inspected</t>
        </is>
      </c>
      <c r="D36" s="5" t="inlineStr">
        <is>
          <t>https://indianexpress.com/article/india/rahul-gandhi-vote-chori-cec-gyanesh-kumar-protecting-killing-democracy-10257103/</t>
        </is>
      </c>
      <c r="E36" s="4" t="inlineStr">
        <is>
          <t>Asad Rehman, Indian Express</t>
        </is>
      </c>
      <c r="F36" s="4" t="inlineStr">
        <is>
          <t>2025-09-19</t>
        </is>
      </c>
      <c r="G36" s="4" t="inlineStr">
        <is>
          <t>2026-09-24</t>
        </is>
      </c>
      <c r="H36" s="4" t="inlineStr">
        <is>
          <t>Journalism</t>
        </is>
      </c>
      <c r="I36" s="4" t="inlineStr">
        <is>
          <t>Secondary</t>
        </is>
      </c>
      <c r="J36" s="4" t="inlineStr">
        <is>
          <t>S031</t>
        </is>
      </c>
      <c r="K36" s="4" t="inlineStr">
        <is>
          <t>Allegations and EC response; lines 20–54</t>
        </is>
      </c>
      <c r="L36" s="4" t="inlineStr">
        <is>
          <t>Documents and competing statements are reported; electoral manipulation at national scale is not adjudicated here.</t>
        </is>
      </c>
      <c r="M36" s="4" t="inlineStr">
        <is>
          <t>English / India</t>
        </is>
      </c>
      <c r="N36" s="4" t="inlineStr">
        <is>
          <t>Context &amp; Constraints; Ideas &amp; Political Method; Controversies</t>
        </is>
      </c>
    </row>
    <row r="37" ht="94" customHeight="1">
      <c r="A37" s="6" t="inlineStr">
        <is>
          <t>S032</t>
        </is>
      </c>
      <c r="B37" s="6" t="inlineStr">
        <is>
          <t>Land Acquisition Second Amendment Bill 2015</t>
        </is>
      </c>
      <c r="C37" s="6" t="inlineStr">
        <is>
          <t>Passage inspected</t>
        </is>
      </c>
      <c r="D37" s="7" t="inlineStr">
        <is>
          <t>https://prsindia.org/billtrack/the-right-to-fair-compensation-and-transparency-in-land-acquisition-rehabilitation-and-resettlement-second-amendment-bill-2015</t>
        </is>
      </c>
      <c r="E37" s="6" t="inlineStr">
        <is>
          <t>PRS Legislative Research</t>
        </is>
      </c>
      <c r="F37" s="6" t="inlineStr">
        <is>
          <t>2015</t>
        </is>
      </c>
      <c r="G37" s="6" t="inlineStr">
        <is>
          <t>2026-09-24</t>
        </is>
      </c>
      <c r="H37" s="6" t="inlineStr">
        <is>
          <t>Research / legislative brief</t>
        </is>
      </c>
      <c r="I37" s="6" t="inlineStr">
        <is>
          <t>Secondary</t>
        </is>
      </c>
      <c r="J37" s="6" t="inlineStr">
        <is>
          <t>S032</t>
        </is>
      </c>
      <c r="K37" s="6" t="inlineStr">
        <is>
          <t>Introduction and Table 1</t>
        </is>
      </c>
      <c r="L37" s="6" t="inlineStr">
        <is>
          <t>Bill design and status record; does not establish Gandhi alone caused any legislative outcome.</t>
        </is>
      </c>
      <c r="M37" s="6" t="inlineStr">
        <is>
          <t>English / India</t>
        </is>
      </c>
      <c r="N37" s="6" t="inlineStr">
        <is>
          <t>Context &amp; Constraints; Policy &amp; Governance</t>
        </is>
      </c>
    </row>
    <row r="38" ht="66" customHeight="1">
      <c r="A38" s="4" t="inlineStr">
        <is>
          <t>S033</t>
        </is>
      </c>
      <c r="B38" s="4" t="inlineStr">
        <is>
          <t>Women’s reservation Bill and OBC quota: Rahul Gandhi’s speech</t>
        </is>
      </c>
      <c r="C38" s="4" t="inlineStr">
        <is>
          <t>Passage inspected</t>
        </is>
      </c>
      <c r="D38" s="5" t="inlineStr">
        <is>
          <t>https://indianexpress.com/article/india/lok-sabha-rahul-gandhi-women-reservation-bill-obc-quota-8948629/</t>
        </is>
      </c>
      <c r="E38" s="4" t="inlineStr">
        <is>
          <t>Express News Service</t>
        </is>
      </c>
      <c r="F38" s="4" t="inlineStr">
        <is>
          <t>2023-09-21</t>
        </is>
      </c>
      <c r="G38" s="4" t="inlineStr">
        <is>
          <t>2026-09-24</t>
        </is>
      </c>
      <c r="H38" s="4" t="inlineStr">
        <is>
          <t>Journalism</t>
        </is>
      </c>
      <c r="I38" s="4" t="inlineStr">
        <is>
          <t>Secondary</t>
        </is>
      </c>
      <c r="J38" s="4" t="inlineStr">
        <is>
          <t>S033</t>
        </is>
      </c>
      <c r="K38" s="4" t="inlineStr">
        <is>
          <t>Lok Sabha speech of 20 September; lines 73–90</t>
        </is>
      </c>
      <c r="L38" s="4" t="inlineStr">
        <is>
          <t>Supports speech position, not delivery of reservation or accuracy of all quoted statistics.</t>
        </is>
      </c>
      <c r="M38" s="4" t="inlineStr">
        <is>
          <t>English / India</t>
        </is>
      </c>
      <c r="N38" s="4" t="inlineStr">
        <is>
          <t>Overview; Context &amp; Constraints; Policy &amp; Governance</t>
        </is>
      </c>
    </row>
    <row r="39" ht="66" customHeight="1">
      <c r="A39" s="6" t="inlineStr">
        <is>
          <t>S034</t>
        </is>
      </c>
      <c r="B39" s="6" t="inlineStr">
        <is>
          <t>Rahul Gandhi accepts responsibility for UP result</t>
        </is>
      </c>
      <c r="C39" s="6" t="inlineStr">
        <is>
          <t>Passage inspected</t>
        </is>
      </c>
      <c r="D39" s="7" t="inlineStr">
        <is>
          <t>https://www.ndtv.com/assembly/i-take-responsibility-says-rahul-gandhi-about-up-results-470319</t>
        </is>
      </c>
      <c r="E39" s="6" t="inlineStr">
        <is>
          <t>NDTV Correspondent</t>
        </is>
      </c>
      <c r="F39" s="6" t="inlineStr">
        <is>
          <t>2012-03-07</t>
        </is>
      </c>
      <c r="G39" s="6" t="inlineStr">
        <is>
          <t>2026-09-24</t>
        </is>
      </c>
      <c r="H39" s="6" t="inlineStr">
        <is>
          <t>Journalism</t>
        </is>
      </c>
      <c r="I39" s="6" t="inlineStr">
        <is>
          <t>Secondary</t>
        </is>
      </c>
      <c r="J39" s="6" t="inlineStr">
        <is>
          <t>S034</t>
        </is>
      </c>
      <c r="K39" s="6" t="inlineStr">
        <is>
          <t>Result and campaign; lines 284–294</t>
        </is>
      </c>
      <c r="L39" s="6" t="inlineStr">
        <is>
          <t>Party-wide election, not a personal assembly contest.</t>
        </is>
      </c>
      <c r="M39" s="6" t="inlineStr">
        <is>
          <t>English / India</t>
        </is>
      </c>
      <c r="N39" s="6" t="inlineStr">
        <is>
          <t>Overview; Context &amp; Constraints; Career Timeline; Controversies</t>
        </is>
      </c>
    </row>
    <row r="40" ht="66" customHeight="1">
      <c r="A40" s="4" t="inlineStr">
        <is>
          <t>S035</t>
        </is>
      </c>
      <c r="B40" s="4" t="inlineStr">
        <is>
          <t>Rahul Gandhi welcomes caste-enumeration decision and seeks timeline</t>
        </is>
      </c>
      <c r="C40" s="4" t="inlineStr">
        <is>
          <t>Passage inspected</t>
        </is>
      </c>
      <c r="D40" s="5" t="inlineStr">
        <is>
          <t>https://indianexpress.com/article/india/rahul-gandhi-caste-census-population-congress-centre-cabinet-9975117/</t>
        </is>
      </c>
      <c r="E40" s="4" t="inlineStr">
        <is>
          <t>Mansi Jagani, Indian Express</t>
        </is>
      </c>
      <c r="F40" s="4" t="inlineStr">
        <is>
          <t>2025-04-30</t>
        </is>
      </c>
      <c r="G40" s="4" t="inlineStr">
        <is>
          <t>2026-09-24</t>
        </is>
      </c>
      <c r="H40" s="4" t="inlineStr">
        <is>
          <t>Journalism</t>
        </is>
      </c>
      <c r="I40" s="4" t="inlineStr">
        <is>
          <t>Secondary</t>
        </is>
      </c>
      <c r="J40" s="4" t="inlineStr">
        <is>
          <t>S035</t>
        </is>
      </c>
      <c r="K40" s="4" t="inlineStr">
        <is>
          <t>Government decision and reactions; lines 20–40</t>
        </is>
      </c>
      <c r="L40" s="4" t="inlineStr">
        <is>
          <t>Credit claims are disputed; announcement is not completed enumeration.</t>
        </is>
      </c>
      <c r="M40" s="4" t="inlineStr">
        <is>
          <t>English / India</t>
        </is>
      </c>
      <c r="N40" s="4" t="inlineStr">
        <is>
          <t>Overview; Context &amp; Constraints; Career Timeline; Policy &amp; Governance; Ideas &amp; Political Method; Legacy &amp; Assessments</t>
        </is>
      </c>
    </row>
    <row r="41" ht="52" customHeight="1">
      <c r="A41" s="6" t="inlineStr">
        <is>
          <t>S036</t>
        </is>
      </c>
      <c r="B41" s="6" t="inlineStr">
        <is>
          <t>Government decision to include caste enumeration in census</t>
        </is>
      </c>
      <c r="C41" s="6" t="inlineStr">
        <is>
          <t>Passage inspected</t>
        </is>
      </c>
      <c r="D41" s="7" t="inlineStr">
        <is>
          <t>https://www.pib.gov.in/PressReleasePage.aspx?PRID=2125576</t>
        </is>
      </c>
      <c r="E41" s="6" t="inlineStr">
        <is>
          <t>Ministry of Home Affairs / PIB</t>
        </is>
      </c>
      <c r="F41" s="6" t="inlineStr">
        <is>
          <t>2025-04-30</t>
        </is>
      </c>
      <c r="G41" s="6" t="inlineStr">
        <is>
          <t>2026-09-24</t>
        </is>
      </c>
      <c r="H41" s="6" t="inlineStr">
        <is>
          <t>Official record</t>
        </is>
      </c>
      <c r="I41" s="6" t="inlineStr">
        <is>
          <t>Primary</t>
        </is>
      </c>
      <c r="J41" s="6" t="inlineStr">
        <is>
          <t>S036</t>
        </is>
      </c>
      <c r="K41" s="6" t="inlineStr">
        <is>
          <t>Release 2125576; lines 20–25</t>
        </is>
      </c>
      <c r="L41" s="6" t="inlineStr">
        <is>
          <t>Official evidence for decision and government position; not neutral assessment of Congress.</t>
        </is>
      </c>
      <c r="M41" s="6" t="inlineStr">
        <is>
          <t>English / India</t>
        </is>
      </c>
      <c r="N41" s="6" t="inlineStr">
        <is>
          <t>Overview; Context &amp; Constraints; Career Timeline; Policy &amp; Governance; Legacy &amp; Assessments</t>
        </is>
      </c>
    </row>
    <row r="42" ht="94" customHeight="1">
      <c r="A42" s="4" t="inlineStr">
        <is>
          <t>S037</t>
        </is>
      </c>
      <c r="B42" s="4" t="inlineStr">
        <is>
          <t>Rahul Gandhi vows to oppose land bill</t>
        </is>
      </c>
      <c r="C42" s="4" t="inlineStr">
        <is>
          <t>Passage inspected</t>
        </is>
      </c>
      <c r="D42" s="5" t="inlineStr">
        <is>
          <t>https://economictimes.indiatimes.com/news/politics-and-nation/rahul-gandhi-vows-to-oppose-land-bill-inside-and-outside-parliament/articleshow/47249971.cms</t>
        </is>
      </c>
      <c r="E42" s="4" t="inlineStr">
        <is>
          <t>PTI, Economic Times</t>
        </is>
      </c>
      <c r="F42" s="4" t="inlineStr">
        <is>
          <t>2015-05-12</t>
        </is>
      </c>
      <c r="G42" s="4" t="inlineStr">
        <is>
          <t>2026-09-24</t>
        </is>
      </c>
      <c r="H42" s="4" t="inlineStr">
        <is>
          <t>Journalism</t>
        </is>
      </c>
      <c r="I42" s="4" t="inlineStr">
        <is>
          <t>Secondary</t>
        </is>
      </c>
      <c r="J42" s="4" t="inlineStr">
        <is>
          <t>PTI-LAND-2015-05-12</t>
        </is>
      </c>
      <c r="K42" s="4" t="inlineStr">
        <is>
          <t>Parliamentary debate report</t>
        </is>
      </c>
      <c r="L42" s="4" t="inlineStr">
        <is>
          <t>Opposition was broader than one leader.</t>
        </is>
      </c>
      <c r="M42" s="4" t="inlineStr">
        <is>
          <t>English / India</t>
        </is>
      </c>
      <c r="N42" s="4" t="inlineStr">
        <is>
          <t>Context &amp; Constraints; Career Timeline; Policy &amp; Governance; Ideas &amp; Political Method</t>
        </is>
      </c>
    </row>
    <row r="43" ht="80" customHeight="1">
      <c r="A43" s="6" t="inlineStr">
        <is>
          <t>S038</t>
        </is>
      </c>
      <c r="B43" s="6" t="inlineStr">
        <is>
          <t>Rahul Gandhi criticises convicted-lawmakers ordinance</t>
        </is>
      </c>
      <c r="C43" s="6" t="inlineStr">
        <is>
          <t>Passage inspected</t>
        </is>
      </c>
      <c r="D43" s="7" t="inlineStr">
        <is>
          <t>https://www.ndtv.com/india-news/rahul-gandhi-calls-ordinance-on-convicted-lawmakers-nonsense-huge-embarrassment-for-pm-535906</t>
        </is>
      </c>
      <c r="E43" s="6" t="inlineStr">
        <is>
          <t>Prasad Sanyal, NDTV</t>
        </is>
      </c>
      <c r="F43" s="6" t="inlineStr">
        <is>
          <t>2013-09-27</t>
        </is>
      </c>
      <c r="G43" s="6" t="inlineStr">
        <is>
          <t>2026-09-24</t>
        </is>
      </c>
      <c r="H43" s="6" t="inlineStr">
        <is>
          <t>Journalism</t>
        </is>
      </c>
      <c r="I43" s="6" t="inlineStr">
        <is>
          <t>Secondary</t>
        </is>
      </c>
      <c r="J43" s="6" t="inlineStr">
        <is>
          <t>S038</t>
        </is>
      </c>
      <c r="K43" s="6" t="inlineStr">
        <is>
          <t>Press Club remarks and responses; lines 225–233</t>
        </is>
      </c>
      <c r="L43" s="6" t="inlineStr">
        <is>
          <t>Read only for the specified passage and claim; no blanket verification of the publication.</t>
        </is>
      </c>
      <c r="M43" s="6" t="inlineStr">
        <is>
          <t>English / India</t>
        </is>
      </c>
      <c r="N43" s="6" t="inlineStr">
        <is>
          <t>Context &amp; Constraints; Career Timeline; Policy &amp; Governance; Ideas &amp; Political Method; Controversies</t>
        </is>
      </c>
    </row>
    <row r="44" ht="80" customHeight="1">
      <c r="A44" s="4" t="inlineStr">
        <is>
          <t>S039</t>
        </is>
      </c>
      <c r="B44" s="4" t="inlineStr">
        <is>
          <t>Government withdraws ordinance plan</t>
        </is>
      </c>
      <c r="C44" s="4" t="inlineStr">
        <is>
          <t>Passage inspected</t>
        </is>
      </c>
      <c r="D44" s="5" t="inlineStr">
        <is>
          <t>https://www.business-standard.com/article/politics/govt-bows-before-rahul-withdraws-ordinance-plan-113100200706_1.html</t>
        </is>
      </c>
      <c r="E44" s="4" t="inlineStr">
        <is>
          <t>Business Standard</t>
        </is>
      </c>
      <c r="F44" s="4" t="inlineStr">
        <is>
          <t>2013-10-05</t>
        </is>
      </c>
      <c r="G44" s="4" t="inlineStr">
        <is>
          <t>2026-09-24</t>
        </is>
      </c>
      <c r="H44" s="4" t="inlineStr">
        <is>
          <t>Journalism</t>
        </is>
      </c>
      <c r="I44" s="4" t="inlineStr">
        <is>
          <t>Secondary</t>
        </is>
      </c>
      <c r="J44" s="4" t="inlineStr">
        <is>
          <t>S039</t>
        </is>
      </c>
      <c r="K44" s="4" t="inlineStr">
        <is>
          <t>Cabinet decision reported 2 October</t>
        </is>
      </c>
      <c r="L44" s="4" t="inlineStr">
        <is>
          <t>Multiple institutions and opponents were involved; distinguish influence from constitutional authority.</t>
        </is>
      </c>
      <c r="M44" s="4" t="inlineStr">
        <is>
          <t>English / India</t>
        </is>
      </c>
      <c r="N44" s="4" t="inlineStr">
        <is>
          <t>Context &amp; Constraints; Career Timeline; Policy &amp; Governance; Ideas &amp; Political Method; Controversies</t>
        </is>
      </c>
    </row>
    <row r="45" ht="80" customHeight="1">
      <c r="A45" s="6" t="inlineStr">
        <is>
          <t>S040</t>
        </is>
      </c>
      <c r="B45" s="6" t="inlineStr">
        <is>
          <t>Assembly election results, December 2018</t>
        </is>
      </c>
      <c r="C45" s="6" t="inlineStr">
        <is>
          <t>Passage inspected</t>
        </is>
      </c>
      <c r="D45" s="7" t="inlineStr">
        <is>
          <t>https://www.ndtv.com/india-news/election-results-2018-live-rajasthan-madhya-pradesh-telangana-chhattisgarh-mizoram-1960481</t>
        </is>
      </c>
      <c r="E45" s="6" t="inlineStr">
        <is>
          <t>NDTV election desk</t>
        </is>
      </c>
      <c r="F45" s="6" t="inlineStr">
        <is>
          <t>2018-12-12</t>
        </is>
      </c>
      <c r="G45" s="6" t="inlineStr">
        <is>
          <t>2026-09-24</t>
        </is>
      </c>
      <c r="H45" s="6" t="inlineStr">
        <is>
          <t>Journalism</t>
        </is>
      </c>
      <c r="I45" s="6" t="inlineStr">
        <is>
          <t>Secondary</t>
        </is>
      </c>
      <c r="J45" s="6" t="inlineStr">
        <is>
          <t>S040</t>
        </is>
      </c>
      <c r="K45" s="6" t="inlineStr">
        <is>
          <t>Lead; lines 230–233</t>
        </is>
      </c>
      <c r="L45" s="6" t="inlineStr">
        <is>
          <t>Live article includes counting-stage language; no exact final seat totals adopted.</t>
        </is>
      </c>
      <c r="M45" s="6" t="inlineStr">
        <is>
          <t>English / India</t>
        </is>
      </c>
      <c r="N45" s="6" t="inlineStr">
        <is>
          <t>Career Timeline</t>
        </is>
      </c>
    </row>
    <row r="46" ht="52" customHeight="1">
      <c r="A46" s="4" t="inlineStr">
        <is>
          <t>S041</t>
        </is>
      </c>
      <c r="B46" s="4" t="inlineStr">
        <is>
          <t>Elected members: Lok Sabha 2019</t>
        </is>
      </c>
      <c r="C46" s="4" t="inlineStr">
        <is>
          <t>Passage inspected</t>
        </is>
      </c>
      <c r="D46" s="5" t="inlineStr">
        <is>
          <t>https://www.ceo.kerala.gov.in/electedmembers</t>
        </is>
      </c>
      <c r="E46" s="4" t="inlineStr">
        <is>
          <t>Chief Electoral Officer, Kerala</t>
        </is>
      </c>
      <c r="F46" s="4" t="n"/>
      <c r="G46" s="4" t="inlineStr">
        <is>
          <t>2026-09-24</t>
        </is>
      </c>
      <c r="H46" s="4" t="inlineStr">
        <is>
          <t>Official record</t>
        </is>
      </c>
      <c r="I46" s="4" t="inlineStr">
        <is>
          <t>Primary</t>
        </is>
      </c>
      <c r="J46" s="4" t="inlineStr">
        <is>
          <t>ECI-GE-2019</t>
        </is>
      </c>
      <c r="K46" s="4" t="inlineStr">
        <is>
          <t>2019 Lok Sabha; Wayanad row</t>
        </is>
      </c>
      <c r="L46" s="4" t="inlineStr">
        <is>
          <t>The 431770 figure is margin, not candidate votes. Historic table, not current MP roster.</t>
        </is>
      </c>
      <c r="M46" s="4" t="inlineStr">
        <is>
          <t>English / India</t>
        </is>
      </c>
      <c r="N46" s="4" t="inlineStr">
        <is>
          <t>Context &amp; Constraints; Elections</t>
        </is>
      </c>
    </row>
    <row r="47" ht="52" customHeight="1">
      <c r="A47" s="6" t="inlineStr">
        <is>
          <t>S042</t>
        </is>
      </c>
      <c r="B47" s="6" t="inlineStr">
        <is>
          <t>Rahul Gandhi: 17th Lok Sabha MPTrack</t>
        </is>
      </c>
      <c r="C47" s="6" t="inlineStr">
        <is>
          <t>Passage inspected</t>
        </is>
      </c>
      <c r="D47" s="7" t="inlineStr">
        <is>
          <t>https://prsindia.org/mptrack/17-lok-sabha/rahul-gandhi</t>
        </is>
      </c>
      <c r="E47" s="6" t="inlineStr">
        <is>
          <t>PRS Legislative Research</t>
        </is>
      </c>
      <c r="F47" s="6" t="n"/>
      <c r="G47" s="6" t="inlineStr">
        <is>
          <t>2026-09-24</t>
        </is>
      </c>
      <c r="H47" s="6" t="inlineStr">
        <is>
          <t>Dataset</t>
        </is>
      </c>
      <c r="I47" s="6" t="inlineStr">
        <is>
          <t>Secondary</t>
        </is>
      </c>
      <c r="J47" s="6" t="inlineStr">
        <is>
          <t>S042</t>
        </is>
      </c>
      <c r="K47" s="6" t="inlineStr">
        <is>
          <t>Profile; activity from 1 June 2019 to 10 February 2024</t>
        </is>
      </c>
      <c r="L47" s="6" t="inlineStr">
        <is>
          <t>Displayed tenure does not split the 2023 disqualification; workbook does. Activity period is shorter than term.</t>
        </is>
      </c>
      <c r="M47" s="6" t="inlineStr">
        <is>
          <t>English / India</t>
        </is>
      </c>
      <c r="N47" s="6" t="inlineStr">
        <is>
          <t>Overview; Context &amp; Constraints; Offices &amp; Party; Policy &amp; Governance</t>
        </is>
      </c>
    </row>
    <row r="48" ht="66" customHeight="1">
      <c r="A48" s="4" t="inlineStr">
        <is>
          <t>S043</t>
        </is>
      </c>
      <c r="B48" s="4" t="inlineStr">
        <is>
          <t>Wayanad seat resignation</t>
        </is>
      </c>
      <c r="C48" s="4" t="inlineStr">
        <is>
          <t>Passage inspected</t>
        </is>
      </c>
      <c r="D48" s="5" t="inlineStr">
        <is>
          <t>https://www.ndtv.com/india-news/rahul-gandhi-resigns-from-wayanad-seat-retains-raebareli-5918402</t>
        </is>
      </c>
      <c r="E48" s="4" t="inlineStr">
        <is>
          <t>PTI, NDTV</t>
        </is>
      </c>
      <c r="F48" s="4" t="inlineStr">
        <is>
          <t>2024-06-18</t>
        </is>
      </c>
      <c r="G48" s="4" t="inlineStr">
        <is>
          <t>2026-09-24</t>
        </is>
      </c>
      <c r="H48" s="4" t="inlineStr">
        <is>
          <t>Journalism</t>
        </is>
      </c>
      <c r="I48" s="4" t="inlineStr">
        <is>
          <t>Secondary</t>
        </is>
      </c>
      <c r="J48" s="4" t="inlineStr">
        <is>
          <t>LS-BULLETIN-2024-06-18</t>
        </is>
      </c>
      <c r="K48" s="4" t="inlineStr">
        <is>
          <t>Lok Sabha bulletin reproduction; lines 231–241</t>
        </is>
      </c>
      <c r="L48" s="4" t="inlineStr">
        <is>
          <t>Reproduces institutional bulletin; canonical transcript timed out.</t>
        </is>
      </c>
      <c r="M48" s="4" t="inlineStr">
        <is>
          <t>English / India</t>
        </is>
      </c>
      <c r="N48" s="4" t="inlineStr">
        <is>
          <t>Overview; Context &amp; Constraints; Career Timeline; Elections; Offices &amp; Party</t>
        </is>
      </c>
    </row>
  </sheetData>
  <autoFilter ref="A5:N48"/>
  <mergeCells count="3">
    <mergeCell ref="A1:D1"/>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2" r:id="rId37"/>
    <hyperlink xmlns:r="http://schemas.openxmlformats.org/officeDocument/2006/relationships" ref="D43" r:id="rId38"/>
    <hyperlink xmlns:r="http://schemas.openxmlformats.org/officeDocument/2006/relationships" ref="D44" r:id="rId39"/>
    <hyperlink xmlns:r="http://schemas.openxmlformats.org/officeDocument/2006/relationships" ref="D45" r:id="rId40"/>
    <hyperlink xmlns:r="http://schemas.openxmlformats.org/officeDocument/2006/relationships" ref="D46" r:id="rId41"/>
    <hyperlink xmlns:r="http://schemas.openxmlformats.org/officeDocument/2006/relationships" ref="D47" r:id="rId42"/>
    <hyperlink xmlns:r="http://schemas.openxmlformats.org/officeDocument/2006/relationships" ref="D48" r:id="rId43"/>
  </hyperlinks>
  <pageMargins left="0.75" right="0.75" top="1" bottom="1" header="0.5" footer="0.5"/>
  <pageSetup orientation="landscape" paperSize="8" fitToHeight="0" fitToWidth="1"/>
  <tableParts count="1">
    <tablePart xmlns:r="http://schemas.openxmlformats.org/officeDocument/2006/relationships" r:id="rId44"/>
  </tableParts>
</worksheet>
</file>

<file path=xl/worksheets/sheet11.xml><?xml version="1.0" encoding="utf-8"?>
<worksheet xmlns="http://schemas.openxmlformats.org/spreadsheetml/2006/main">
  <sheetPr>
    <outlinePr summaryBelow="1" summaryRight="0"/>
    <pageSetUpPr fitToPage="1"/>
  </sheetPr>
  <dimension ref="A1:M21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8" customWidth="1" min="3" max="3"/>
    <col width="24" customWidth="1" min="4" max="4"/>
    <col collapsed="1" width="16" customWidth="1" min="5" max="5"/>
    <col hidden="1" outlineLevel="1" width="13" customWidth="1" min="6" max="6"/>
    <col hidden="1" outlineLevel="1" width="44" customWidth="1" min="7" max="7"/>
    <col hidden="1" outlineLevel="1" width="24" customWidth="1" min="8" max="8"/>
    <col hidden="1" outlineLevel="1" width="18"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Rahul Gandhi | Claims</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Claim ID</t>
        </is>
      </c>
      <c r="B5" s="3" t="inlineStr">
        <is>
          <t>Record ID</t>
        </is>
      </c>
      <c r="C5" s="3" t="inlineStr">
        <is>
          <t>Statement</t>
        </is>
      </c>
      <c r="D5" s="3" t="inlineStr">
        <is>
          <t>Review status</t>
        </is>
      </c>
      <c r="E5" s="3" t="inlineStr">
        <is>
          <t>Evidence</t>
        </is>
      </c>
      <c r="F5" s="3" t="inlineStr">
        <is>
          <t>Priority</t>
        </is>
      </c>
      <c r="G5" s="3" t="inlineStr">
        <is>
          <t>Field</t>
        </is>
      </c>
      <c r="H5" s="3" t="inlineStr">
        <is>
          <t>Claim type</t>
        </is>
      </c>
      <c r="I5" s="3" t="inlineStr">
        <is>
          <t>Candidate sources</t>
        </is>
      </c>
      <c r="J5" s="3" t="inlineStr">
        <is>
          <t>All citations</t>
        </is>
      </c>
      <c r="K5" s="3" t="inlineStr">
        <is>
          <t>Contradictions</t>
        </is>
      </c>
      <c r="L5" s="3" t="inlineStr">
        <is>
          <t>Review note</t>
        </is>
      </c>
      <c r="M5" s="3" t="inlineStr">
        <is>
          <t>Sheet</t>
        </is>
      </c>
    </row>
    <row r="6" ht="44" customHeight="1">
      <c r="A6" s="4" t="inlineStr">
        <is>
          <t>C-OV01-01</t>
        </is>
      </c>
      <c r="B6" s="5" t="inlineStr">
        <is>
          <t>OV01</t>
        </is>
      </c>
      <c r="C6" s="4" t="inlineStr">
        <is>
          <t>Rahul Gandhi (राहुल गांधी); Indian National Congress politician; born 19 June 1970; living.</t>
        </is>
      </c>
      <c r="D6" s="4" t="inlineStr">
        <is>
          <t>Supported</t>
        </is>
      </c>
      <c r="E6" s="5" t="inlineStr">
        <is>
          <t>EV-0001</t>
        </is>
      </c>
      <c r="F6" s="4" t="inlineStr">
        <is>
          <t>Normal</t>
        </is>
      </c>
      <c r="G6" s="4" t="inlineStr">
        <is>
          <t>Finding / value</t>
        </is>
      </c>
      <c r="H6" s="4" t="inlineStr">
        <is>
          <t>Recorded fact</t>
        </is>
      </c>
      <c r="I6" s="4" t="inlineStr">
        <is>
          <t>S004</t>
        </is>
      </c>
      <c r="J6" s="5" t="inlineStr">
        <is>
          <t>All citations</t>
        </is>
      </c>
      <c r="K6" s="4" t="inlineStr"/>
      <c r="L6" s="4" t="inlineStr">
        <is>
          <t>Statement checked against indicated passage(s).</t>
        </is>
      </c>
      <c r="M6" s="4" t="inlineStr">
        <is>
          <t>Overview</t>
        </is>
      </c>
    </row>
    <row r="7" ht="52" customHeight="1">
      <c r="A7" s="6" t="inlineStr">
        <is>
          <t>C-OV02-01</t>
        </is>
      </c>
      <c r="B7" s="7" t="inlineStr">
        <is>
          <t>OV02</t>
        </is>
      </c>
      <c r="C7" s="6" t="inlineStr">
        <is>
          <t>MP for Rae Bareli, Uttar Pradesh, in his fifth Lok Sabha term; Leader of Opposition, Lok Sabha, effective 9 June 2024.</t>
        </is>
      </c>
      <c r="D7" s="6" t="inlineStr">
        <is>
          <t>Supported</t>
        </is>
      </c>
      <c r="E7" s="7" t="inlineStr">
        <is>
          <t>EV-0002; EV-0003</t>
        </is>
      </c>
      <c r="F7" s="6" t="inlineStr">
        <is>
          <t>High</t>
        </is>
      </c>
      <c r="G7" s="6" t="inlineStr">
        <is>
          <t>Finding / value</t>
        </is>
      </c>
      <c r="H7" s="6" t="inlineStr">
        <is>
          <t>Recorded fact</t>
        </is>
      </c>
      <c r="I7" s="6" t="inlineStr">
        <is>
          <t>S002; S003</t>
        </is>
      </c>
      <c r="J7" s="7" t="inlineStr">
        <is>
          <t>All citations</t>
        </is>
      </c>
      <c r="K7" s="6" t="inlineStr"/>
      <c r="L7" s="6" t="inlineStr">
        <is>
          <t>Statement checked against indicated passage(s).</t>
        </is>
      </c>
      <c r="M7" s="6" t="inlineStr">
        <is>
          <t>Overview</t>
        </is>
      </c>
    </row>
    <row r="8" ht="66" customHeight="1">
      <c r="A8" s="4" t="inlineStr">
        <is>
          <t>C-OV03-01</t>
        </is>
      </c>
      <c r="B8" s="5" t="inlineStr">
        <is>
          <t>OV03</t>
        </is>
      </c>
      <c r="C8" s="4" t="inlineStr">
        <is>
          <t>Amethi (2004–2019), Wayanad (2019–2024, with a 2023 disqualification interruption), then Rae Bareli. Won Wayanad again in 2024 and relinquished it effective 18 June.</t>
        </is>
      </c>
      <c r="D8" s="4" t="inlineStr">
        <is>
          <t>Supported</t>
        </is>
      </c>
      <c r="E8" s="5" t="inlineStr">
        <is>
          <t>EV-0004; EV-0005; EV-0006; EV-0007</t>
        </is>
      </c>
      <c r="F8" s="4" t="inlineStr">
        <is>
          <t>High</t>
        </is>
      </c>
      <c r="G8" s="4" t="inlineStr">
        <is>
          <t>Finding / value</t>
        </is>
      </c>
      <c r="H8" s="4" t="inlineStr">
        <is>
          <t>Recorded fact</t>
        </is>
      </c>
      <c r="I8" s="4" t="inlineStr">
        <is>
          <t>S004; S011; S042; S043</t>
        </is>
      </c>
      <c r="J8" s="5" t="inlineStr">
        <is>
          <t>All citations</t>
        </is>
      </c>
      <c r="K8" s="4" t="inlineStr"/>
      <c r="L8" s="4" t="inlineStr">
        <is>
          <t>Statement checked against indicated passage(s).</t>
        </is>
      </c>
      <c r="M8" s="4" t="inlineStr">
        <is>
          <t>Overview</t>
        </is>
      </c>
    </row>
    <row r="9" ht="66" customHeight="1">
      <c r="A9" s="6" t="inlineStr">
        <is>
          <t>C-OV04-01</t>
        </is>
      </c>
      <c r="B9" s="7" t="inlineStr">
        <is>
          <t>OV04</t>
        </is>
      </c>
      <c r="C9" s="6" t="inlineStr">
        <is>
          <t>AICC general secretary from September 2007; Congress vice-president from January 2013; president from 16 December 2017. Resigned after the 2019 defeat; confirmed departure publicly on 3 July.</t>
        </is>
      </c>
      <c r="D9" s="6" t="inlineStr">
        <is>
          <t>Supported</t>
        </is>
      </c>
      <c r="E9" s="7" t="inlineStr">
        <is>
          <t>EV-0008; EV-0009</t>
        </is>
      </c>
      <c r="F9" s="6" t="inlineStr">
        <is>
          <t>High</t>
        </is>
      </c>
      <c r="G9" s="6" t="inlineStr">
        <is>
          <t>Finding / value</t>
        </is>
      </c>
      <c r="H9" s="6" t="inlineStr">
        <is>
          <t>Recorded fact</t>
        </is>
      </c>
      <c r="I9" s="6" t="inlineStr">
        <is>
          <t>S004; S014</t>
        </is>
      </c>
      <c r="J9" s="7" t="inlineStr">
        <is>
          <t>All citations</t>
        </is>
      </c>
      <c r="K9" s="6" t="inlineStr"/>
      <c r="L9" s="6" t="inlineStr">
        <is>
          <t>Statement checked against indicated passage(s).</t>
        </is>
      </c>
      <c r="M9" s="6" t="inlineStr">
        <is>
          <t>Overview</t>
        </is>
      </c>
    </row>
    <row r="10" ht="66" customHeight="1">
      <c r="A10" s="4" t="inlineStr">
        <is>
          <t>C-OV05-01</t>
        </is>
      </c>
      <c r="B10" s="5" t="inlineStr">
        <is>
          <t>OV05</t>
        </is>
      </c>
      <c r="C10" s="4" t="inlineStr">
        <is>
          <t>Rollins graduate (1994), Cambridge MPhil in Development Studies (1995). Family political prominence aided access; assassinations and security concerns also shaped his early life.</t>
        </is>
      </c>
      <c r="D10" s="4" t="inlineStr">
        <is>
          <t>Supported</t>
        </is>
      </c>
      <c r="E10" s="5" t="inlineStr">
        <is>
          <t>EV-0010; EV-0011</t>
        </is>
      </c>
      <c r="F10" s="4" t="inlineStr">
        <is>
          <t>Normal</t>
        </is>
      </c>
      <c r="G10" s="4" t="inlineStr">
        <is>
          <t>Finding / value</t>
        </is>
      </c>
      <c r="H10" s="4" t="inlineStr">
        <is>
          <t>Analysis</t>
        </is>
      </c>
      <c r="I10" s="4" t="inlineStr">
        <is>
          <t>S005; S004</t>
        </is>
      </c>
      <c r="J10" s="5" t="inlineStr">
        <is>
          <t>All citations</t>
        </is>
      </c>
      <c r="K10" s="4" t="inlineStr"/>
      <c r="L10" s="4" t="inlineStr">
        <is>
          <t>Analytical synthesis of cited records; causal limits retained.</t>
        </is>
      </c>
      <c r="M10" s="4" t="inlineStr">
        <is>
          <t>Overview</t>
        </is>
      </c>
    </row>
    <row r="11" ht="66" customHeight="1">
      <c r="A11" s="6" t="inlineStr">
        <is>
          <t>C-OV06-01</t>
        </is>
      </c>
      <c r="B11" s="7" t="inlineStr">
        <is>
          <t>OV06</t>
        </is>
      </c>
      <c r="C11" s="6" t="inlineStr">
        <is>
          <t>Seven constituency contests across five general elections: six wins and one loss. The loss was Amethi in 2019; two wins in 2024 count as one parliamentary term.</t>
        </is>
      </c>
      <c r="D11" s="6" t="inlineStr">
        <is>
          <t>Supported</t>
        </is>
      </c>
      <c r="E11" s="7" t="inlineStr">
        <is>
          <t>EV-0012; EV-0013; EV-0014; EV-0015</t>
        </is>
      </c>
      <c r="F11" s="6" t="inlineStr">
        <is>
          <t>High</t>
        </is>
      </c>
      <c r="G11" s="6" t="inlineStr">
        <is>
          <t>Finding / value</t>
        </is>
      </c>
      <c r="H11" s="6" t="inlineStr">
        <is>
          <t>Analysis</t>
        </is>
      </c>
      <c r="I11" s="6" t="inlineStr">
        <is>
          <t>S006; S007; S008; S009</t>
        </is>
      </c>
      <c r="J11" s="7" t="inlineStr">
        <is>
          <t>All citations</t>
        </is>
      </c>
      <c r="K11" s="6" t="inlineStr"/>
      <c r="L11" s="6" t="inlineStr">
        <is>
          <t>Analytical synthesis of cited records; causal limits retained.</t>
        </is>
      </c>
      <c r="M11" s="6" t="inlineStr">
        <is>
          <t>Overview</t>
        </is>
      </c>
    </row>
    <row r="12" ht="66" customHeight="1">
      <c r="A12" s="4" t="inlineStr">
        <is>
          <t>C-OV07-01</t>
        </is>
      </c>
      <c r="B12" s="5" t="inlineStr">
        <is>
          <t>OV07</t>
        </is>
      </c>
      <c r="C12" s="4" t="inlineStr">
        <is>
          <t>He moved from youth-organisation reform and party succession to national opposition campaigning, two cross-country yatras, and formal parliamentary opposition leadership.</t>
        </is>
      </c>
      <c r="D12" s="4" t="inlineStr">
        <is>
          <t>Supported</t>
        </is>
      </c>
      <c r="E12" s="5" t="inlineStr">
        <is>
          <t>EV-0016; EV-0017; EV-0018; EV-0019</t>
        </is>
      </c>
      <c r="F12" s="4" t="inlineStr">
        <is>
          <t>Normal</t>
        </is>
      </c>
      <c r="G12" s="4" t="inlineStr">
        <is>
          <t>Finding / value</t>
        </is>
      </c>
      <c r="H12" s="4" t="inlineStr">
        <is>
          <t>Analysis</t>
        </is>
      </c>
      <c r="I12" s="4" t="inlineStr">
        <is>
          <t>S004; S022; S015; S002</t>
        </is>
      </c>
      <c r="J12" s="5" t="inlineStr">
        <is>
          <t>All citations</t>
        </is>
      </c>
      <c r="K12" s="4" t="inlineStr"/>
      <c r="L12" s="4" t="inlineStr">
        <is>
          <t>Analytical synthesis of cited records; causal limits retained.</t>
        </is>
      </c>
      <c r="M12" s="4" t="inlineStr">
        <is>
          <t>Overview</t>
        </is>
      </c>
    </row>
    <row r="13" ht="80" customHeight="1">
      <c r="A13" s="6" t="inlineStr">
        <is>
          <t>C-OV08-01</t>
        </is>
      </c>
      <c r="B13" s="7" t="inlineStr">
        <is>
          <t>OV08</t>
        </is>
      </c>
      <c r="C13" s="6" t="inlineStr">
        <is>
          <t>His clearest documented contributions are organisational experimentation, sustained opposition advocacy and public mobilisation. The caste-enumeration debate illustrates agenda influence with disputed credit.</t>
        </is>
      </c>
      <c r="D13" s="6" t="inlineStr">
        <is>
          <t>Supported</t>
        </is>
      </c>
      <c r="E13" s="7" t="inlineStr">
        <is>
          <t>EV-0020; EV-0021; EV-0022; EV-0023; EV-0024</t>
        </is>
      </c>
      <c r="F13" s="6" t="inlineStr">
        <is>
          <t>Normal</t>
        </is>
      </c>
      <c r="G13" s="6" t="inlineStr">
        <is>
          <t>Finding / value</t>
        </is>
      </c>
      <c r="H13" s="6" t="inlineStr">
        <is>
          <t>Analysis</t>
        </is>
      </c>
      <c r="I13" s="6" t="inlineStr">
        <is>
          <t>S021; S022; S023; S035; S036</t>
        </is>
      </c>
      <c r="J13" s="7" t="inlineStr">
        <is>
          <t>All citations</t>
        </is>
      </c>
      <c r="K13" s="6" t="inlineStr"/>
      <c r="L13" s="6" t="inlineStr">
        <is>
          <t>Analytical synthesis of cited records; causal limits retained.</t>
        </is>
      </c>
      <c r="M13" s="6" t="inlineStr">
        <is>
          <t>Overview</t>
        </is>
      </c>
    </row>
    <row r="14" ht="66" customHeight="1">
      <c r="A14" s="4" t="inlineStr">
        <is>
          <t>C-OV09-01</t>
        </is>
      </c>
      <c r="B14" s="5" t="inlineStr">
        <is>
          <t>OV09</t>
        </is>
      </c>
      <c r="C14" s="4" t="inlineStr">
        <is>
          <t>Caste representation, redistribution, employment, farmers’ protections, women’s representation and constitutional pluralism recur in his speeches and Congress’s platform.</t>
        </is>
      </c>
      <c r="D14" s="4" t="inlineStr">
        <is>
          <t>Supported</t>
        </is>
      </c>
      <c r="E14" s="5" t="inlineStr">
        <is>
          <t>EV-0025; EV-0026; EV-0027; EV-0028; EV-0029; EV-0030</t>
        </is>
      </c>
      <c r="F14" s="4" t="inlineStr">
        <is>
          <t>Normal</t>
        </is>
      </c>
      <c r="G14" s="4" t="inlineStr">
        <is>
          <t>Finding / value</t>
        </is>
      </c>
      <c r="H14" s="4" t="inlineStr">
        <is>
          <t>Analysis</t>
        </is>
      </c>
      <c r="I14" s="4" t="inlineStr">
        <is>
          <t>S016; S017; S018; S019; S033; S028</t>
        </is>
      </c>
      <c r="J14" s="5" t="inlineStr">
        <is>
          <t>All citations</t>
        </is>
      </c>
      <c r="K14" s="4" t="inlineStr"/>
      <c r="L14" s="4" t="inlineStr">
        <is>
          <t>Analytical synthesis of cited records; causal limits retained.</t>
        </is>
      </c>
      <c r="M14" s="4" t="inlineStr">
        <is>
          <t>Overview</t>
        </is>
      </c>
    </row>
    <row r="15" ht="66" customHeight="1">
      <c r="A15" s="6" t="inlineStr">
        <is>
          <t>C-OV10-01</t>
        </is>
      </c>
      <c r="B15" s="7" t="inlineStr">
        <is>
          <t>OV10</t>
        </is>
      </c>
      <c r="C15" s="6" t="inlineStr">
        <is>
          <t>The 2012 UP setback, 2019 national defeat and Amethi loss, and the 2025 Bihar setback show that campaign visibility has not consistently produced electoral recovery.</t>
        </is>
      </c>
      <c r="D15" s="6" t="inlineStr">
        <is>
          <t>Supported</t>
        </is>
      </c>
      <c r="E15" s="7" t="inlineStr">
        <is>
          <t>EV-0031; EV-0032; EV-0033; EV-0034</t>
        </is>
      </c>
      <c r="F15" s="6" t="inlineStr">
        <is>
          <t>Normal</t>
        </is>
      </c>
      <c r="G15" s="6" t="inlineStr">
        <is>
          <t>Finding / value</t>
        </is>
      </c>
      <c r="H15" s="6" t="inlineStr">
        <is>
          <t>Analysis</t>
        </is>
      </c>
      <c r="I15" s="6" t="inlineStr">
        <is>
          <t>S034; S014; S007; S026</t>
        </is>
      </c>
      <c r="J15" s="7" t="inlineStr">
        <is>
          <t>All citations</t>
        </is>
      </c>
      <c r="K15" s="6" t="inlineStr"/>
      <c r="L15" s="6" t="inlineStr">
        <is>
          <t>Analytical synthesis of cited records; causal limits retained.</t>
        </is>
      </c>
      <c r="M15" s="6" t="inlineStr">
        <is>
          <t>Overview</t>
        </is>
      </c>
    </row>
    <row r="16" ht="80" customHeight="1">
      <c r="A16" s="4" t="inlineStr">
        <is>
          <t>C-OV11-01</t>
        </is>
      </c>
      <c r="B16" s="5" t="inlineStr">
        <is>
          <t>OV11</t>
        </is>
      </c>
      <c r="C16" s="4" t="inlineStr">
        <is>
          <t>The 2023 defamation conviction was stayed, not overturned by the inspected order. In the National Herald money-laundering matter, ED’s challenge to refusal of cognisance remained before the High Court in September 2026.</t>
        </is>
      </c>
      <c r="D16" s="4" t="inlineStr">
        <is>
          <t>Supported</t>
        </is>
      </c>
      <c r="E16" s="5" t="inlineStr">
        <is>
          <t>EV-0035; EV-0036; EV-0037</t>
        </is>
      </c>
      <c r="F16" s="4" t="inlineStr">
        <is>
          <t>High</t>
        </is>
      </c>
      <c r="G16" s="4" t="inlineStr">
        <is>
          <t>Finding / value</t>
        </is>
      </c>
      <c r="H16" s="4" t="inlineStr">
        <is>
          <t>Recorded fact</t>
        </is>
      </c>
      <c r="I16" s="4" t="inlineStr">
        <is>
          <t>S010; S012; S013</t>
        </is>
      </c>
      <c r="J16" s="5" t="inlineStr">
        <is>
          <t>All citations</t>
        </is>
      </c>
      <c r="K16" s="4" t="inlineStr"/>
      <c r="L16" s="4" t="inlineStr">
        <is>
          <t>Defamation appeal merits after the 2023 stay remain an open retrieval gap. National Herald latest inspected hearing report: 22 September 2026.</t>
        </is>
      </c>
      <c r="M16" s="4" t="inlineStr">
        <is>
          <t>Overview</t>
        </is>
      </c>
    </row>
    <row r="17" ht="80" customHeight="1">
      <c r="A17" s="6" t="inlineStr">
        <is>
          <t>C-OV12-01</t>
        </is>
      </c>
      <c r="B17" s="7" t="inlineStr">
        <is>
          <t>OV12</t>
        </is>
      </c>
      <c r="C17" s="6" t="inlineStr">
        <is>
          <t>Dynastic access and security are evidenced; a specifically gender-based barrier to his advancement is not established. Commentary about physical endurance supplies a bounded example of masculine campaign imagery.</t>
        </is>
      </c>
      <c r="D17" s="6" t="inlineStr">
        <is>
          <t>Supported</t>
        </is>
      </c>
      <c r="E17" s="7" t="inlineStr">
        <is>
          <t>EV-0038; EV-0039; EV-0040</t>
        </is>
      </c>
      <c r="F17" s="6" t="inlineStr">
        <is>
          <t>Normal</t>
        </is>
      </c>
      <c r="G17" s="6" t="inlineStr">
        <is>
          <t>Finding / value</t>
        </is>
      </c>
      <c r="H17" s="6" t="inlineStr">
        <is>
          <t>Analysis</t>
        </is>
      </c>
      <c r="I17" s="6" t="inlineStr">
        <is>
          <t>S004; S005; S025</t>
        </is>
      </c>
      <c r="J17" s="7" t="inlineStr">
        <is>
          <t>All citations</t>
        </is>
      </c>
      <c r="K17" s="6" t="inlineStr"/>
      <c r="L17" s="6" t="inlineStr">
        <is>
          <t>Analytical synthesis of cited records; causal limits retained.</t>
        </is>
      </c>
      <c r="M17" s="6" t="inlineStr">
        <is>
          <t>Overview</t>
        </is>
      </c>
    </row>
    <row r="18" ht="80" customHeight="1">
      <c r="A18" s="4" t="inlineStr">
        <is>
          <t>C-OV13-01</t>
        </is>
      </c>
      <c r="B18" s="5" t="inlineStr">
        <is>
          <t>OV13</t>
        </is>
      </c>
      <c r="C18" s="4" t="inlineStr">
        <is>
          <t>A major test case for Congress’s adaptation to BJP-centred competition. The 2024 recovery enlarged opposition space; it did not itself end BJP centrality or settle Congress’s organisational weaknesses.</t>
        </is>
      </c>
      <c r="D18" s="4" t="inlineStr">
        <is>
          <t>Supported</t>
        </is>
      </c>
      <c r="E18" s="5" t="inlineStr">
        <is>
          <t>EV-0041; EV-0042; EV-0043</t>
        </is>
      </c>
      <c r="F18" s="4" t="inlineStr">
        <is>
          <t>Normal</t>
        </is>
      </c>
      <c r="G18" s="4" t="inlineStr">
        <is>
          <t>Finding / value</t>
        </is>
      </c>
      <c r="H18" s="4" t="inlineStr">
        <is>
          <t>Analysis</t>
        </is>
      </c>
      <c r="I18" s="4" t="inlineStr">
        <is>
          <t>S023; S024; S026</t>
        </is>
      </c>
      <c r="J18" s="5" t="inlineStr">
        <is>
          <t>All citations</t>
        </is>
      </c>
      <c r="K18" s="4" t="inlineStr"/>
      <c r="L18" s="4" t="inlineStr">
        <is>
          <t>Analytical synthesis of cited records; causal limits retained.</t>
        </is>
      </c>
      <c r="M18" s="4" t="inlineStr">
        <is>
          <t>Overview</t>
        </is>
      </c>
    </row>
    <row r="19" ht="44" customHeight="1">
      <c r="A19" s="6" t="inlineStr">
        <is>
          <t>C-T01-01</t>
        </is>
      </c>
      <c r="B19" s="7" t="inlineStr">
        <is>
          <t>T01</t>
        </is>
      </c>
      <c r="C19" s="6" t="inlineStr">
        <is>
          <t>Born on 19 June 1970 to Rajiv and Sonia Gandhi.</t>
        </is>
      </c>
      <c r="D19" s="6" t="inlineStr">
        <is>
          <t>Supported</t>
        </is>
      </c>
      <c r="E19" s="7" t="inlineStr">
        <is>
          <t>EV-0044</t>
        </is>
      </c>
      <c r="F19" s="6" t="inlineStr">
        <is>
          <t>Normal</t>
        </is>
      </c>
      <c r="G19" s="6" t="inlineStr">
        <is>
          <t>Description</t>
        </is>
      </c>
      <c r="H19" s="6" t="inlineStr">
        <is>
          <t>Recorded fact</t>
        </is>
      </c>
      <c r="I19" s="6" t="inlineStr">
        <is>
          <t>S004</t>
        </is>
      </c>
      <c r="J19" s="7" t="inlineStr">
        <is>
          <t>All citations</t>
        </is>
      </c>
      <c r="K19" s="6" t="inlineStr"/>
      <c r="L19" s="6" t="inlineStr">
        <is>
          <t>Statement checked against indicated passage(s).</t>
        </is>
      </c>
      <c r="M19" s="6" t="inlineStr">
        <is>
          <t>Career Timeline</t>
        </is>
      </c>
    </row>
    <row r="20" ht="44" customHeight="1">
      <c r="A20" s="4" t="inlineStr">
        <is>
          <t>C-T01-02</t>
        </is>
      </c>
      <c r="B20" s="5" t="inlineStr">
        <is>
          <t>T01</t>
        </is>
      </c>
      <c r="C20" s="4" t="inlineStr">
        <is>
          <t>1970-06-19</t>
        </is>
      </c>
      <c r="D20" s="4" t="inlineStr">
        <is>
          <t>Supported</t>
        </is>
      </c>
      <c r="E20" s="5" t="inlineStr">
        <is>
          <t>EV-0045</t>
        </is>
      </c>
      <c r="F20" s="4" t="inlineStr">
        <is>
          <t>Normal</t>
        </is>
      </c>
      <c r="G20" s="4" t="inlineStr">
        <is>
          <t>Exact date</t>
        </is>
      </c>
      <c r="H20" s="4" t="inlineStr">
        <is>
          <t>Recorded fact</t>
        </is>
      </c>
      <c r="I20" s="4" t="inlineStr">
        <is>
          <t>S004</t>
        </is>
      </c>
      <c r="J20" s="5" t="inlineStr">
        <is>
          <t>All citations</t>
        </is>
      </c>
      <c r="K20" s="4" t="inlineStr"/>
      <c r="L20" s="4" t="inlineStr">
        <is>
          <t>Statement checked against indicated passage(s).</t>
        </is>
      </c>
      <c r="M20" s="4" t="inlineStr">
        <is>
          <t>Career Timeline</t>
        </is>
      </c>
    </row>
    <row r="21" ht="52" customHeight="1">
      <c r="A21" s="6" t="inlineStr">
        <is>
          <t>C-T02-01</t>
        </is>
      </c>
      <c r="B21" s="7" t="inlineStr">
        <is>
          <t>T02</t>
        </is>
      </c>
      <c r="C21" s="6" t="inlineStr">
        <is>
          <t>Family assassinations prompted security-related education changes; completed Rollins graduation and a Cambridge MPhil.</t>
        </is>
      </c>
      <c r="D21" s="6" t="inlineStr">
        <is>
          <t>Supported</t>
        </is>
      </c>
      <c r="E21" s="7" t="inlineStr">
        <is>
          <t>EV-0046</t>
        </is>
      </c>
      <c r="F21" s="6" t="inlineStr">
        <is>
          <t>Normal</t>
        </is>
      </c>
      <c r="G21" s="6" t="inlineStr">
        <is>
          <t>Description</t>
        </is>
      </c>
      <c r="H21" s="6" t="inlineStr">
        <is>
          <t>Recorded fact</t>
        </is>
      </c>
      <c r="I21" s="6" t="inlineStr">
        <is>
          <t>S005</t>
        </is>
      </c>
      <c r="J21" s="7" t="inlineStr">
        <is>
          <t>All citations</t>
        </is>
      </c>
      <c r="K21" s="6" t="inlineStr"/>
      <c r="L21" s="6" t="inlineStr">
        <is>
          <t>Statement checked against indicated passage(s).</t>
        </is>
      </c>
      <c r="M21" s="6" t="inlineStr">
        <is>
          <t>Career Timeline</t>
        </is>
      </c>
    </row>
    <row r="22" ht="44" customHeight="1">
      <c r="A22" s="4" t="inlineStr">
        <is>
          <t>C-T03-01</t>
        </is>
      </c>
      <c r="B22" s="5" t="inlineStr">
        <is>
          <t>T03</t>
        </is>
      </c>
      <c r="C22" s="4" t="inlineStr">
        <is>
          <t>Worked with Monitor in London and established Backops before electoral entry.</t>
        </is>
      </c>
      <c r="D22" s="4" t="inlineStr">
        <is>
          <t>Supported</t>
        </is>
      </c>
      <c r="E22" s="5" t="inlineStr">
        <is>
          <t>EV-0047</t>
        </is>
      </c>
      <c r="F22" s="4" t="inlineStr">
        <is>
          <t>Normal</t>
        </is>
      </c>
      <c r="G22" s="4" t="inlineStr">
        <is>
          <t>Description</t>
        </is>
      </c>
      <c r="H22" s="4" t="inlineStr">
        <is>
          <t>Recorded fact</t>
        </is>
      </c>
      <c r="I22" s="4" t="inlineStr">
        <is>
          <t>S005</t>
        </is>
      </c>
      <c r="J22" s="5" t="inlineStr">
        <is>
          <t>All citations</t>
        </is>
      </c>
      <c r="K22" s="4" t="inlineStr"/>
      <c r="L22" s="4" t="inlineStr">
        <is>
          <t>Statement checked against indicated passage(s).</t>
        </is>
      </c>
      <c r="M22" s="4" t="inlineStr">
        <is>
          <t>Career Timeline</t>
        </is>
      </c>
    </row>
    <row r="23" ht="44" customHeight="1">
      <c r="A23" s="6" t="inlineStr">
        <is>
          <t>C-T04-01</t>
        </is>
      </c>
      <c r="B23" s="7" t="inlineStr">
        <is>
          <t>T04</t>
        </is>
      </c>
      <c r="C23" s="6" t="inlineStr">
        <is>
          <t>Entered electoral politics and won Amethi for Congress.</t>
        </is>
      </c>
      <c r="D23" s="6" t="inlineStr">
        <is>
          <t>Supported</t>
        </is>
      </c>
      <c r="E23" s="7" t="inlineStr">
        <is>
          <t>EV-0048; EV-0049</t>
        </is>
      </c>
      <c r="F23" s="6" t="inlineStr">
        <is>
          <t>Normal</t>
        </is>
      </c>
      <c r="G23" s="6" t="inlineStr">
        <is>
          <t>Description</t>
        </is>
      </c>
      <c r="H23" s="6" t="inlineStr">
        <is>
          <t>Recorded fact</t>
        </is>
      </c>
      <c r="I23" s="6" t="inlineStr">
        <is>
          <t>S009; S004</t>
        </is>
      </c>
      <c r="J23" s="7" t="inlineStr">
        <is>
          <t>All citations</t>
        </is>
      </c>
      <c r="K23" s="6" t="inlineStr"/>
      <c r="L23" s="6" t="inlineStr">
        <is>
          <t>Statement checked against indicated passage(s).</t>
        </is>
      </c>
      <c r="M23" s="6" t="inlineStr">
        <is>
          <t>Career Timeline</t>
        </is>
      </c>
    </row>
    <row r="24" ht="44" customHeight="1">
      <c r="A24" s="4" t="inlineStr">
        <is>
          <t>C-T05-01</t>
        </is>
      </c>
      <c r="B24" s="5" t="inlineStr">
        <is>
          <t>T05</t>
        </is>
      </c>
      <c r="C24" s="4" t="inlineStr">
        <is>
          <t>Appointed AICC general secretary on 24 September, responsible for IYC and NSUI.</t>
        </is>
      </c>
      <c r="D24" s="4" t="inlineStr">
        <is>
          <t>Supported</t>
        </is>
      </c>
      <c r="E24" s="5" t="inlineStr">
        <is>
          <t>EV-0050</t>
        </is>
      </c>
      <c r="F24" s="4" t="inlineStr">
        <is>
          <t>Normal</t>
        </is>
      </c>
      <c r="G24" s="4" t="inlineStr">
        <is>
          <t>Description</t>
        </is>
      </c>
      <c r="H24" s="4" t="inlineStr">
        <is>
          <t>Recorded fact</t>
        </is>
      </c>
      <c r="I24" s="4" t="inlineStr">
        <is>
          <t>S004</t>
        </is>
      </c>
      <c r="J24" s="5" t="inlineStr">
        <is>
          <t>All citations</t>
        </is>
      </c>
      <c r="K24" s="4" t="inlineStr"/>
      <c r="L24" s="4" t="inlineStr">
        <is>
          <t>Statement checked against indicated passage(s).</t>
        </is>
      </c>
      <c r="M24" s="4" t="inlineStr">
        <is>
          <t>Career Timeline</t>
        </is>
      </c>
    </row>
    <row r="25" ht="44" customHeight="1">
      <c r="A25" s="6" t="inlineStr">
        <is>
          <t>C-T05-02</t>
        </is>
      </c>
      <c r="B25" s="7" t="inlineStr">
        <is>
          <t>T05</t>
        </is>
      </c>
      <c r="C25" s="6" t="inlineStr">
        <is>
          <t>2007-09-24</t>
        </is>
      </c>
      <c r="D25" s="6" t="inlineStr">
        <is>
          <t>Supported</t>
        </is>
      </c>
      <c r="E25" s="7" t="inlineStr">
        <is>
          <t>EV-0051</t>
        </is>
      </c>
      <c r="F25" s="6" t="inlineStr">
        <is>
          <t>Normal</t>
        </is>
      </c>
      <c r="G25" s="6" t="inlineStr">
        <is>
          <t>Exact date</t>
        </is>
      </c>
      <c r="H25" s="6" t="inlineStr">
        <is>
          <t>Recorded fact</t>
        </is>
      </c>
      <c r="I25" s="6" t="inlineStr">
        <is>
          <t>S004</t>
        </is>
      </c>
      <c r="J25" s="7" t="inlineStr">
        <is>
          <t>All citations</t>
        </is>
      </c>
      <c r="K25" s="6" t="inlineStr"/>
      <c r="L25" s="6" t="inlineStr">
        <is>
          <t>Statement checked against indicated passage(s).</t>
        </is>
      </c>
      <c r="M25" s="6" t="inlineStr">
        <is>
          <t>Career Timeline</t>
        </is>
      </c>
    </row>
    <row r="26" ht="44" customHeight="1">
      <c r="A26" s="4" t="inlineStr">
        <is>
          <t>C-T06-01</t>
        </is>
      </c>
      <c r="B26" s="5" t="inlineStr">
        <is>
          <t>T06</t>
        </is>
      </c>
      <c r="C26" s="4" t="inlineStr">
        <is>
          <t>Re-elected with 464195 votes, ahead of BSP candidate Asheesh Shukla.</t>
        </is>
      </c>
      <c r="D26" s="4" t="inlineStr">
        <is>
          <t>Supported</t>
        </is>
      </c>
      <c r="E26" s="5" t="inlineStr">
        <is>
          <t>EV-0052</t>
        </is>
      </c>
      <c r="F26" s="4" t="inlineStr">
        <is>
          <t>Normal</t>
        </is>
      </c>
      <c r="G26" s="4" t="inlineStr">
        <is>
          <t>Description</t>
        </is>
      </c>
      <c r="H26" s="4" t="inlineStr">
        <is>
          <t>Recorded fact</t>
        </is>
      </c>
      <c r="I26" s="4" t="inlineStr">
        <is>
          <t>S008</t>
        </is>
      </c>
      <c r="J26" s="5" t="inlineStr">
        <is>
          <t>All citations</t>
        </is>
      </c>
      <c r="K26" s="4" t="inlineStr"/>
      <c r="L26" s="4" t="inlineStr">
        <is>
          <t>Statement checked against indicated passage(s).</t>
        </is>
      </c>
      <c r="M26" s="4" t="inlineStr">
        <is>
          <t>Career Timeline</t>
        </is>
      </c>
    </row>
    <row r="27" ht="52" customHeight="1">
      <c r="A27" s="6" t="inlineStr">
        <is>
          <t>C-T07-01</t>
        </is>
      </c>
      <c r="B27" s="7" t="inlineStr">
        <is>
          <t>T07</t>
        </is>
      </c>
      <c r="C27" s="6" t="inlineStr">
        <is>
          <t>Party biography records his arrest while supporting farmers protesting acquisition terms on 11 May.</t>
        </is>
      </c>
      <c r="D27" s="6" t="inlineStr">
        <is>
          <t>Supported</t>
        </is>
      </c>
      <c r="E27" s="7" t="inlineStr">
        <is>
          <t>EV-0053</t>
        </is>
      </c>
      <c r="F27" s="6" t="inlineStr">
        <is>
          <t>Normal</t>
        </is>
      </c>
      <c r="G27" s="6" t="inlineStr">
        <is>
          <t>Description</t>
        </is>
      </c>
      <c r="H27" s="6" t="inlineStr">
        <is>
          <t>Attributed position</t>
        </is>
      </c>
      <c r="I27" s="6" t="inlineStr">
        <is>
          <t>S004</t>
        </is>
      </c>
      <c r="J27" s="7" t="inlineStr">
        <is>
          <t>All citations</t>
        </is>
      </c>
      <c r="K27" s="6" t="inlineStr"/>
      <c r="L27" s="6" t="inlineStr">
        <is>
          <t>Statement checked against indicated passage(s).</t>
        </is>
      </c>
      <c r="M27" s="6" t="inlineStr">
        <is>
          <t>Career Timeline</t>
        </is>
      </c>
    </row>
    <row r="28" ht="44" customHeight="1">
      <c r="A28" s="4" t="inlineStr">
        <is>
          <t>C-T07-02</t>
        </is>
      </c>
      <c r="B28" s="5" t="inlineStr">
        <is>
          <t>T07</t>
        </is>
      </c>
      <c r="C28" s="4" t="inlineStr">
        <is>
          <t>2011-05-11</t>
        </is>
      </c>
      <c r="D28" s="4" t="inlineStr">
        <is>
          <t>Supported</t>
        </is>
      </c>
      <c r="E28" s="5" t="inlineStr">
        <is>
          <t>EV-0054</t>
        </is>
      </c>
      <c r="F28" s="4" t="inlineStr">
        <is>
          <t>Normal</t>
        </is>
      </c>
      <c r="G28" s="4" t="inlineStr">
        <is>
          <t>Exact date</t>
        </is>
      </c>
      <c r="H28" s="4" t="inlineStr">
        <is>
          <t>Attributed position</t>
        </is>
      </c>
      <c r="I28" s="4" t="inlineStr">
        <is>
          <t>S004</t>
        </is>
      </c>
      <c r="J28" s="5" t="inlineStr">
        <is>
          <t>All citations</t>
        </is>
      </c>
      <c r="K28" s="4" t="inlineStr"/>
      <c r="L28" s="4" t="inlineStr">
        <is>
          <t>Statement checked against indicated passage(s).</t>
        </is>
      </c>
      <c r="M28" s="4" t="inlineStr">
        <is>
          <t>Career Timeline</t>
        </is>
      </c>
    </row>
    <row r="29" ht="44" customHeight="1">
      <c r="A29" s="6" t="inlineStr">
        <is>
          <t>C-T08-01</t>
        </is>
      </c>
      <c r="B29" s="7" t="inlineStr">
        <is>
          <t>T08</t>
        </is>
      </c>
      <c r="C29" s="6" t="inlineStr">
        <is>
          <t>Congress won 28 of 403 assembly seats; Gandhi publicly accepted responsibility for the campaign.</t>
        </is>
      </c>
      <c r="D29" s="6" t="inlineStr">
        <is>
          <t>Supported</t>
        </is>
      </c>
      <c r="E29" s="7" t="inlineStr">
        <is>
          <t>EV-0055</t>
        </is>
      </c>
      <c r="F29" s="6" t="inlineStr">
        <is>
          <t>Normal</t>
        </is>
      </c>
      <c r="G29" s="6" t="inlineStr">
        <is>
          <t>Description</t>
        </is>
      </c>
      <c r="H29" s="6" t="inlineStr">
        <is>
          <t>Recorded fact</t>
        </is>
      </c>
      <c r="I29" s="6" t="inlineStr">
        <is>
          <t>S034</t>
        </is>
      </c>
      <c r="J29" s="7" t="inlineStr">
        <is>
          <t>All citations</t>
        </is>
      </c>
      <c r="K29" s="6" t="inlineStr"/>
      <c r="L29" s="6" t="inlineStr">
        <is>
          <t>Statement checked against indicated passage(s).</t>
        </is>
      </c>
      <c r="M29" s="6" t="inlineStr">
        <is>
          <t>Career Timeline</t>
        </is>
      </c>
    </row>
    <row r="30" ht="44" customHeight="1">
      <c r="A30" s="4" t="inlineStr">
        <is>
          <t>C-T09-01</t>
        </is>
      </c>
      <c r="B30" s="5" t="inlineStr">
        <is>
          <t>T09</t>
        </is>
      </c>
      <c r="C30" s="4" t="inlineStr">
        <is>
          <t>Became Congress vice-president.</t>
        </is>
      </c>
      <c r="D30" s="4" t="inlineStr">
        <is>
          <t>Supported</t>
        </is>
      </c>
      <c r="E30" s="5" t="inlineStr">
        <is>
          <t>EV-0056</t>
        </is>
      </c>
      <c r="F30" s="4" t="inlineStr">
        <is>
          <t>Normal</t>
        </is>
      </c>
      <c r="G30" s="4" t="inlineStr">
        <is>
          <t>Description</t>
        </is>
      </c>
      <c r="H30" s="4" t="inlineStr">
        <is>
          <t>Recorded fact</t>
        </is>
      </c>
      <c r="I30" s="4" t="inlineStr">
        <is>
          <t>S004</t>
        </is>
      </c>
      <c r="J30" s="5" t="inlineStr">
        <is>
          <t>All citations</t>
        </is>
      </c>
      <c r="K30" s="4" t="inlineStr"/>
      <c r="L30" s="4" t="inlineStr">
        <is>
          <t>Statement checked against indicated passage(s).</t>
        </is>
      </c>
      <c r="M30" s="4" t="inlineStr">
        <is>
          <t>Career Timeline</t>
        </is>
      </c>
    </row>
    <row r="31" ht="52" customHeight="1">
      <c r="A31" s="6" t="inlineStr">
        <is>
          <t>C-T10-01</t>
        </is>
      </c>
      <c r="B31" s="7" t="inlineStr">
        <is>
          <t>T10</t>
        </is>
      </c>
      <c r="C31" s="6" t="inlineStr">
        <is>
          <t>Opposed the convicted-legislators ordinance on 27 September; Cabinet decided on 2 October to withdraw the proposal and related bill.</t>
        </is>
      </c>
      <c r="D31" s="6" t="inlineStr">
        <is>
          <t>Supported</t>
        </is>
      </c>
      <c r="E31" s="7" t="inlineStr">
        <is>
          <t>EV-0057; EV-0058</t>
        </is>
      </c>
      <c r="F31" s="6" t="inlineStr">
        <is>
          <t>Normal</t>
        </is>
      </c>
      <c r="G31" s="6" t="inlineStr">
        <is>
          <t>Description</t>
        </is>
      </c>
      <c r="H31" s="6" t="inlineStr">
        <is>
          <t>Recorded fact</t>
        </is>
      </c>
      <c r="I31" s="6" t="inlineStr">
        <is>
          <t>S038; S039</t>
        </is>
      </c>
      <c r="J31" s="7" t="inlineStr">
        <is>
          <t>All citations</t>
        </is>
      </c>
      <c r="K31" s="6" t="inlineStr"/>
      <c r="L31" s="6" t="inlineStr">
        <is>
          <t>Statement checked against indicated passage(s).</t>
        </is>
      </c>
      <c r="M31" s="6" t="inlineStr">
        <is>
          <t>Career Timeline</t>
        </is>
      </c>
    </row>
    <row r="32" ht="44" customHeight="1">
      <c r="A32" s="4" t="inlineStr">
        <is>
          <t>C-T11-01</t>
        </is>
      </c>
      <c r="B32" s="5" t="inlineStr">
        <is>
          <t>T11</t>
        </is>
      </c>
      <c r="C32" s="4" t="inlineStr">
        <is>
          <t>Retained Amethi while the BJP became the central party in the new national electoral system.</t>
        </is>
      </c>
      <c r="D32" s="4" t="inlineStr">
        <is>
          <t>Supported</t>
        </is>
      </c>
      <c r="E32" s="5" t="inlineStr">
        <is>
          <t>EV-0059; EV-0060</t>
        </is>
      </c>
      <c r="F32" s="4" t="inlineStr">
        <is>
          <t>Normal</t>
        </is>
      </c>
      <c r="G32" s="4" t="inlineStr">
        <is>
          <t>Description</t>
        </is>
      </c>
      <c r="H32" s="4" t="inlineStr">
        <is>
          <t>Recorded fact</t>
        </is>
      </c>
      <c r="I32" s="4" t="inlineStr">
        <is>
          <t>S008; S024</t>
        </is>
      </c>
      <c r="J32" s="5" t="inlineStr">
        <is>
          <t>All citations</t>
        </is>
      </c>
      <c r="K32" s="4" t="inlineStr"/>
      <c r="L32" s="4" t="inlineStr">
        <is>
          <t>Statement checked against indicated passage(s).</t>
        </is>
      </c>
      <c r="M32" s="4" t="inlineStr">
        <is>
          <t>Career Timeline</t>
        </is>
      </c>
    </row>
    <row r="33" ht="52" customHeight="1">
      <c r="A33" s="6" t="inlineStr">
        <is>
          <t>C-T12-01</t>
        </is>
      </c>
      <c r="B33" s="7" t="inlineStr">
        <is>
          <t>T12</t>
        </is>
      </c>
      <c r="C33" s="6" t="inlineStr">
        <is>
          <t>Led Congress opposition to proposed acquisition-law changes, using parliamentary and public mobilisation.</t>
        </is>
      </c>
      <c r="D33" s="6" t="inlineStr">
        <is>
          <t>Supported</t>
        </is>
      </c>
      <c r="E33" s="7" t="inlineStr">
        <is>
          <t>EV-0061</t>
        </is>
      </c>
      <c r="F33" s="6" t="inlineStr">
        <is>
          <t>Normal</t>
        </is>
      </c>
      <c r="G33" s="6" t="inlineStr">
        <is>
          <t>Description</t>
        </is>
      </c>
      <c r="H33" s="6" t="inlineStr">
        <is>
          <t>Recorded fact</t>
        </is>
      </c>
      <c r="I33" s="6" t="inlineStr">
        <is>
          <t>S037</t>
        </is>
      </c>
      <c r="J33" s="7" t="inlineStr">
        <is>
          <t>All citations</t>
        </is>
      </c>
      <c r="K33" s="6" t="inlineStr"/>
      <c r="L33" s="6" t="inlineStr">
        <is>
          <t>Statement checked against indicated passage(s).</t>
        </is>
      </c>
      <c r="M33" s="6" t="inlineStr">
        <is>
          <t>Career Timeline</t>
        </is>
      </c>
    </row>
    <row r="34" ht="44" customHeight="1">
      <c r="A34" s="4" t="inlineStr">
        <is>
          <t>C-T13-01</t>
        </is>
      </c>
      <c r="B34" s="5" t="inlineStr">
        <is>
          <t>T13</t>
        </is>
      </c>
      <c r="C34" s="4" t="inlineStr">
        <is>
          <t>Assumed Congress presidency on 16 December 2017.</t>
        </is>
      </c>
      <c r="D34" s="4" t="inlineStr">
        <is>
          <t>Supported</t>
        </is>
      </c>
      <c r="E34" s="5" t="inlineStr">
        <is>
          <t>EV-0062</t>
        </is>
      </c>
      <c r="F34" s="4" t="inlineStr">
        <is>
          <t>Normal</t>
        </is>
      </c>
      <c r="G34" s="4" t="inlineStr">
        <is>
          <t>Description</t>
        </is>
      </c>
      <c r="H34" s="4" t="inlineStr">
        <is>
          <t>Recorded fact</t>
        </is>
      </c>
      <c r="I34" s="4" t="inlineStr">
        <is>
          <t>S004</t>
        </is>
      </c>
      <c r="J34" s="5" t="inlineStr">
        <is>
          <t>All citations</t>
        </is>
      </c>
      <c r="K34" s="4" t="inlineStr"/>
      <c r="L34" s="4" t="inlineStr">
        <is>
          <t>Statement checked against indicated passage(s).</t>
        </is>
      </c>
      <c r="M34" s="4" t="inlineStr">
        <is>
          <t>Career Timeline</t>
        </is>
      </c>
    </row>
    <row r="35" ht="44" customHeight="1">
      <c r="A35" s="6" t="inlineStr">
        <is>
          <t>C-T13-02</t>
        </is>
      </c>
      <c r="B35" s="7" t="inlineStr">
        <is>
          <t>T13</t>
        </is>
      </c>
      <c r="C35" s="6" t="inlineStr">
        <is>
          <t>2017-12-16</t>
        </is>
      </c>
      <c r="D35" s="6" t="inlineStr">
        <is>
          <t>Supported</t>
        </is>
      </c>
      <c r="E35" s="7" t="inlineStr">
        <is>
          <t>EV-0063</t>
        </is>
      </c>
      <c r="F35" s="6" t="inlineStr">
        <is>
          <t>Normal</t>
        </is>
      </c>
      <c r="G35" s="6" t="inlineStr">
        <is>
          <t>Exact date</t>
        </is>
      </c>
      <c r="H35" s="6" t="inlineStr">
        <is>
          <t>Recorded fact</t>
        </is>
      </c>
      <c r="I35" s="6" t="inlineStr">
        <is>
          <t>S004</t>
        </is>
      </c>
      <c r="J35" s="7" t="inlineStr">
        <is>
          <t>All citations</t>
        </is>
      </c>
      <c r="K35" s="6" t="inlineStr"/>
      <c r="L35" s="6" t="inlineStr">
        <is>
          <t>Statement checked against indicated passage(s).</t>
        </is>
      </c>
      <c r="M35" s="6" t="inlineStr">
        <is>
          <t>Career Timeline</t>
        </is>
      </c>
    </row>
    <row r="36" ht="44" customHeight="1">
      <c r="A36" s="4" t="inlineStr">
        <is>
          <t>C-T14-01</t>
        </is>
      </c>
      <c r="B36" s="5" t="inlineStr">
        <is>
          <t>T14</t>
        </is>
      </c>
      <c r="C36" s="4" t="inlineStr">
        <is>
          <t>Congress gains in Rajasthan, MP and Chhattisgarh accompanied setbacks in Telangana and Mizoram.</t>
        </is>
      </c>
      <c r="D36" s="4" t="inlineStr">
        <is>
          <t>Supported</t>
        </is>
      </c>
      <c r="E36" s="5" t="inlineStr">
        <is>
          <t>EV-0064</t>
        </is>
      </c>
      <c r="F36" s="4" t="inlineStr">
        <is>
          <t>Normal</t>
        </is>
      </c>
      <c r="G36" s="4" t="inlineStr">
        <is>
          <t>Description</t>
        </is>
      </c>
      <c r="H36" s="4" t="inlineStr">
        <is>
          <t>Recorded fact</t>
        </is>
      </c>
      <c r="I36" s="4" t="inlineStr">
        <is>
          <t>S040</t>
        </is>
      </c>
      <c r="J36" s="5" t="inlineStr">
        <is>
          <t>All citations</t>
        </is>
      </c>
      <c r="K36" s="4" t="inlineStr"/>
      <c r="L36" s="4" t="inlineStr">
        <is>
          <t>Statement checked against indicated passage(s).</t>
        </is>
      </c>
      <c r="M36" s="4" t="inlineStr">
        <is>
          <t>Career Timeline</t>
        </is>
      </c>
    </row>
    <row r="37" ht="44" customHeight="1">
      <c r="A37" s="6" t="inlineStr">
        <is>
          <t>C-T15-01</t>
        </is>
      </c>
      <c r="B37" s="7" t="inlineStr">
        <is>
          <t>T15</t>
        </is>
      </c>
      <c r="C37" s="6" t="inlineStr">
        <is>
          <t>Won Wayanad but lost Amethi to Smriti Irani; Congress’s national tally was 52.</t>
        </is>
      </c>
      <c r="D37" s="6" t="inlineStr">
        <is>
          <t>Supported</t>
        </is>
      </c>
      <c r="E37" s="7" t="inlineStr">
        <is>
          <t>EV-0065; EV-0066</t>
        </is>
      </c>
      <c r="F37" s="6" t="inlineStr">
        <is>
          <t>Normal</t>
        </is>
      </c>
      <c r="G37" s="6" t="inlineStr">
        <is>
          <t>Description</t>
        </is>
      </c>
      <c r="H37" s="6" t="inlineStr">
        <is>
          <t>Recorded fact</t>
        </is>
      </c>
      <c r="I37" s="6" t="inlineStr">
        <is>
          <t>S007; S014</t>
        </is>
      </c>
      <c r="J37" s="7" t="inlineStr">
        <is>
          <t>All citations</t>
        </is>
      </c>
      <c r="K37" s="6" t="inlineStr"/>
      <c r="L37" s="6" t="inlineStr">
        <is>
          <t>Statement checked against indicated passage(s).</t>
        </is>
      </c>
      <c r="M37" s="6" t="inlineStr">
        <is>
          <t>Career Timeline</t>
        </is>
      </c>
    </row>
    <row r="38" ht="52" customHeight="1">
      <c r="A38" s="4" t="inlineStr">
        <is>
          <t>C-T16-01</t>
        </is>
      </c>
      <c r="B38" s="5" t="inlineStr">
        <is>
          <t>T16</t>
        </is>
      </c>
      <c r="C38" s="4" t="inlineStr">
        <is>
          <t>Publicly confirmed departure from the presidency and accepted responsibility for the national defeat.</t>
        </is>
      </c>
      <c r="D38" s="4" t="inlineStr">
        <is>
          <t>Supported</t>
        </is>
      </c>
      <c r="E38" s="5" t="inlineStr">
        <is>
          <t>EV-0067</t>
        </is>
      </c>
      <c r="F38" s="4" t="inlineStr">
        <is>
          <t>Normal</t>
        </is>
      </c>
      <c r="G38" s="4" t="inlineStr">
        <is>
          <t>Description</t>
        </is>
      </c>
      <c r="H38" s="4" t="inlineStr">
        <is>
          <t>Recorded fact</t>
        </is>
      </c>
      <c r="I38" s="4" t="inlineStr">
        <is>
          <t>S014</t>
        </is>
      </c>
      <c r="J38" s="5" t="inlineStr">
        <is>
          <t>All citations</t>
        </is>
      </c>
      <c r="K38" s="4" t="inlineStr"/>
      <c r="L38" s="4" t="inlineStr">
        <is>
          <t>Statement checked against indicated passage(s).</t>
        </is>
      </c>
      <c r="M38" s="4" t="inlineStr">
        <is>
          <t>Career Timeline</t>
        </is>
      </c>
    </row>
    <row r="39" ht="44" customHeight="1">
      <c r="A39" s="6" t="inlineStr">
        <is>
          <t>C-T16-02</t>
        </is>
      </c>
      <c r="B39" s="7" t="inlineStr">
        <is>
          <t>T16</t>
        </is>
      </c>
      <c r="C39" s="6" t="inlineStr">
        <is>
          <t>2019-07-03</t>
        </is>
      </c>
      <c r="D39" s="6" t="inlineStr">
        <is>
          <t>Supported</t>
        </is>
      </c>
      <c r="E39" s="7" t="inlineStr">
        <is>
          <t>EV-0068</t>
        </is>
      </c>
      <c r="F39" s="6" t="inlineStr">
        <is>
          <t>Normal</t>
        </is>
      </c>
      <c r="G39" s="6" t="inlineStr">
        <is>
          <t>Exact date</t>
        </is>
      </c>
      <c r="H39" s="6" t="inlineStr">
        <is>
          <t>Recorded fact</t>
        </is>
      </c>
      <c r="I39" s="6" t="inlineStr">
        <is>
          <t>S014</t>
        </is>
      </c>
      <c r="J39" s="7" t="inlineStr">
        <is>
          <t>All citations</t>
        </is>
      </c>
      <c r="K39" s="6" t="inlineStr"/>
      <c r="L39" s="6" t="inlineStr">
        <is>
          <t>Statement checked against indicated passage(s).</t>
        </is>
      </c>
      <c r="M39" s="6" t="inlineStr">
        <is>
          <t>Career Timeline</t>
        </is>
      </c>
    </row>
    <row r="40" ht="52" customHeight="1">
      <c r="A40" s="4" t="inlineStr">
        <is>
          <t>C-T17-01</t>
        </is>
      </c>
      <c r="B40" s="5" t="inlineStr">
        <is>
          <t>T17</t>
        </is>
      </c>
      <c r="C40" s="4" t="inlineStr">
        <is>
          <t>Supreme Court closed the contempt matter following an unconditional apology over attribution of a slogan to the Court.</t>
        </is>
      </c>
      <c r="D40" s="4" t="inlineStr">
        <is>
          <t>Supported</t>
        </is>
      </c>
      <c r="E40" s="5" t="inlineStr">
        <is>
          <t>EV-0069</t>
        </is>
      </c>
      <c r="F40" s="4" t="inlineStr">
        <is>
          <t>Normal</t>
        </is>
      </c>
      <c r="G40" s="4" t="inlineStr">
        <is>
          <t>Description</t>
        </is>
      </c>
      <c r="H40" s="4" t="inlineStr">
        <is>
          <t>Recorded fact</t>
        </is>
      </c>
      <c r="I40" s="4" t="inlineStr">
        <is>
          <t>S029</t>
        </is>
      </c>
      <c r="J40" s="5" t="inlineStr">
        <is>
          <t>All citations</t>
        </is>
      </c>
      <c r="K40" s="4" t="inlineStr"/>
      <c r="L40" s="4" t="inlineStr">
        <is>
          <t>Statement checked against indicated passage(s).</t>
        </is>
      </c>
      <c r="M40" s="4" t="inlineStr">
        <is>
          <t>Career Timeline</t>
        </is>
      </c>
    </row>
    <row r="41" ht="44" customHeight="1">
      <c r="A41" s="6" t="inlineStr">
        <is>
          <t>C-T17-02</t>
        </is>
      </c>
      <c r="B41" s="7" t="inlineStr">
        <is>
          <t>T17</t>
        </is>
      </c>
      <c r="C41" s="6" t="inlineStr">
        <is>
          <t>2019-11-14</t>
        </is>
      </c>
      <c r="D41" s="6" t="inlineStr">
        <is>
          <t>Supported</t>
        </is>
      </c>
      <c r="E41" s="7" t="inlineStr">
        <is>
          <t>EV-0070</t>
        </is>
      </c>
      <c r="F41" s="6" t="inlineStr">
        <is>
          <t>Normal</t>
        </is>
      </c>
      <c r="G41" s="6" t="inlineStr">
        <is>
          <t>Exact date</t>
        </is>
      </c>
      <c r="H41" s="6" t="inlineStr">
        <is>
          <t>Recorded fact</t>
        </is>
      </c>
      <c r="I41" s="6" t="inlineStr">
        <is>
          <t>S029</t>
        </is>
      </c>
      <c r="J41" s="7" t="inlineStr">
        <is>
          <t>All citations</t>
        </is>
      </c>
      <c r="K41" s="6" t="inlineStr"/>
      <c r="L41" s="6" t="inlineStr">
        <is>
          <t>Statement checked against indicated passage(s).</t>
        </is>
      </c>
      <c r="M41" s="6" t="inlineStr">
        <is>
          <t>Career Timeline</t>
        </is>
      </c>
    </row>
    <row r="42" ht="44" customHeight="1">
      <c r="A42" s="4" t="inlineStr">
        <is>
          <t>C-T18-01</t>
        </is>
      </c>
      <c r="B42" s="5" t="inlineStr">
        <is>
          <t>T18</t>
        </is>
      </c>
      <c r="C42" s="4" t="inlineStr">
        <is>
          <t>March from Kanyakumari to Srinagar ran from 7 September 2022 to 30 January 2023.</t>
        </is>
      </c>
      <c r="D42" s="4" t="inlineStr">
        <is>
          <t>Supported</t>
        </is>
      </c>
      <c r="E42" s="5" t="inlineStr">
        <is>
          <t>EV-0071</t>
        </is>
      </c>
      <c r="F42" s="4" t="inlineStr">
        <is>
          <t>Normal</t>
        </is>
      </c>
      <c r="G42" s="4" t="inlineStr">
        <is>
          <t>Description</t>
        </is>
      </c>
      <c r="H42" s="4" t="inlineStr">
        <is>
          <t>Recorded fact</t>
        </is>
      </c>
      <c r="I42" s="4" t="inlineStr">
        <is>
          <t>S015</t>
        </is>
      </c>
      <c r="J42" s="5" t="inlineStr">
        <is>
          <t>All citations</t>
        </is>
      </c>
      <c r="K42" s="4" t="inlineStr"/>
      <c r="L42" s="4" t="inlineStr">
        <is>
          <t>Statement checked against indicated passage(s).</t>
        </is>
      </c>
      <c r="M42" s="4" t="inlineStr">
        <is>
          <t>Career Timeline</t>
        </is>
      </c>
    </row>
    <row r="43" ht="52" customHeight="1">
      <c r="A43" s="6" t="inlineStr">
        <is>
          <t>C-T19-01</t>
        </is>
      </c>
      <c r="B43" s="7" t="inlineStr">
        <is>
          <t>T19</t>
        </is>
      </c>
      <c r="C43" s="6" t="inlineStr">
        <is>
          <t>Defamation conviction led to disqualification effective 23 March. Supreme Court stayed conviction 4 August; membership restored 7 August.</t>
        </is>
      </c>
      <c r="D43" s="6" t="inlineStr">
        <is>
          <t>Supported</t>
        </is>
      </c>
      <c r="E43" s="7" t="inlineStr">
        <is>
          <t>EV-0072; EV-0073</t>
        </is>
      </c>
      <c r="F43" s="6" t="inlineStr">
        <is>
          <t>Normal</t>
        </is>
      </c>
      <c r="G43" s="6" t="inlineStr">
        <is>
          <t>Description</t>
        </is>
      </c>
      <c r="H43" s="6" t="inlineStr">
        <is>
          <t>Recorded fact</t>
        </is>
      </c>
      <c r="I43" s="6" t="inlineStr">
        <is>
          <t>S010; S011</t>
        </is>
      </c>
      <c r="J43" s="7" t="inlineStr">
        <is>
          <t>All citations</t>
        </is>
      </c>
      <c r="K43" s="6" t="inlineStr"/>
      <c r="L43" s="6" t="inlineStr">
        <is>
          <t>Statement checked against indicated passage(s).</t>
        </is>
      </c>
      <c r="M43" s="6" t="inlineStr">
        <is>
          <t>Career Timeline</t>
        </is>
      </c>
    </row>
    <row r="44" ht="44" customHeight="1">
      <c r="A44" s="4" t="inlineStr">
        <is>
          <t>C-T20-01</t>
        </is>
      </c>
      <c r="B44" s="5" t="inlineStr">
        <is>
          <t>T20</t>
        </is>
      </c>
      <c r="C44" s="4" t="inlineStr">
        <is>
          <t>Party record dates the Manipur-to-Mumbai journey from 14 January to 16 March 2024.</t>
        </is>
      </c>
      <c r="D44" s="4" t="inlineStr">
        <is>
          <t>Supported</t>
        </is>
      </c>
      <c r="E44" s="5" t="inlineStr">
        <is>
          <t>EV-0074</t>
        </is>
      </c>
      <c r="F44" s="4" t="inlineStr">
        <is>
          <t>Normal</t>
        </is>
      </c>
      <c r="G44" s="4" t="inlineStr">
        <is>
          <t>Description</t>
        </is>
      </c>
      <c r="H44" s="4" t="inlineStr">
        <is>
          <t>Attributed position</t>
        </is>
      </c>
      <c r="I44" s="4" t="inlineStr">
        <is>
          <t>S004</t>
        </is>
      </c>
      <c r="J44" s="5" t="inlineStr">
        <is>
          <t>All citations</t>
        </is>
      </c>
      <c r="K44" s="4" t="inlineStr"/>
      <c r="L44" s="4" t="inlineStr">
        <is>
          <t>Statement checked against indicated passage(s).</t>
        </is>
      </c>
      <c r="M44" s="4" t="inlineStr">
        <is>
          <t>Career Timeline</t>
        </is>
      </c>
    </row>
    <row r="45" ht="44" customHeight="1">
      <c r="A45" s="6" t="inlineStr">
        <is>
          <t>C-T21-01</t>
        </is>
      </c>
      <c r="B45" s="7" t="inlineStr">
        <is>
          <t>T21</t>
        </is>
      </c>
      <c r="C45" s="6" t="inlineStr">
        <is>
          <t>Won Rae Bareli and Wayanad; later retained Rae Bareli and relinquished Wayanad.</t>
        </is>
      </c>
      <c r="D45" s="6" t="inlineStr">
        <is>
          <t>Supported</t>
        </is>
      </c>
      <c r="E45" s="7" t="inlineStr">
        <is>
          <t>EV-0075; EV-0076</t>
        </is>
      </c>
      <c r="F45" s="6" t="inlineStr">
        <is>
          <t>Normal</t>
        </is>
      </c>
      <c r="G45" s="6" t="inlineStr">
        <is>
          <t>Description</t>
        </is>
      </c>
      <c r="H45" s="6" t="inlineStr">
        <is>
          <t>Recorded fact</t>
        </is>
      </c>
      <c r="I45" s="6" t="inlineStr">
        <is>
          <t>S006; S043</t>
        </is>
      </c>
      <c r="J45" s="7" t="inlineStr">
        <is>
          <t>All citations</t>
        </is>
      </c>
      <c r="K45" s="6" t="inlineStr"/>
      <c r="L45" s="6" t="inlineStr">
        <is>
          <t>Statement checked against indicated passage(s).</t>
        </is>
      </c>
      <c r="M45" s="6" t="inlineStr">
        <is>
          <t>Career Timeline</t>
        </is>
      </c>
    </row>
    <row r="46" ht="44" customHeight="1">
      <c r="A46" s="4" t="inlineStr">
        <is>
          <t>C-T22-01</t>
        </is>
      </c>
      <c r="B46" s="5" t="inlineStr">
        <is>
          <t>T22</t>
        </is>
      </c>
      <c r="C46" s="4" t="inlineStr">
        <is>
          <t>Parliament records the office as effective from 9 June 2024.</t>
        </is>
      </c>
      <c r="D46" s="4" t="inlineStr">
        <is>
          <t>Supported</t>
        </is>
      </c>
      <c r="E46" s="5" t="inlineStr">
        <is>
          <t>EV-0077</t>
        </is>
      </c>
      <c r="F46" s="4" t="inlineStr">
        <is>
          <t>Normal</t>
        </is>
      </c>
      <c r="G46" s="4" t="inlineStr">
        <is>
          <t>Description</t>
        </is>
      </c>
      <c r="H46" s="4" t="inlineStr">
        <is>
          <t>Recorded fact</t>
        </is>
      </c>
      <c r="I46" s="4" t="inlineStr">
        <is>
          <t>S002</t>
        </is>
      </c>
      <c r="J46" s="5" t="inlineStr">
        <is>
          <t>All citations</t>
        </is>
      </c>
      <c r="K46" s="4" t="inlineStr"/>
      <c r="L46" s="4" t="inlineStr">
        <is>
          <t>Statement checked against indicated passage(s).</t>
        </is>
      </c>
      <c r="M46" s="4" t="inlineStr">
        <is>
          <t>Career Timeline</t>
        </is>
      </c>
    </row>
    <row r="47" ht="44" customHeight="1">
      <c r="A47" s="6" t="inlineStr">
        <is>
          <t>C-T22-02</t>
        </is>
      </c>
      <c r="B47" s="7" t="inlineStr">
        <is>
          <t>T22</t>
        </is>
      </c>
      <c r="C47" s="6" t="inlineStr">
        <is>
          <t>2024-06-09</t>
        </is>
      </c>
      <c r="D47" s="6" t="inlineStr">
        <is>
          <t>Supported</t>
        </is>
      </c>
      <c r="E47" s="7" t="inlineStr">
        <is>
          <t>EV-0078</t>
        </is>
      </c>
      <c r="F47" s="6" t="inlineStr">
        <is>
          <t>Normal</t>
        </is>
      </c>
      <c r="G47" s="6" t="inlineStr">
        <is>
          <t>Exact date</t>
        </is>
      </c>
      <c r="H47" s="6" t="inlineStr">
        <is>
          <t>Recorded fact</t>
        </is>
      </c>
      <c r="I47" s="6" t="inlineStr">
        <is>
          <t>S002</t>
        </is>
      </c>
      <c r="J47" s="7" t="inlineStr">
        <is>
          <t>All citations</t>
        </is>
      </c>
      <c r="K47" s="6" t="inlineStr"/>
      <c r="L47" s="6" t="inlineStr">
        <is>
          <t>Statement checked against indicated passage(s).</t>
        </is>
      </c>
      <c r="M47" s="6" t="inlineStr">
        <is>
          <t>Career Timeline</t>
        </is>
      </c>
    </row>
    <row r="48" ht="44" customHeight="1">
      <c r="A48" s="4" t="inlineStr">
        <is>
          <t>C-T23-01</t>
        </is>
      </c>
      <c r="B48" s="5" t="inlineStr">
        <is>
          <t>T23</t>
        </is>
      </c>
      <c r="C48" s="4" t="inlineStr">
        <is>
          <t>Welcomed the government decision and sought an implementation timetable and funding.</t>
        </is>
      </c>
      <c r="D48" s="4" t="inlineStr">
        <is>
          <t>Supported</t>
        </is>
      </c>
      <c r="E48" s="5" t="inlineStr">
        <is>
          <t>EV-0079; EV-0080</t>
        </is>
      </c>
      <c r="F48" s="4" t="inlineStr">
        <is>
          <t>Normal</t>
        </is>
      </c>
      <c r="G48" s="4" t="inlineStr">
        <is>
          <t>Description</t>
        </is>
      </c>
      <c r="H48" s="4" t="inlineStr">
        <is>
          <t>Attributed position</t>
        </is>
      </c>
      <c r="I48" s="4" t="inlineStr">
        <is>
          <t>S035; S036</t>
        </is>
      </c>
      <c r="J48" s="5" t="inlineStr">
        <is>
          <t>All citations</t>
        </is>
      </c>
      <c r="K48" s="4" t="inlineStr"/>
      <c r="L48" s="4" t="inlineStr">
        <is>
          <t>Statement checked against indicated passage(s).</t>
        </is>
      </c>
      <c r="M48" s="4" t="inlineStr">
        <is>
          <t>Career Timeline</t>
        </is>
      </c>
    </row>
    <row r="49" ht="44" customHeight="1">
      <c r="A49" s="6" t="inlineStr">
        <is>
          <t>C-T23-02</t>
        </is>
      </c>
      <c r="B49" s="7" t="inlineStr">
        <is>
          <t>T23</t>
        </is>
      </c>
      <c r="C49" s="6" t="inlineStr">
        <is>
          <t>2025-04-30</t>
        </is>
      </c>
      <c r="D49" s="6" t="inlineStr">
        <is>
          <t>Supported</t>
        </is>
      </c>
      <c r="E49" s="7" t="inlineStr">
        <is>
          <t>EV-0081; EV-0082</t>
        </is>
      </c>
      <c r="F49" s="6" t="inlineStr">
        <is>
          <t>Normal</t>
        </is>
      </c>
      <c r="G49" s="6" t="inlineStr">
        <is>
          <t>Exact date</t>
        </is>
      </c>
      <c r="H49" s="6" t="inlineStr">
        <is>
          <t>Attributed position</t>
        </is>
      </c>
      <c r="I49" s="6" t="inlineStr">
        <is>
          <t>S035; S036</t>
        </is>
      </c>
      <c r="J49" s="7" t="inlineStr">
        <is>
          <t>All citations</t>
        </is>
      </c>
      <c r="K49" s="6" t="inlineStr"/>
      <c r="L49" s="6" t="inlineStr">
        <is>
          <t>Statement checked against indicated passage(s).</t>
        </is>
      </c>
      <c r="M49" s="6" t="inlineStr">
        <is>
          <t>Career Timeline</t>
        </is>
      </c>
    </row>
    <row r="50" ht="52" customHeight="1">
      <c r="A50" s="4" t="inlineStr">
        <is>
          <t>C-T24-01</t>
        </is>
      </c>
      <c r="B50" s="5" t="inlineStr">
        <is>
          <t>T24</t>
        </is>
      </c>
      <c r="C50" s="4" t="inlineStr">
        <is>
          <t>Congress won six seats; press accounts described organisational criticism and Gandhi’s reported acceptance of shared responsibility.</t>
        </is>
      </c>
      <c r="D50" s="4" t="inlineStr">
        <is>
          <t>Supported</t>
        </is>
      </c>
      <c r="E50" s="5" t="inlineStr">
        <is>
          <t>EV-0083; EV-0084</t>
        </is>
      </c>
      <c r="F50" s="4" t="inlineStr">
        <is>
          <t>Normal</t>
        </is>
      </c>
      <c r="G50" s="4" t="inlineStr">
        <is>
          <t>Description</t>
        </is>
      </c>
      <c r="H50" s="4" t="inlineStr">
        <is>
          <t>Attributed position</t>
        </is>
      </c>
      <c r="I50" s="4" t="inlineStr">
        <is>
          <t>S026; S027</t>
        </is>
      </c>
      <c r="J50" s="5" t="inlineStr">
        <is>
          <t>All citations</t>
        </is>
      </c>
      <c r="K50" s="4" t="inlineStr"/>
      <c r="L50" s="4" t="inlineStr">
        <is>
          <t>Statement checked against indicated passage(s).</t>
        </is>
      </c>
      <c r="M50" s="4" t="inlineStr">
        <is>
          <t>Career Timeline</t>
        </is>
      </c>
    </row>
    <row r="51" ht="66" customHeight="1">
      <c r="A51" s="6" t="inlineStr">
        <is>
          <t>C-T25-01</t>
        </is>
      </c>
      <c r="B51" s="7" t="inlineStr">
        <is>
          <t>T25</t>
        </is>
      </c>
      <c r="C51" s="6" t="inlineStr">
        <is>
          <t>National Herald High Court proceedings and his renewed allegations against the Election Commission remained prominent. The latter are contested claims.</t>
        </is>
      </c>
      <c r="D51" s="6" t="inlineStr">
        <is>
          <t>Supported</t>
        </is>
      </c>
      <c r="E51" s="7" t="inlineStr">
        <is>
          <t>EV-0085; EV-0086</t>
        </is>
      </c>
      <c r="F51" s="6" t="inlineStr">
        <is>
          <t>Normal</t>
        </is>
      </c>
      <c r="G51" s="6" t="inlineStr">
        <is>
          <t>Description</t>
        </is>
      </c>
      <c r="H51" s="6" t="inlineStr">
        <is>
          <t>Attributed position</t>
        </is>
      </c>
      <c r="I51" s="6" t="inlineStr">
        <is>
          <t>S013; S030</t>
        </is>
      </c>
      <c r="J51" s="7" t="inlineStr">
        <is>
          <t>All citations</t>
        </is>
      </c>
      <c r="K51" s="6" t="inlineStr"/>
      <c r="L51" s="6" t="inlineStr">
        <is>
          <t>Statement checked against indicated passage(s).</t>
        </is>
      </c>
      <c r="M51" s="6" t="inlineStr">
        <is>
          <t>Career Timeline</t>
        </is>
      </c>
    </row>
    <row r="52" ht="66" customHeight="1">
      <c r="A52" s="4" t="inlineStr">
        <is>
          <t>C-EL01-01</t>
        </is>
      </c>
      <c r="B52" s="5" t="inlineStr">
        <is>
          <t>EL01</t>
        </is>
      </c>
      <c r="C52" s="4" t="inlineStr">
        <is>
          <t>Won: 390,179 votes against Chandra Parkash Mishra Matiyari (99,326); signed margin +290,853.</t>
        </is>
      </c>
      <c r="D52" s="4" t="inlineStr">
        <is>
          <t>Supported</t>
        </is>
      </c>
      <c r="E52" s="5" t="inlineStr">
        <is>
          <t>EV-0087</t>
        </is>
      </c>
      <c r="F52" s="4" t="inlineStr">
        <is>
          <t>High</t>
        </is>
      </c>
      <c r="G52" s="4" t="inlineStr">
        <is>
          <t>Finding</t>
        </is>
      </c>
      <c r="H52" s="4" t="inlineStr">
        <is>
          <t>Recorded fact</t>
        </is>
      </c>
      <c r="I52" s="4" t="inlineStr">
        <is>
          <t>S009</t>
        </is>
      </c>
      <c r="J52" s="5" t="inlineStr">
        <is>
          <t>All citations</t>
        </is>
      </c>
      <c r="K52" s="4" t="inlineStr"/>
      <c r="L52" s="4" t="inlineStr">
        <is>
          <t>Pre-2008 delimitation; numbered 21 in the inspected 2004 table. Vote share not recovered from an inspected primary return.</t>
        </is>
      </c>
      <c r="M52" s="4" t="inlineStr">
        <is>
          <t>Elections</t>
        </is>
      </c>
    </row>
    <row r="53" ht="66" customHeight="1">
      <c r="A53" s="6" t="inlineStr">
        <is>
          <t>C-EL01-02</t>
        </is>
      </c>
      <c r="B53" s="7" t="inlineStr">
        <is>
          <t>EL01</t>
        </is>
      </c>
      <c r="C53" s="9" t="n">
        <v>2004</v>
      </c>
      <c r="D53" s="6" t="inlineStr">
        <is>
          <t>Supported</t>
        </is>
      </c>
      <c r="E53" s="7" t="inlineStr">
        <is>
          <t>EV-0088</t>
        </is>
      </c>
      <c r="F53" s="6" t="inlineStr">
        <is>
          <t>High</t>
        </is>
      </c>
      <c r="G53" s="6" t="inlineStr">
        <is>
          <t>Year</t>
        </is>
      </c>
      <c r="H53" s="6" t="inlineStr">
        <is>
          <t>Recorded fact</t>
        </is>
      </c>
      <c r="I53" s="6" t="inlineStr">
        <is>
          <t>S009</t>
        </is>
      </c>
      <c r="J53" s="7" t="inlineStr">
        <is>
          <t>All citations</t>
        </is>
      </c>
      <c r="K53" s="6" t="inlineStr"/>
      <c r="L53" s="6" t="inlineStr">
        <is>
          <t>Pre-2008 delimitation; numbered 21 in the inspected 2004 table. Vote share not recovered from an inspected primary return.</t>
        </is>
      </c>
      <c r="M53" s="6" t="inlineStr">
        <is>
          <t>Elections</t>
        </is>
      </c>
    </row>
    <row r="54" ht="66" customHeight="1">
      <c r="A54" s="4" t="inlineStr">
        <is>
          <t>C-EL01-03</t>
        </is>
      </c>
      <c r="B54" s="5" t="inlineStr">
        <is>
          <t>EL01</t>
        </is>
      </c>
      <c r="C54" s="8" t="n">
        <v>390179</v>
      </c>
      <c r="D54" s="4" t="inlineStr">
        <is>
          <t>Supported</t>
        </is>
      </c>
      <c r="E54" s="5" t="inlineStr">
        <is>
          <t>EV-0089</t>
        </is>
      </c>
      <c r="F54" s="4" t="inlineStr">
        <is>
          <t>High</t>
        </is>
      </c>
      <c r="G54" s="4" t="inlineStr">
        <is>
          <t>Candidate votes</t>
        </is>
      </c>
      <c r="H54" s="4" t="inlineStr">
        <is>
          <t>Recorded fact</t>
        </is>
      </c>
      <c r="I54" s="4" t="inlineStr">
        <is>
          <t>S009</t>
        </is>
      </c>
      <c r="J54" s="5" t="inlineStr">
        <is>
          <t>All citations</t>
        </is>
      </c>
      <c r="K54" s="4" t="inlineStr"/>
      <c r="L54" s="4" t="inlineStr">
        <is>
          <t>Pre-2008 delimitation; numbered 21 in the inspected 2004 table. Vote share not recovered from an inspected primary return.</t>
        </is>
      </c>
      <c r="M54" s="4" t="inlineStr">
        <is>
          <t>Elections</t>
        </is>
      </c>
    </row>
    <row r="55" ht="66" customHeight="1">
      <c r="A55" s="6" t="inlineStr">
        <is>
          <t>C-EL01-04</t>
        </is>
      </c>
      <c r="B55" s="7" t="inlineStr">
        <is>
          <t>EL01</t>
        </is>
      </c>
      <c r="C55" s="9" t="n">
        <v>99326</v>
      </c>
      <c r="D55" s="6" t="inlineStr">
        <is>
          <t>Supported</t>
        </is>
      </c>
      <c r="E55" s="7" t="inlineStr">
        <is>
          <t>EV-0090</t>
        </is>
      </c>
      <c r="F55" s="6" t="inlineStr">
        <is>
          <t>High</t>
        </is>
      </c>
      <c r="G55" s="6" t="inlineStr">
        <is>
          <t>Opponent votes</t>
        </is>
      </c>
      <c r="H55" s="6" t="inlineStr">
        <is>
          <t>Recorded fact</t>
        </is>
      </c>
      <c r="I55" s="6" t="inlineStr">
        <is>
          <t>S009</t>
        </is>
      </c>
      <c r="J55" s="7" t="inlineStr">
        <is>
          <t>All citations</t>
        </is>
      </c>
      <c r="K55" s="6" t="inlineStr"/>
      <c r="L55" s="6" t="inlineStr">
        <is>
          <t>Pre-2008 delimitation; numbered 21 in the inspected 2004 table. Vote share not recovered from an inspected primary return.</t>
        </is>
      </c>
      <c r="M55" s="6" t="inlineStr">
        <is>
          <t>Elections</t>
        </is>
      </c>
    </row>
    <row r="56" ht="66" customHeight="1">
      <c r="A56" s="4" t="inlineStr">
        <is>
          <t>C-EL01-05</t>
        </is>
      </c>
      <c r="B56" s="5" t="inlineStr">
        <is>
          <t>EL01</t>
        </is>
      </c>
      <c r="C56" s="8" t="n">
        <v>290853</v>
      </c>
      <c r="D56" s="4" t="inlineStr">
        <is>
          <t>Supported</t>
        </is>
      </c>
      <c r="E56" s="5" t="inlineStr">
        <is>
          <t>EV-0091</t>
        </is>
      </c>
      <c r="F56" s="4" t="inlineStr">
        <is>
          <t>High</t>
        </is>
      </c>
      <c r="G56" s="4" t="inlineStr">
        <is>
          <t>Signed vote margin</t>
        </is>
      </c>
      <c r="H56" s="4" t="inlineStr">
        <is>
          <t>Recorded fact</t>
        </is>
      </c>
      <c r="I56" s="4" t="inlineStr">
        <is>
          <t>S009</t>
        </is>
      </c>
      <c r="J56" s="5" t="inlineStr">
        <is>
          <t>All citations</t>
        </is>
      </c>
      <c r="K56" s="4" t="inlineStr"/>
      <c r="L56" s="4" t="inlineStr">
        <is>
          <t>Pre-2008 delimitation; numbered 21 in the inspected 2004 table. Vote share not recovered from an inspected primary return.</t>
        </is>
      </c>
      <c r="M56" s="4" t="inlineStr">
        <is>
          <t>Elections</t>
        </is>
      </c>
    </row>
    <row r="57" ht="66" customHeight="1">
      <c r="A57" s="6" t="inlineStr">
        <is>
          <t>C-EL02-01</t>
        </is>
      </c>
      <c r="B57" s="7" t="inlineStr">
        <is>
          <t>EL02</t>
        </is>
      </c>
      <c r="C57" s="6" t="inlineStr">
        <is>
          <t>Won: 464,195 votes against Asheesh Shukla (93,997); signed margin +370,198.</t>
        </is>
      </c>
      <c r="D57" s="6" t="inlineStr">
        <is>
          <t>Supported</t>
        </is>
      </c>
      <c r="E57" s="7" t="inlineStr">
        <is>
          <t>EV-0092</t>
        </is>
      </c>
      <c r="F57" s="6" t="inlineStr">
        <is>
          <t>High</t>
        </is>
      </c>
      <c r="G57" s="6" t="inlineStr">
        <is>
          <t>Finding</t>
        </is>
      </c>
      <c r="H57" s="6" t="inlineStr">
        <is>
          <t>Recorded fact</t>
        </is>
      </c>
      <c r="I57" s="6" t="inlineStr">
        <is>
          <t>S008</t>
        </is>
      </c>
      <c r="J57" s="7" t="inlineStr">
        <is>
          <t>All citations</t>
        </is>
      </c>
      <c r="K57" s="6" t="inlineStr"/>
      <c r="L57" s="6" t="inlineStr">
        <is>
          <t>Post-delimitation seat numbered 37. Share is the source-reported percentage; denominator not independently reconciled.</t>
        </is>
      </c>
      <c r="M57" s="6" t="inlineStr">
        <is>
          <t>Elections</t>
        </is>
      </c>
    </row>
    <row r="58" ht="66" customHeight="1">
      <c r="A58" s="4" t="inlineStr">
        <is>
          <t>C-EL02-02</t>
        </is>
      </c>
      <c r="B58" s="5" t="inlineStr">
        <is>
          <t>EL02</t>
        </is>
      </c>
      <c r="C58" s="8" t="n">
        <v>2009</v>
      </c>
      <c r="D58" s="4" t="inlineStr">
        <is>
          <t>Supported</t>
        </is>
      </c>
      <c r="E58" s="5" t="inlineStr">
        <is>
          <t>EV-0093</t>
        </is>
      </c>
      <c r="F58" s="4" t="inlineStr">
        <is>
          <t>High</t>
        </is>
      </c>
      <c r="G58" s="4" t="inlineStr">
        <is>
          <t>Year</t>
        </is>
      </c>
      <c r="H58" s="4" t="inlineStr">
        <is>
          <t>Recorded fact</t>
        </is>
      </c>
      <c r="I58" s="4" t="inlineStr">
        <is>
          <t>S008</t>
        </is>
      </c>
      <c r="J58" s="5" t="inlineStr">
        <is>
          <t>All citations</t>
        </is>
      </c>
      <c r="K58" s="4" t="inlineStr"/>
      <c r="L58" s="4" t="inlineStr">
        <is>
          <t>Post-delimitation seat numbered 37. Share is the source-reported percentage; denominator not independently reconciled.</t>
        </is>
      </c>
      <c r="M58" s="4" t="inlineStr">
        <is>
          <t>Elections</t>
        </is>
      </c>
    </row>
    <row r="59" ht="66" customHeight="1">
      <c r="A59" s="6" t="inlineStr">
        <is>
          <t>C-EL02-03</t>
        </is>
      </c>
      <c r="B59" s="7" t="inlineStr">
        <is>
          <t>EL02</t>
        </is>
      </c>
      <c r="C59" s="9" t="n">
        <v>464195</v>
      </c>
      <c r="D59" s="6" t="inlineStr">
        <is>
          <t>Supported</t>
        </is>
      </c>
      <c r="E59" s="7" t="inlineStr">
        <is>
          <t>EV-0094</t>
        </is>
      </c>
      <c r="F59" s="6" t="inlineStr">
        <is>
          <t>High</t>
        </is>
      </c>
      <c r="G59" s="6" t="inlineStr">
        <is>
          <t>Candidate votes</t>
        </is>
      </c>
      <c r="H59" s="6" t="inlineStr">
        <is>
          <t>Recorded fact</t>
        </is>
      </c>
      <c r="I59" s="6" t="inlineStr">
        <is>
          <t>S008</t>
        </is>
      </c>
      <c r="J59" s="7" t="inlineStr">
        <is>
          <t>All citations</t>
        </is>
      </c>
      <c r="K59" s="6" t="inlineStr"/>
      <c r="L59" s="6" t="inlineStr">
        <is>
          <t>Post-delimitation seat numbered 37. Share is the source-reported percentage; denominator not independently reconciled.</t>
        </is>
      </c>
      <c r="M59" s="6" t="inlineStr">
        <is>
          <t>Elections</t>
        </is>
      </c>
    </row>
    <row r="60" ht="66" customHeight="1">
      <c r="A60" s="4" t="inlineStr">
        <is>
          <t>C-EL02-04</t>
        </is>
      </c>
      <c r="B60" s="5" t="inlineStr">
        <is>
          <t>EL02</t>
        </is>
      </c>
      <c r="C60" s="8" t="n">
        <v>93997</v>
      </c>
      <c r="D60" s="4" t="inlineStr">
        <is>
          <t>Supported</t>
        </is>
      </c>
      <c r="E60" s="5" t="inlineStr">
        <is>
          <t>EV-0095</t>
        </is>
      </c>
      <c r="F60" s="4" t="inlineStr">
        <is>
          <t>High</t>
        </is>
      </c>
      <c r="G60" s="4" t="inlineStr">
        <is>
          <t>Opponent votes</t>
        </is>
      </c>
      <c r="H60" s="4" t="inlineStr">
        <is>
          <t>Recorded fact</t>
        </is>
      </c>
      <c r="I60" s="4" t="inlineStr">
        <is>
          <t>S008</t>
        </is>
      </c>
      <c r="J60" s="5" t="inlineStr">
        <is>
          <t>All citations</t>
        </is>
      </c>
      <c r="K60" s="4" t="inlineStr"/>
      <c r="L60" s="4" t="inlineStr">
        <is>
          <t>Post-delimitation seat numbered 37. Share is the source-reported percentage; denominator not independently reconciled.</t>
        </is>
      </c>
      <c r="M60" s="4" t="inlineStr">
        <is>
          <t>Elections</t>
        </is>
      </c>
    </row>
    <row r="61" ht="66" customHeight="1">
      <c r="A61" s="6" t="inlineStr">
        <is>
          <t>C-EL02-05</t>
        </is>
      </c>
      <c r="B61" s="7" t="inlineStr">
        <is>
          <t>EL02</t>
        </is>
      </c>
      <c r="C61" s="9" t="n">
        <v>370198</v>
      </c>
      <c r="D61" s="6" t="inlineStr">
        <is>
          <t>Supported</t>
        </is>
      </c>
      <c r="E61" s="7" t="inlineStr">
        <is>
          <t>EV-0096</t>
        </is>
      </c>
      <c r="F61" s="6" t="inlineStr">
        <is>
          <t>High</t>
        </is>
      </c>
      <c r="G61" s="6" t="inlineStr">
        <is>
          <t>Signed vote margin</t>
        </is>
      </c>
      <c r="H61" s="6" t="inlineStr">
        <is>
          <t>Recorded fact</t>
        </is>
      </c>
      <c r="I61" s="6" t="inlineStr">
        <is>
          <t>S008</t>
        </is>
      </c>
      <c r="J61" s="7" t="inlineStr">
        <is>
          <t>All citations</t>
        </is>
      </c>
      <c r="K61" s="6" t="inlineStr"/>
      <c r="L61" s="6" t="inlineStr">
        <is>
          <t>Post-delimitation seat numbered 37. Share is the source-reported percentage; denominator not independently reconciled.</t>
        </is>
      </c>
      <c r="M61" s="6" t="inlineStr">
        <is>
          <t>Elections</t>
        </is>
      </c>
    </row>
    <row r="62" ht="66" customHeight="1">
      <c r="A62" s="4" t="inlineStr">
        <is>
          <t>C-EL02-06</t>
        </is>
      </c>
      <c r="B62" s="5" t="inlineStr">
        <is>
          <t>EL02</t>
        </is>
      </c>
      <c r="C62" s="8" t="n">
        <v>0.7178</v>
      </c>
      <c r="D62" s="4" t="inlineStr">
        <is>
          <t>Supported</t>
        </is>
      </c>
      <c r="E62" s="5" t="inlineStr">
        <is>
          <t>EV-0097</t>
        </is>
      </c>
      <c r="F62" s="4" t="inlineStr">
        <is>
          <t>High</t>
        </is>
      </c>
      <c r="G62" s="4" t="inlineStr">
        <is>
          <t>Vote share</t>
        </is>
      </c>
      <c r="H62" s="4" t="inlineStr">
        <is>
          <t>Recorded fact</t>
        </is>
      </c>
      <c r="I62" s="4" t="inlineStr">
        <is>
          <t>S008</t>
        </is>
      </c>
      <c r="J62" s="5" t="inlineStr">
        <is>
          <t>All citations</t>
        </is>
      </c>
      <c r="K62" s="4" t="inlineStr"/>
      <c r="L62" s="4" t="inlineStr">
        <is>
          <t>Post-delimitation seat numbered 37. Share is the source-reported percentage; denominator not independently reconciled.</t>
        </is>
      </c>
      <c r="M62" s="4" t="inlineStr">
        <is>
          <t>Elections</t>
        </is>
      </c>
    </row>
    <row r="63" ht="66" customHeight="1">
      <c r="A63" s="6" t="inlineStr">
        <is>
          <t>C-EL03-01</t>
        </is>
      </c>
      <c r="B63" s="7" t="inlineStr">
        <is>
          <t>EL03</t>
        </is>
      </c>
      <c r="C63" s="6" t="inlineStr">
        <is>
          <t>Won: 408,651 votes against Smriti Irani (300,748); signed margin +107,903.</t>
        </is>
      </c>
      <c r="D63" s="6" t="inlineStr">
        <is>
          <t>Supported</t>
        </is>
      </c>
      <c r="E63" s="7" t="inlineStr">
        <is>
          <t>EV-0098</t>
        </is>
      </c>
      <c r="F63" s="6" t="inlineStr">
        <is>
          <t>High</t>
        </is>
      </c>
      <c r="G63" s="6" t="inlineStr">
        <is>
          <t>Finding</t>
        </is>
      </c>
      <c r="H63" s="6" t="inlineStr">
        <is>
          <t>Recorded fact</t>
        </is>
      </c>
      <c r="I63" s="6" t="inlineStr">
        <is>
          <t>S008</t>
        </is>
      </c>
      <c r="J63" s="7" t="inlineStr">
        <is>
          <t>All citations</t>
        </is>
      </c>
      <c r="K63" s="6" t="inlineStr"/>
      <c r="L63" s="6" t="inlineStr">
        <is>
          <t>Vote totals agree within source. Its two tables give 46.71% and 46.72%; share is left blank pending primary return.</t>
        </is>
      </c>
      <c r="M63" s="6" t="inlineStr">
        <is>
          <t>Elections</t>
        </is>
      </c>
    </row>
    <row r="64" ht="66" customHeight="1">
      <c r="A64" s="4" t="inlineStr">
        <is>
          <t>C-EL03-02</t>
        </is>
      </c>
      <c r="B64" s="5" t="inlineStr">
        <is>
          <t>EL03</t>
        </is>
      </c>
      <c r="C64" s="8" t="n">
        <v>2014</v>
      </c>
      <c r="D64" s="4" t="inlineStr">
        <is>
          <t>Supported</t>
        </is>
      </c>
      <c r="E64" s="5" t="inlineStr">
        <is>
          <t>EV-0099</t>
        </is>
      </c>
      <c r="F64" s="4" t="inlineStr">
        <is>
          <t>High</t>
        </is>
      </c>
      <c r="G64" s="4" t="inlineStr">
        <is>
          <t>Year</t>
        </is>
      </c>
      <c r="H64" s="4" t="inlineStr">
        <is>
          <t>Recorded fact</t>
        </is>
      </c>
      <c r="I64" s="4" t="inlineStr">
        <is>
          <t>S008</t>
        </is>
      </c>
      <c r="J64" s="5" t="inlineStr">
        <is>
          <t>All citations</t>
        </is>
      </c>
      <c r="K64" s="4" t="inlineStr"/>
      <c r="L64" s="4" t="inlineStr">
        <is>
          <t>Vote totals agree within source. Its two tables give 46.71% and 46.72%; share is left blank pending primary return.</t>
        </is>
      </c>
      <c r="M64" s="4" t="inlineStr">
        <is>
          <t>Elections</t>
        </is>
      </c>
    </row>
    <row r="65" ht="66" customHeight="1">
      <c r="A65" s="6" t="inlineStr">
        <is>
          <t>C-EL03-03</t>
        </is>
      </c>
      <c r="B65" s="7" t="inlineStr">
        <is>
          <t>EL03</t>
        </is>
      </c>
      <c r="C65" s="9" t="n">
        <v>408651</v>
      </c>
      <c r="D65" s="6" t="inlineStr">
        <is>
          <t>Supported</t>
        </is>
      </c>
      <c r="E65" s="7" t="inlineStr">
        <is>
          <t>EV-0100</t>
        </is>
      </c>
      <c r="F65" s="6" t="inlineStr">
        <is>
          <t>High</t>
        </is>
      </c>
      <c r="G65" s="6" t="inlineStr">
        <is>
          <t>Candidate votes</t>
        </is>
      </c>
      <c r="H65" s="6" t="inlineStr">
        <is>
          <t>Recorded fact</t>
        </is>
      </c>
      <c r="I65" s="6" t="inlineStr">
        <is>
          <t>S008</t>
        </is>
      </c>
      <c r="J65" s="7" t="inlineStr">
        <is>
          <t>All citations</t>
        </is>
      </c>
      <c r="K65" s="6" t="inlineStr"/>
      <c r="L65" s="6" t="inlineStr">
        <is>
          <t>Vote totals agree within source. Its two tables give 46.71% and 46.72%; share is left blank pending primary return.</t>
        </is>
      </c>
      <c r="M65" s="6" t="inlineStr">
        <is>
          <t>Elections</t>
        </is>
      </c>
    </row>
    <row r="66" ht="66" customHeight="1">
      <c r="A66" s="4" t="inlineStr">
        <is>
          <t>C-EL03-04</t>
        </is>
      </c>
      <c r="B66" s="5" t="inlineStr">
        <is>
          <t>EL03</t>
        </is>
      </c>
      <c r="C66" s="8" t="n">
        <v>300748</v>
      </c>
      <c r="D66" s="4" t="inlineStr">
        <is>
          <t>Supported</t>
        </is>
      </c>
      <c r="E66" s="5" t="inlineStr">
        <is>
          <t>EV-0101</t>
        </is>
      </c>
      <c r="F66" s="4" t="inlineStr">
        <is>
          <t>High</t>
        </is>
      </c>
      <c r="G66" s="4" t="inlineStr">
        <is>
          <t>Opponent votes</t>
        </is>
      </c>
      <c r="H66" s="4" t="inlineStr">
        <is>
          <t>Recorded fact</t>
        </is>
      </c>
      <c r="I66" s="4" t="inlineStr">
        <is>
          <t>S008</t>
        </is>
      </c>
      <c r="J66" s="5" t="inlineStr">
        <is>
          <t>All citations</t>
        </is>
      </c>
      <c r="K66" s="4" t="inlineStr"/>
      <c r="L66" s="4" t="inlineStr">
        <is>
          <t>Vote totals agree within source. Its two tables give 46.71% and 46.72%; share is left blank pending primary return.</t>
        </is>
      </c>
      <c r="M66" s="4" t="inlineStr">
        <is>
          <t>Elections</t>
        </is>
      </c>
    </row>
    <row r="67" ht="66" customHeight="1">
      <c r="A67" s="6" t="inlineStr">
        <is>
          <t>C-EL03-05</t>
        </is>
      </c>
      <c r="B67" s="7" t="inlineStr">
        <is>
          <t>EL03</t>
        </is>
      </c>
      <c r="C67" s="9" t="n">
        <v>107903</v>
      </c>
      <c r="D67" s="6" t="inlineStr">
        <is>
          <t>Supported</t>
        </is>
      </c>
      <c r="E67" s="7" t="inlineStr">
        <is>
          <t>EV-0102</t>
        </is>
      </c>
      <c r="F67" s="6" t="inlineStr">
        <is>
          <t>High</t>
        </is>
      </c>
      <c r="G67" s="6" t="inlineStr">
        <is>
          <t>Signed vote margin</t>
        </is>
      </c>
      <c r="H67" s="6" t="inlineStr">
        <is>
          <t>Recorded fact</t>
        </is>
      </c>
      <c r="I67" s="6" t="inlineStr">
        <is>
          <t>S008</t>
        </is>
      </c>
      <c r="J67" s="7" t="inlineStr">
        <is>
          <t>All citations</t>
        </is>
      </c>
      <c r="K67" s="6" t="inlineStr"/>
      <c r="L67" s="6" t="inlineStr">
        <is>
          <t>Vote totals agree within source. Its two tables give 46.71% and 46.72%; share is left blank pending primary return.</t>
        </is>
      </c>
      <c r="M67" s="6" t="inlineStr">
        <is>
          <t>Elections</t>
        </is>
      </c>
    </row>
    <row r="68" ht="52" customHeight="1">
      <c r="A68" s="4" t="inlineStr">
        <is>
          <t>C-EL04-01</t>
        </is>
      </c>
      <c r="B68" s="5" t="inlineStr">
        <is>
          <t>EL04</t>
        </is>
      </c>
      <c r="C68" s="4" t="inlineStr">
        <is>
          <t>Lost: 413,394 votes against Smriti Irani (468,514); signed margin -55,120.</t>
        </is>
      </c>
      <c r="D68" s="4" t="inlineStr">
        <is>
          <t>Supported</t>
        </is>
      </c>
      <c r="E68" s="5" t="inlineStr">
        <is>
          <t>EV-0103</t>
        </is>
      </c>
      <c r="F68" s="4" t="inlineStr">
        <is>
          <t>High</t>
        </is>
      </c>
      <c r="G68" s="4" t="inlineStr">
        <is>
          <t>Finding</t>
        </is>
      </c>
      <c r="H68" s="4" t="inlineStr">
        <is>
          <t>Recorded fact</t>
        </is>
      </c>
      <c r="I68" s="4" t="inlineStr">
        <is>
          <t>S007</t>
        </is>
      </c>
      <c r="J68" s="5" t="inlineStr">
        <is>
          <t>All citations</t>
        </is>
      </c>
      <c r="K68" s="4" t="inlineStr"/>
      <c r="L68" s="4" t="inlineStr">
        <is>
          <t>Share computed from ADR total votes. This personal defeat is separate from Congress’s national result.</t>
        </is>
      </c>
      <c r="M68" s="4" t="inlineStr">
        <is>
          <t>Elections</t>
        </is>
      </c>
    </row>
    <row r="69" ht="52" customHeight="1">
      <c r="A69" s="6" t="inlineStr">
        <is>
          <t>C-EL04-02</t>
        </is>
      </c>
      <c r="B69" s="7" t="inlineStr">
        <is>
          <t>EL04</t>
        </is>
      </c>
      <c r="C69" s="9" t="n">
        <v>2019</v>
      </c>
      <c r="D69" s="6" t="inlineStr">
        <is>
          <t>Supported</t>
        </is>
      </c>
      <c r="E69" s="7" t="inlineStr">
        <is>
          <t>EV-0104</t>
        </is>
      </c>
      <c r="F69" s="6" t="inlineStr">
        <is>
          <t>High</t>
        </is>
      </c>
      <c r="G69" s="6" t="inlineStr">
        <is>
          <t>Year</t>
        </is>
      </c>
      <c r="H69" s="6" t="inlineStr">
        <is>
          <t>Recorded fact</t>
        </is>
      </c>
      <c r="I69" s="6" t="inlineStr">
        <is>
          <t>S007</t>
        </is>
      </c>
      <c r="J69" s="7" t="inlineStr">
        <is>
          <t>All citations</t>
        </is>
      </c>
      <c r="K69" s="6" t="inlineStr"/>
      <c r="L69" s="6" t="inlineStr">
        <is>
          <t>Share computed from ADR total votes. This personal defeat is separate from Congress’s national result.</t>
        </is>
      </c>
      <c r="M69" s="6" t="inlineStr">
        <is>
          <t>Elections</t>
        </is>
      </c>
    </row>
    <row r="70" ht="52" customHeight="1">
      <c r="A70" s="4" t="inlineStr">
        <is>
          <t>C-EL04-03</t>
        </is>
      </c>
      <c r="B70" s="5" t="inlineStr">
        <is>
          <t>EL04</t>
        </is>
      </c>
      <c r="C70" s="8" t="n">
        <v>413394</v>
      </c>
      <c r="D70" s="4" t="inlineStr">
        <is>
          <t>Supported</t>
        </is>
      </c>
      <c r="E70" s="5" t="inlineStr">
        <is>
          <t>EV-0105</t>
        </is>
      </c>
      <c r="F70" s="4" t="inlineStr">
        <is>
          <t>High</t>
        </is>
      </c>
      <c r="G70" s="4" t="inlineStr">
        <is>
          <t>Candidate votes</t>
        </is>
      </c>
      <c r="H70" s="4" t="inlineStr">
        <is>
          <t>Recorded fact</t>
        </is>
      </c>
      <c r="I70" s="4" t="inlineStr">
        <is>
          <t>S007</t>
        </is>
      </c>
      <c r="J70" s="5" t="inlineStr">
        <is>
          <t>All citations</t>
        </is>
      </c>
      <c r="K70" s="4" t="inlineStr"/>
      <c r="L70" s="4" t="inlineStr">
        <is>
          <t>Share computed from ADR total votes. This personal defeat is separate from Congress’s national result.</t>
        </is>
      </c>
      <c r="M70" s="4" t="inlineStr">
        <is>
          <t>Elections</t>
        </is>
      </c>
    </row>
    <row r="71" ht="52" customHeight="1">
      <c r="A71" s="6" t="inlineStr">
        <is>
          <t>C-EL04-04</t>
        </is>
      </c>
      <c r="B71" s="7" t="inlineStr">
        <is>
          <t>EL04</t>
        </is>
      </c>
      <c r="C71" s="9" t="n">
        <v>468514</v>
      </c>
      <c r="D71" s="6" t="inlineStr">
        <is>
          <t>Supported</t>
        </is>
      </c>
      <c r="E71" s="7" t="inlineStr">
        <is>
          <t>EV-0106</t>
        </is>
      </c>
      <c r="F71" s="6" t="inlineStr">
        <is>
          <t>High</t>
        </is>
      </c>
      <c r="G71" s="6" t="inlineStr">
        <is>
          <t>Opponent votes</t>
        </is>
      </c>
      <c r="H71" s="6" t="inlineStr">
        <is>
          <t>Recorded fact</t>
        </is>
      </c>
      <c r="I71" s="6" t="inlineStr">
        <is>
          <t>S007</t>
        </is>
      </c>
      <c r="J71" s="7" t="inlineStr">
        <is>
          <t>All citations</t>
        </is>
      </c>
      <c r="K71" s="6" t="inlineStr"/>
      <c r="L71" s="6" t="inlineStr">
        <is>
          <t>Share computed from ADR total votes. This personal defeat is separate from Congress’s national result.</t>
        </is>
      </c>
      <c r="M71" s="6" t="inlineStr">
        <is>
          <t>Elections</t>
        </is>
      </c>
    </row>
    <row r="72" ht="52" customHeight="1">
      <c r="A72" s="4" t="inlineStr">
        <is>
          <t>C-EL04-05</t>
        </is>
      </c>
      <c r="B72" s="5" t="inlineStr">
        <is>
          <t>EL04</t>
        </is>
      </c>
      <c r="C72" s="8" t="n">
        <v>-55120</v>
      </c>
      <c r="D72" s="4" t="inlineStr">
        <is>
          <t>Supported</t>
        </is>
      </c>
      <c r="E72" s="5" t="inlineStr">
        <is>
          <t>EV-0107</t>
        </is>
      </c>
      <c r="F72" s="4" t="inlineStr">
        <is>
          <t>High</t>
        </is>
      </c>
      <c r="G72" s="4" t="inlineStr">
        <is>
          <t>Signed vote margin</t>
        </is>
      </c>
      <c r="H72" s="4" t="inlineStr">
        <is>
          <t>Recorded fact</t>
        </is>
      </c>
      <c r="I72" s="4" t="inlineStr">
        <is>
          <t>S007</t>
        </is>
      </c>
      <c r="J72" s="5" t="inlineStr">
        <is>
          <t>All citations</t>
        </is>
      </c>
      <c r="K72" s="4" t="inlineStr"/>
      <c r="L72" s="4" t="inlineStr">
        <is>
          <t>Share computed from ADR total votes. This personal defeat is separate from Congress’s national result.</t>
        </is>
      </c>
      <c r="M72" s="4" t="inlineStr">
        <is>
          <t>Elections</t>
        </is>
      </c>
    </row>
    <row r="73" ht="52" customHeight="1">
      <c r="A73" s="6" t="inlineStr">
        <is>
          <t>C-EL04-06</t>
        </is>
      </c>
      <c r="B73" s="7" t="inlineStr">
        <is>
          <t>EL04</t>
        </is>
      </c>
      <c r="C73" s="9" t="n">
        <v>0.4386361972427272</v>
      </c>
      <c r="D73" s="6" t="inlineStr">
        <is>
          <t>Supported</t>
        </is>
      </c>
      <c r="E73" s="7" t="inlineStr">
        <is>
          <t>EV-0108</t>
        </is>
      </c>
      <c r="F73" s="6" t="inlineStr">
        <is>
          <t>High</t>
        </is>
      </c>
      <c r="G73" s="6" t="inlineStr">
        <is>
          <t>Vote share</t>
        </is>
      </c>
      <c r="H73" s="6" t="inlineStr">
        <is>
          <t>Recorded fact</t>
        </is>
      </c>
      <c r="I73" s="6" t="inlineStr">
        <is>
          <t>S007</t>
        </is>
      </c>
      <c r="J73" s="7" t="inlineStr">
        <is>
          <t>All citations</t>
        </is>
      </c>
      <c r="K73" s="6" t="inlineStr"/>
      <c r="L73" s="6" t="inlineStr">
        <is>
          <t>Share computed from ADR total votes. This personal defeat is separate from Congress’s national result.</t>
        </is>
      </c>
      <c r="M73" s="6" t="inlineStr">
        <is>
          <t>Elections</t>
        </is>
      </c>
    </row>
    <row r="74" ht="52" customHeight="1">
      <c r="A74" s="4" t="inlineStr">
        <is>
          <t>C-EL05-01</t>
        </is>
      </c>
      <c r="B74" s="5" t="inlineStr">
        <is>
          <t>EL05</t>
        </is>
      </c>
      <c r="C74" s="4" t="inlineStr">
        <is>
          <t>Won: 706,367 votes against P.P. Suneer (274,597); signed margin +431,770.</t>
        </is>
      </c>
      <c r="D74" s="4" t="inlineStr">
        <is>
          <t>Supported</t>
        </is>
      </c>
      <c r="E74" s="5" t="inlineStr">
        <is>
          <t>EV-0109; EV-0110</t>
        </is>
      </c>
      <c r="F74" s="4" t="inlineStr">
        <is>
          <t>High</t>
        </is>
      </c>
      <c r="G74" s="4" t="inlineStr">
        <is>
          <t>Finding</t>
        </is>
      </c>
      <c r="H74" s="4" t="inlineStr">
        <is>
          <t>Recorded fact</t>
        </is>
      </c>
      <c r="I74" s="4" t="inlineStr">
        <is>
          <t>S007; S041</t>
        </is>
      </c>
      <c r="J74" s="5" t="inlineStr">
        <is>
          <t>All citations</t>
        </is>
      </c>
      <c r="K74" s="4" t="inlineStr"/>
      <c r="L74" s="4" t="inlineStr">
        <is>
          <t>CEO Kerala reports 64.67%; ADR rounds the winner share to 64.70%. Both give a 431770 margin.</t>
        </is>
      </c>
      <c r="M74" s="4" t="inlineStr">
        <is>
          <t>Elections</t>
        </is>
      </c>
    </row>
    <row r="75" ht="52" customHeight="1">
      <c r="A75" s="6" t="inlineStr">
        <is>
          <t>C-EL05-02</t>
        </is>
      </c>
      <c r="B75" s="7" t="inlineStr">
        <is>
          <t>EL05</t>
        </is>
      </c>
      <c r="C75" s="9" t="n">
        <v>2019</v>
      </c>
      <c r="D75" s="6" t="inlineStr">
        <is>
          <t>Supported</t>
        </is>
      </c>
      <c r="E75" s="7" t="inlineStr">
        <is>
          <t>EV-0111; EV-0112</t>
        </is>
      </c>
      <c r="F75" s="6" t="inlineStr">
        <is>
          <t>High</t>
        </is>
      </c>
      <c r="G75" s="6" t="inlineStr">
        <is>
          <t>Year</t>
        </is>
      </c>
      <c r="H75" s="6" t="inlineStr">
        <is>
          <t>Recorded fact</t>
        </is>
      </c>
      <c r="I75" s="6" t="inlineStr">
        <is>
          <t>S007; S041</t>
        </is>
      </c>
      <c r="J75" s="7" t="inlineStr">
        <is>
          <t>All citations</t>
        </is>
      </c>
      <c r="K75" s="6" t="inlineStr"/>
      <c r="L75" s="6" t="inlineStr">
        <is>
          <t>CEO Kerala reports 64.67%; ADR rounds the winner share to 64.70%. Both give a 431770 margin.</t>
        </is>
      </c>
      <c r="M75" s="6" t="inlineStr">
        <is>
          <t>Elections</t>
        </is>
      </c>
    </row>
    <row r="76" ht="52" customHeight="1">
      <c r="A76" s="4" t="inlineStr">
        <is>
          <t>C-EL05-03</t>
        </is>
      </c>
      <c r="B76" s="5" t="inlineStr">
        <is>
          <t>EL05</t>
        </is>
      </c>
      <c r="C76" s="8" t="n">
        <v>706367</v>
      </c>
      <c r="D76" s="4" t="inlineStr">
        <is>
          <t>Supported</t>
        </is>
      </c>
      <c r="E76" s="5" t="inlineStr">
        <is>
          <t>EV-0113; EV-0114</t>
        </is>
      </c>
      <c r="F76" s="4" t="inlineStr">
        <is>
          <t>High</t>
        </is>
      </c>
      <c r="G76" s="4" t="inlineStr">
        <is>
          <t>Candidate votes</t>
        </is>
      </c>
      <c r="H76" s="4" t="inlineStr">
        <is>
          <t>Recorded fact</t>
        </is>
      </c>
      <c r="I76" s="4" t="inlineStr">
        <is>
          <t>S007; S041</t>
        </is>
      </c>
      <c r="J76" s="5" t="inlineStr">
        <is>
          <t>All citations</t>
        </is>
      </c>
      <c r="K76" s="4" t="inlineStr"/>
      <c r="L76" s="4" t="inlineStr">
        <is>
          <t>CEO Kerala reports 64.67%; ADR rounds the winner share to 64.70%. Both give a 431770 margin.</t>
        </is>
      </c>
      <c r="M76" s="4" t="inlineStr">
        <is>
          <t>Elections</t>
        </is>
      </c>
    </row>
    <row r="77" ht="52" customHeight="1">
      <c r="A77" s="6" t="inlineStr">
        <is>
          <t>C-EL05-04</t>
        </is>
      </c>
      <c r="B77" s="7" t="inlineStr">
        <is>
          <t>EL05</t>
        </is>
      </c>
      <c r="C77" s="9" t="n">
        <v>274597</v>
      </c>
      <c r="D77" s="6" t="inlineStr">
        <is>
          <t>Supported</t>
        </is>
      </c>
      <c r="E77" s="7" t="inlineStr">
        <is>
          <t>EV-0115; EV-0116</t>
        </is>
      </c>
      <c r="F77" s="6" t="inlineStr">
        <is>
          <t>High</t>
        </is>
      </c>
      <c r="G77" s="6" t="inlineStr">
        <is>
          <t>Opponent votes</t>
        </is>
      </c>
      <c r="H77" s="6" t="inlineStr">
        <is>
          <t>Recorded fact</t>
        </is>
      </c>
      <c r="I77" s="6" t="inlineStr">
        <is>
          <t>S007; S041</t>
        </is>
      </c>
      <c r="J77" s="7" t="inlineStr">
        <is>
          <t>All citations</t>
        </is>
      </c>
      <c r="K77" s="6" t="inlineStr"/>
      <c r="L77" s="6" t="inlineStr">
        <is>
          <t>CEO Kerala reports 64.67%; ADR rounds the winner share to 64.70%. Both give a 431770 margin.</t>
        </is>
      </c>
      <c r="M77" s="6" t="inlineStr">
        <is>
          <t>Elections</t>
        </is>
      </c>
    </row>
    <row r="78" ht="52" customHeight="1">
      <c r="A78" s="4" t="inlineStr">
        <is>
          <t>C-EL05-05</t>
        </is>
      </c>
      <c r="B78" s="5" t="inlineStr">
        <is>
          <t>EL05</t>
        </is>
      </c>
      <c r="C78" s="8" t="n">
        <v>431770</v>
      </c>
      <c r="D78" s="4" t="inlineStr">
        <is>
          <t>Supported</t>
        </is>
      </c>
      <c r="E78" s="5" t="inlineStr">
        <is>
          <t>EV-0117; EV-0118</t>
        </is>
      </c>
      <c r="F78" s="4" t="inlineStr">
        <is>
          <t>High</t>
        </is>
      </c>
      <c r="G78" s="4" t="inlineStr">
        <is>
          <t>Signed vote margin</t>
        </is>
      </c>
      <c r="H78" s="4" t="inlineStr">
        <is>
          <t>Recorded fact</t>
        </is>
      </c>
      <c r="I78" s="4" t="inlineStr">
        <is>
          <t>S007; S041</t>
        </is>
      </c>
      <c r="J78" s="5" t="inlineStr">
        <is>
          <t>All citations</t>
        </is>
      </c>
      <c r="K78" s="4" t="inlineStr"/>
      <c r="L78" s="4" t="inlineStr">
        <is>
          <t>CEO Kerala reports 64.67%; ADR rounds the winner share to 64.70%. Both give a 431770 margin.</t>
        </is>
      </c>
      <c r="M78" s="4" t="inlineStr">
        <is>
          <t>Elections</t>
        </is>
      </c>
    </row>
    <row r="79" ht="52" customHeight="1">
      <c r="A79" s="6" t="inlineStr">
        <is>
          <t>C-EL05-06</t>
        </is>
      </c>
      <c r="B79" s="7" t="inlineStr">
        <is>
          <t>EL05</t>
        </is>
      </c>
      <c r="C79" s="9" t="n">
        <v>0.6467000000000001</v>
      </c>
      <c r="D79" s="6" t="inlineStr">
        <is>
          <t>Supported</t>
        </is>
      </c>
      <c r="E79" s="7" t="inlineStr">
        <is>
          <t>EV-0119; EV-0120</t>
        </is>
      </c>
      <c r="F79" s="6" t="inlineStr">
        <is>
          <t>High</t>
        </is>
      </c>
      <c r="G79" s="6" t="inlineStr">
        <is>
          <t>Vote share</t>
        </is>
      </c>
      <c r="H79" s="6" t="inlineStr">
        <is>
          <t>Recorded fact</t>
        </is>
      </c>
      <c r="I79" s="6" t="inlineStr">
        <is>
          <t>S007; S041</t>
        </is>
      </c>
      <c r="J79" s="7" t="inlineStr">
        <is>
          <t>All citations</t>
        </is>
      </c>
      <c r="K79" s="6" t="inlineStr"/>
      <c r="L79" s="6" t="inlineStr">
        <is>
          <t>CEO Kerala reports 64.67%; ADR rounds the winner share to 64.70%. Both give a 431770 margin.</t>
        </is>
      </c>
      <c r="M79" s="6" t="inlineStr">
        <is>
          <t>Elections</t>
        </is>
      </c>
    </row>
    <row r="80" ht="52" customHeight="1">
      <c r="A80" s="4" t="inlineStr">
        <is>
          <t>C-EL06-01</t>
        </is>
      </c>
      <c r="B80" s="5" t="inlineStr">
        <is>
          <t>EL06</t>
        </is>
      </c>
      <c r="C80" s="4" t="inlineStr">
        <is>
          <t>Won: 687,649 votes against Dinesh Pratap Singh (297,619); signed margin +390,030.</t>
        </is>
      </c>
      <c r="D80" s="4" t="inlineStr">
        <is>
          <t>Supported</t>
        </is>
      </c>
      <c r="E80" s="5" t="inlineStr">
        <is>
          <t>EV-0121</t>
        </is>
      </c>
      <c r="F80" s="4" t="inlineStr">
        <is>
          <t>High</t>
        </is>
      </c>
      <c r="G80" s="4" t="inlineStr">
        <is>
          <t>Finding</t>
        </is>
      </c>
      <c r="H80" s="4" t="inlineStr">
        <is>
          <t>Recorded fact</t>
        </is>
      </c>
      <c r="I80" s="4" t="inlineStr">
        <is>
          <t>S006</t>
        </is>
      </c>
      <c r="J80" s="5" t="inlineStr">
        <is>
          <t>All citations</t>
        </is>
      </c>
      <c r="K80" s="4" t="inlineStr"/>
      <c r="L80" s="4" t="inlineStr">
        <is>
          <t>Share uses final ECI total votes polled, 1039951; 66.12% rounded. Retained this seat.</t>
        </is>
      </c>
      <c r="M80" s="4" t="inlineStr">
        <is>
          <t>Elections</t>
        </is>
      </c>
    </row>
    <row r="81" ht="52" customHeight="1">
      <c r="A81" s="6" t="inlineStr">
        <is>
          <t>C-EL06-02</t>
        </is>
      </c>
      <c r="B81" s="7" t="inlineStr">
        <is>
          <t>EL06</t>
        </is>
      </c>
      <c r="C81" s="9" t="n">
        <v>2024</v>
      </c>
      <c r="D81" s="6" t="inlineStr">
        <is>
          <t>Supported</t>
        </is>
      </c>
      <c r="E81" s="7" t="inlineStr">
        <is>
          <t>EV-0122</t>
        </is>
      </c>
      <c r="F81" s="6" t="inlineStr">
        <is>
          <t>High</t>
        </is>
      </c>
      <c r="G81" s="6" t="inlineStr">
        <is>
          <t>Year</t>
        </is>
      </c>
      <c r="H81" s="6" t="inlineStr">
        <is>
          <t>Recorded fact</t>
        </is>
      </c>
      <c r="I81" s="6" t="inlineStr">
        <is>
          <t>S006</t>
        </is>
      </c>
      <c r="J81" s="7" t="inlineStr">
        <is>
          <t>All citations</t>
        </is>
      </c>
      <c r="K81" s="6" t="inlineStr"/>
      <c r="L81" s="6" t="inlineStr">
        <is>
          <t>Share uses final ECI total votes polled, 1039951; 66.12% rounded. Retained this seat.</t>
        </is>
      </c>
      <c r="M81" s="6" t="inlineStr">
        <is>
          <t>Elections</t>
        </is>
      </c>
    </row>
    <row r="82" ht="52" customHeight="1">
      <c r="A82" s="4" t="inlineStr">
        <is>
          <t>C-EL06-03</t>
        </is>
      </c>
      <c r="B82" s="5" t="inlineStr">
        <is>
          <t>EL06</t>
        </is>
      </c>
      <c r="C82" s="8" t="n">
        <v>687649</v>
      </c>
      <c r="D82" s="4" t="inlineStr">
        <is>
          <t>Supported</t>
        </is>
      </c>
      <c r="E82" s="5" t="inlineStr">
        <is>
          <t>EV-0123</t>
        </is>
      </c>
      <c r="F82" s="4" t="inlineStr">
        <is>
          <t>High</t>
        </is>
      </c>
      <c r="G82" s="4" t="inlineStr">
        <is>
          <t>Candidate votes</t>
        </is>
      </c>
      <c r="H82" s="4" t="inlineStr">
        <is>
          <t>Recorded fact</t>
        </is>
      </c>
      <c r="I82" s="4" t="inlineStr">
        <is>
          <t>S006</t>
        </is>
      </c>
      <c r="J82" s="5" t="inlineStr">
        <is>
          <t>All citations</t>
        </is>
      </c>
      <c r="K82" s="4" t="inlineStr"/>
      <c r="L82" s="4" t="inlineStr">
        <is>
          <t>Share uses final ECI total votes polled, 1039951; 66.12% rounded. Retained this seat.</t>
        </is>
      </c>
      <c r="M82" s="4" t="inlineStr">
        <is>
          <t>Elections</t>
        </is>
      </c>
    </row>
    <row r="83" ht="52" customHeight="1">
      <c r="A83" s="6" t="inlineStr">
        <is>
          <t>C-EL06-04</t>
        </is>
      </c>
      <c r="B83" s="7" t="inlineStr">
        <is>
          <t>EL06</t>
        </is>
      </c>
      <c r="C83" s="9" t="n">
        <v>297619</v>
      </c>
      <c r="D83" s="6" t="inlineStr">
        <is>
          <t>Supported</t>
        </is>
      </c>
      <c r="E83" s="7" t="inlineStr">
        <is>
          <t>EV-0124</t>
        </is>
      </c>
      <c r="F83" s="6" t="inlineStr">
        <is>
          <t>High</t>
        </is>
      </c>
      <c r="G83" s="6" t="inlineStr">
        <is>
          <t>Opponent votes</t>
        </is>
      </c>
      <c r="H83" s="6" t="inlineStr">
        <is>
          <t>Recorded fact</t>
        </is>
      </c>
      <c r="I83" s="6" t="inlineStr">
        <is>
          <t>S006</t>
        </is>
      </c>
      <c r="J83" s="7" t="inlineStr">
        <is>
          <t>All citations</t>
        </is>
      </c>
      <c r="K83" s="6" t="inlineStr"/>
      <c r="L83" s="6" t="inlineStr">
        <is>
          <t>Share uses final ECI total votes polled, 1039951; 66.12% rounded. Retained this seat.</t>
        </is>
      </c>
      <c r="M83" s="6" t="inlineStr">
        <is>
          <t>Elections</t>
        </is>
      </c>
    </row>
    <row r="84" ht="52" customHeight="1">
      <c r="A84" s="4" t="inlineStr">
        <is>
          <t>C-EL06-05</t>
        </is>
      </c>
      <c r="B84" s="5" t="inlineStr">
        <is>
          <t>EL06</t>
        </is>
      </c>
      <c r="C84" s="8" t="n">
        <v>390030</v>
      </c>
      <c r="D84" s="4" t="inlineStr">
        <is>
          <t>Supported</t>
        </is>
      </c>
      <c r="E84" s="5" t="inlineStr">
        <is>
          <t>EV-0125</t>
        </is>
      </c>
      <c r="F84" s="4" t="inlineStr">
        <is>
          <t>High</t>
        </is>
      </c>
      <c r="G84" s="4" t="inlineStr">
        <is>
          <t>Signed vote margin</t>
        </is>
      </c>
      <c r="H84" s="4" t="inlineStr">
        <is>
          <t>Recorded fact</t>
        </is>
      </c>
      <c r="I84" s="4" t="inlineStr">
        <is>
          <t>S006</t>
        </is>
      </c>
      <c r="J84" s="5" t="inlineStr">
        <is>
          <t>All citations</t>
        </is>
      </c>
      <c r="K84" s="4" t="inlineStr"/>
      <c r="L84" s="4" t="inlineStr">
        <is>
          <t>Share uses final ECI total votes polled, 1039951; 66.12% rounded. Retained this seat.</t>
        </is>
      </c>
      <c r="M84" s="4" t="inlineStr">
        <is>
          <t>Elections</t>
        </is>
      </c>
    </row>
    <row r="85" ht="52" customHeight="1">
      <c r="A85" s="6" t="inlineStr">
        <is>
          <t>C-EL06-06</t>
        </is>
      </c>
      <c r="B85" s="7" t="inlineStr">
        <is>
          <t>EL06</t>
        </is>
      </c>
      <c r="C85" s="9" t="n">
        <v>0.6612321157439148</v>
      </c>
      <c r="D85" s="6" t="inlineStr">
        <is>
          <t>Supported</t>
        </is>
      </c>
      <c r="E85" s="7" t="inlineStr">
        <is>
          <t>EV-0126</t>
        </is>
      </c>
      <c r="F85" s="6" t="inlineStr">
        <is>
          <t>High</t>
        </is>
      </c>
      <c r="G85" s="6" t="inlineStr">
        <is>
          <t>Vote share</t>
        </is>
      </c>
      <c r="H85" s="6" t="inlineStr">
        <is>
          <t>Recorded fact</t>
        </is>
      </c>
      <c r="I85" s="6" t="inlineStr">
        <is>
          <t>S006</t>
        </is>
      </c>
      <c r="J85" s="7" t="inlineStr">
        <is>
          <t>All citations</t>
        </is>
      </c>
      <c r="K85" s="6" t="inlineStr"/>
      <c r="L85" s="6" t="inlineStr">
        <is>
          <t>Share uses final ECI total votes polled, 1039951; 66.12% rounded. Retained this seat.</t>
        </is>
      </c>
      <c r="M85" s="6" t="inlineStr">
        <is>
          <t>Elections</t>
        </is>
      </c>
    </row>
    <row r="86" ht="66" customHeight="1">
      <c r="A86" s="4" t="inlineStr">
        <is>
          <t>C-EL07-01</t>
        </is>
      </c>
      <c r="B86" s="5" t="inlineStr">
        <is>
          <t>EL07</t>
        </is>
      </c>
      <c r="C86" s="4" t="inlineStr">
        <is>
          <t>Won: 647,445 votes against Annie Raja (283,023); signed margin +364,422.</t>
        </is>
      </c>
      <c r="D86" s="4" t="inlineStr">
        <is>
          <t>Supported</t>
        </is>
      </c>
      <c r="E86" s="5" t="inlineStr">
        <is>
          <t>EV-0127; EV-0128</t>
        </is>
      </c>
      <c r="F86" s="4" t="inlineStr">
        <is>
          <t>High</t>
        </is>
      </c>
      <c r="G86" s="4" t="inlineStr">
        <is>
          <t>Finding</t>
        </is>
      </c>
      <c r="H86" s="4" t="inlineStr">
        <is>
          <t>Recorded fact</t>
        </is>
      </c>
      <c r="I86" s="4" t="inlineStr">
        <is>
          <t>S006; S043</t>
        </is>
      </c>
      <c r="J86" s="5" t="inlineStr">
        <is>
          <t>All citations</t>
        </is>
      </c>
      <c r="K86" s="4" t="inlineStr"/>
      <c r="L86" s="4" t="inlineStr">
        <is>
          <t>Share uses ECI total polled, 1086459: 59.59%. Election-night 59.69% uses 1084653 counted votes including NOTA. Relinquished effective 18 June 2024.</t>
        </is>
      </c>
      <c r="M86" s="4" t="inlineStr">
        <is>
          <t>Elections</t>
        </is>
      </c>
    </row>
    <row r="87" ht="66" customHeight="1">
      <c r="A87" s="6" t="inlineStr">
        <is>
          <t>C-EL07-02</t>
        </is>
      </c>
      <c r="B87" s="7" t="inlineStr">
        <is>
          <t>EL07</t>
        </is>
      </c>
      <c r="C87" s="9" t="n">
        <v>2024</v>
      </c>
      <c r="D87" s="6" t="inlineStr">
        <is>
          <t>Supported</t>
        </is>
      </c>
      <c r="E87" s="7" t="inlineStr">
        <is>
          <t>EV-0129; EV-0130</t>
        </is>
      </c>
      <c r="F87" s="6" t="inlineStr">
        <is>
          <t>High</t>
        </is>
      </c>
      <c r="G87" s="6" t="inlineStr">
        <is>
          <t>Year</t>
        </is>
      </c>
      <c r="H87" s="6" t="inlineStr">
        <is>
          <t>Recorded fact</t>
        </is>
      </c>
      <c r="I87" s="6" t="inlineStr">
        <is>
          <t>S006; S043</t>
        </is>
      </c>
      <c r="J87" s="7" t="inlineStr">
        <is>
          <t>All citations</t>
        </is>
      </c>
      <c r="K87" s="6" t="inlineStr"/>
      <c r="L87" s="6" t="inlineStr">
        <is>
          <t>Share uses ECI total polled, 1086459: 59.59%. Election-night 59.69% uses 1084653 counted votes including NOTA. Relinquished effective 18 June 2024.</t>
        </is>
      </c>
      <c r="M87" s="6" t="inlineStr">
        <is>
          <t>Elections</t>
        </is>
      </c>
    </row>
    <row r="88" ht="66" customHeight="1">
      <c r="A88" s="4" t="inlineStr">
        <is>
          <t>C-EL07-03</t>
        </is>
      </c>
      <c r="B88" s="5" t="inlineStr">
        <is>
          <t>EL07</t>
        </is>
      </c>
      <c r="C88" s="8" t="n">
        <v>647445</v>
      </c>
      <c r="D88" s="4" t="inlineStr">
        <is>
          <t>Supported</t>
        </is>
      </c>
      <c r="E88" s="5" t="inlineStr">
        <is>
          <t>EV-0131; EV-0132</t>
        </is>
      </c>
      <c r="F88" s="4" t="inlineStr">
        <is>
          <t>High</t>
        </is>
      </c>
      <c r="G88" s="4" t="inlineStr">
        <is>
          <t>Candidate votes</t>
        </is>
      </c>
      <c r="H88" s="4" t="inlineStr">
        <is>
          <t>Recorded fact</t>
        </is>
      </c>
      <c r="I88" s="4" t="inlineStr">
        <is>
          <t>S006; S043</t>
        </is>
      </c>
      <c r="J88" s="5" t="inlineStr">
        <is>
          <t>All citations</t>
        </is>
      </c>
      <c r="K88" s="4" t="inlineStr"/>
      <c r="L88" s="4" t="inlineStr">
        <is>
          <t>Share uses ECI total polled, 1086459: 59.59%. Election-night 59.69% uses 1084653 counted votes including NOTA. Relinquished effective 18 June 2024.</t>
        </is>
      </c>
      <c r="M88" s="4" t="inlineStr">
        <is>
          <t>Elections</t>
        </is>
      </c>
    </row>
    <row r="89" ht="66" customHeight="1">
      <c r="A89" s="6" t="inlineStr">
        <is>
          <t>C-EL07-04</t>
        </is>
      </c>
      <c r="B89" s="7" t="inlineStr">
        <is>
          <t>EL07</t>
        </is>
      </c>
      <c r="C89" s="9" t="n">
        <v>283023</v>
      </c>
      <c r="D89" s="6" t="inlineStr">
        <is>
          <t>Supported</t>
        </is>
      </c>
      <c r="E89" s="7" t="inlineStr">
        <is>
          <t>EV-0133; EV-0134</t>
        </is>
      </c>
      <c r="F89" s="6" t="inlineStr">
        <is>
          <t>High</t>
        </is>
      </c>
      <c r="G89" s="6" t="inlineStr">
        <is>
          <t>Opponent votes</t>
        </is>
      </c>
      <c r="H89" s="6" t="inlineStr">
        <is>
          <t>Recorded fact</t>
        </is>
      </c>
      <c r="I89" s="6" t="inlineStr">
        <is>
          <t>S006; S043</t>
        </is>
      </c>
      <c r="J89" s="7" t="inlineStr">
        <is>
          <t>All citations</t>
        </is>
      </c>
      <c r="K89" s="6" t="inlineStr"/>
      <c r="L89" s="6" t="inlineStr">
        <is>
          <t>Share uses ECI total polled, 1086459: 59.59%. Election-night 59.69% uses 1084653 counted votes including NOTA. Relinquished effective 18 June 2024.</t>
        </is>
      </c>
      <c r="M89" s="6" t="inlineStr">
        <is>
          <t>Elections</t>
        </is>
      </c>
    </row>
    <row r="90" ht="66" customHeight="1">
      <c r="A90" s="4" t="inlineStr">
        <is>
          <t>C-EL07-05</t>
        </is>
      </c>
      <c r="B90" s="5" t="inlineStr">
        <is>
          <t>EL07</t>
        </is>
      </c>
      <c r="C90" s="8" t="n">
        <v>364422</v>
      </c>
      <c r="D90" s="4" t="inlineStr">
        <is>
          <t>Supported</t>
        </is>
      </c>
      <c r="E90" s="5" t="inlineStr">
        <is>
          <t>EV-0135; EV-0136</t>
        </is>
      </c>
      <c r="F90" s="4" t="inlineStr">
        <is>
          <t>High</t>
        </is>
      </c>
      <c r="G90" s="4" t="inlineStr">
        <is>
          <t>Signed vote margin</t>
        </is>
      </c>
      <c r="H90" s="4" t="inlineStr">
        <is>
          <t>Recorded fact</t>
        </is>
      </c>
      <c r="I90" s="4" t="inlineStr">
        <is>
          <t>S006; S043</t>
        </is>
      </c>
      <c r="J90" s="5" t="inlineStr">
        <is>
          <t>All citations</t>
        </is>
      </c>
      <c r="K90" s="4" t="inlineStr"/>
      <c r="L90" s="4" t="inlineStr">
        <is>
          <t>Share uses ECI total polled, 1086459: 59.59%. Election-night 59.69% uses 1084653 counted votes including NOTA. Relinquished effective 18 June 2024.</t>
        </is>
      </c>
      <c r="M90" s="4" t="inlineStr">
        <is>
          <t>Elections</t>
        </is>
      </c>
    </row>
    <row r="91" ht="66" customHeight="1">
      <c r="A91" s="6" t="inlineStr">
        <is>
          <t>C-EL07-06</t>
        </is>
      </c>
      <c r="B91" s="7" t="inlineStr">
        <is>
          <t>EL07</t>
        </is>
      </c>
      <c r="C91" s="9" t="n">
        <v>0.5959221654935897</v>
      </c>
      <c r="D91" s="6" t="inlineStr">
        <is>
          <t>Supported</t>
        </is>
      </c>
      <c r="E91" s="7" t="inlineStr">
        <is>
          <t>EV-0137; EV-0138</t>
        </is>
      </c>
      <c r="F91" s="6" t="inlineStr">
        <is>
          <t>High</t>
        </is>
      </c>
      <c r="G91" s="6" t="inlineStr">
        <is>
          <t>Vote share</t>
        </is>
      </c>
      <c r="H91" s="6" t="inlineStr">
        <is>
          <t>Recorded fact</t>
        </is>
      </c>
      <c r="I91" s="6" t="inlineStr">
        <is>
          <t>S006; S043</t>
        </is>
      </c>
      <c r="J91" s="7" t="inlineStr">
        <is>
          <t>All citations</t>
        </is>
      </c>
      <c r="K91" s="6" t="inlineStr"/>
      <c r="L91" s="6" t="inlineStr">
        <is>
          <t>Share uses ECI total polled, 1086459: 59.59%. Election-night 59.69% uses 1084653 counted votes including NOTA. Relinquished effective 18 June 2024.</t>
        </is>
      </c>
      <c r="M91" s="6" t="inlineStr">
        <is>
          <t>Elections</t>
        </is>
      </c>
    </row>
    <row r="92" ht="52" customHeight="1">
      <c r="A92" s="4" t="inlineStr">
        <is>
          <t>C-OF01-01</t>
        </is>
      </c>
      <c r="B92" s="5" t="inlineStr">
        <is>
          <t>OF01</t>
        </is>
      </c>
      <c r="C92" s="4" t="inlineStr">
        <is>
          <t>First elected term for INC; constituency inherited as a party stronghold, with candidature validated by election.</t>
        </is>
      </c>
      <c r="D92" s="4" t="inlineStr">
        <is>
          <t>Supported</t>
        </is>
      </c>
      <c r="E92" s="5" t="inlineStr">
        <is>
          <t>EV-0139; EV-0140</t>
        </is>
      </c>
      <c r="F92" s="4" t="inlineStr">
        <is>
          <t>Normal</t>
        </is>
      </c>
      <c r="G92" s="4" t="inlineStr">
        <is>
          <t>Finding</t>
        </is>
      </c>
      <c r="H92" s="4" t="inlineStr">
        <is>
          <t>Recorded fact</t>
        </is>
      </c>
      <c r="I92" s="4" t="inlineStr">
        <is>
          <t>S004; S009</t>
        </is>
      </c>
      <c r="J92" s="5" t="inlineStr">
        <is>
          <t>All citations</t>
        </is>
      </c>
      <c r="K92" s="4" t="inlineStr"/>
      <c r="L92" s="4" t="inlineStr">
        <is>
          <t>Statement checked against indicated passage(s).</t>
        </is>
      </c>
      <c r="M92" s="4" t="inlineStr">
        <is>
          <t>Offices &amp; Party</t>
        </is>
      </c>
    </row>
    <row r="93" ht="44" customHeight="1">
      <c r="A93" s="6" t="inlineStr">
        <is>
          <t>C-OF02-01</t>
        </is>
      </c>
      <c r="B93" s="7" t="inlineStr">
        <is>
          <t>OF02</t>
        </is>
      </c>
      <c r="C93" s="6" t="inlineStr">
        <is>
          <t>Second elected term, following the 2009 Amethi victory.</t>
        </is>
      </c>
      <c r="D93" s="6" t="inlineStr">
        <is>
          <t>Supported</t>
        </is>
      </c>
      <c r="E93" s="7" t="inlineStr">
        <is>
          <t>EV-0141; EV-0142</t>
        </is>
      </c>
      <c r="F93" s="6" t="inlineStr">
        <is>
          <t>Normal</t>
        </is>
      </c>
      <c r="G93" s="6" t="inlineStr">
        <is>
          <t>Finding</t>
        </is>
      </c>
      <c r="H93" s="6" t="inlineStr">
        <is>
          <t>Recorded fact</t>
        </is>
      </c>
      <c r="I93" s="6" t="inlineStr">
        <is>
          <t>S004; S008</t>
        </is>
      </c>
      <c r="J93" s="7" t="inlineStr">
        <is>
          <t>All citations</t>
        </is>
      </c>
      <c r="K93" s="6" t="inlineStr"/>
      <c r="L93" s="6" t="inlineStr">
        <is>
          <t>Statement checked against indicated passage(s).</t>
        </is>
      </c>
      <c r="M93" s="6" t="inlineStr">
        <is>
          <t>Offices &amp; Party</t>
        </is>
      </c>
    </row>
    <row r="94" ht="44" customHeight="1">
      <c r="A94" s="4" t="inlineStr">
        <is>
          <t>C-OF03-01</t>
        </is>
      </c>
      <c r="B94" s="5" t="inlineStr">
        <is>
          <t>OF03</t>
        </is>
      </c>
      <c r="C94" s="4" t="inlineStr">
        <is>
          <t>Third elected term; lost the seat in the 2019 election.</t>
        </is>
      </c>
      <c r="D94" s="4" t="inlineStr">
        <is>
          <t>Supported</t>
        </is>
      </c>
      <c r="E94" s="5" t="inlineStr">
        <is>
          <t>EV-0143; EV-0144; EV-0145</t>
        </is>
      </c>
      <c r="F94" s="4" t="inlineStr">
        <is>
          <t>Normal</t>
        </is>
      </c>
      <c r="G94" s="4" t="inlineStr">
        <is>
          <t>Finding</t>
        </is>
      </c>
      <c r="H94" s="4" t="inlineStr">
        <is>
          <t>Recorded fact</t>
        </is>
      </c>
      <c r="I94" s="4" t="inlineStr">
        <is>
          <t>S004; S007; S008</t>
        </is>
      </c>
      <c r="J94" s="5" t="inlineStr">
        <is>
          <t>All citations</t>
        </is>
      </c>
      <c r="K94" s="4" t="inlineStr"/>
      <c r="L94" s="4" t="inlineStr">
        <is>
          <t>Statement checked against indicated passage(s).</t>
        </is>
      </c>
      <c r="M94" s="4" t="inlineStr">
        <is>
          <t>Offices &amp; Party</t>
        </is>
      </c>
    </row>
    <row r="95" ht="52" customHeight="1">
      <c r="A95" s="6" t="inlineStr">
        <is>
          <t>C-OF04-01</t>
        </is>
      </c>
      <c r="B95" s="7" t="inlineStr">
        <is>
          <t>OF04</t>
        </is>
      </c>
      <c r="C95" s="6" t="inlineStr">
        <is>
          <t>Elected from Wayanad in 2019; disqualified effective 23 March 2023 after the defamation conviction.</t>
        </is>
      </c>
      <c r="D95" s="6" t="inlineStr">
        <is>
          <t>Supported</t>
        </is>
      </c>
      <c r="E95" s="7" t="inlineStr">
        <is>
          <t>EV-0146; EV-0147</t>
        </is>
      </c>
      <c r="F95" s="6" t="inlineStr">
        <is>
          <t>Normal</t>
        </is>
      </c>
      <c r="G95" s="6" t="inlineStr">
        <is>
          <t>Finding</t>
        </is>
      </c>
      <c r="H95" s="6" t="inlineStr">
        <is>
          <t>Recorded fact</t>
        </is>
      </c>
      <c r="I95" s="6" t="inlineStr">
        <is>
          <t>S042; S011</t>
        </is>
      </c>
      <c r="J95" s="7" t="inlineStr">
        <is>
          <t>All citations</t>
        </is>
      </c>
      <c r="K95" s="6" t="inlineStr"/>
      <c r="L95" s="6" t="inlineStr">
        <is>
          <t>Statement checked against indicated passage(s).</t>
        </is>
      </c>
      <c r="M95" s="6" t="inlineStr">
        <is>
          <t>Offices &amp; Party</t>
        </is>
      </c>
    </row>
    <row r="96" ht="44" customHeight="1">
      <c r="A96" s="4" t="inlineStr">
        <is>
          <t>C-OF04-02</t>
        </is>
      </c>
      <c r="B96" s="5" t="inlineStr">
        <is>
          <t>OF04</t>
        </is>
      </c>
      <c r="C96" s="4" t="inlineStr">
        <is>
          <t>2019-05-23</t>
        </is>
      </c>
      <c r="D96" s="4" t="inlineStr">
        <is>
          <t>Supported</t>
        </is>
      </c>
      <c r="E96" s="5" t="inlineStr">
        <is>
          <t>EV-0148; EV-0149</t>
        </is>
      </c>
      <c r="F96" s="4" t="inlineStr">
        <is>
          <t>Normal</t>
        </is>
      </c>
      <c r="G96" s="4" t="inlineStr">
        <is>
          <t>Start date</t>
        </is>
      </c>
      <c r="H96" s="4" t="inlineStr">
        <is>
          <t>Recorded fact</t>
        </is>
      </c>
      <c r="I96" s="4" t="inlineStr">
        <is>
          <t>S042; S011</t>
        </is>
      </c>
      <c r="J96" s="5" t="inlineStr">
        <is>
          <t>All citations</t>
        </is>
      </c>
      <c r="K96" s="4" t="inlineStr"/>
      <c r="L96" s="4" t="inlineStr">
        <is>
          <t>Statement checked against indicated passage(s).</t>
        </is>
      </c>
      <c r="M96" s="4" t="inlineStr">
        <is>
          <t>Offices &amp; Party</t>
        </is>
      </c>
    </row>
    <row r="97" ht="44" customHeight="1">
      <c r="A97" s="6" t="inlineStr">
        <is>
          <t>C-OF04-03</t>
        </is>
      </c>
      <c r="B97" s="7" t="inlineStr">
        <is>
          <t>OF04</t>
        </is>
      </c>
      <c r="C97" s="6" t="inlineStr">
        <is>
          <t>2023-03-23</t>
        </is>
      </c>
      <c r="D97" s="6" t="inlineStr">
        <is>
          <t>Supported</t>
        </is>
      </c>
      <c r="E97" s="7" t="inlineStr">
        <is>
          <t>EV-0150; EV-0151</t>
        </is>
      </c>
      <c r="F97" s="6" t="inlineStr">
        <is>
          <t>Normal</t>
        </is>
      </c>
      <c r="G97" s="6" t="inlineStr">
        <is>
          <t>End date</t>
        </is>
      </c>
      <c r="H97" s="6" t="inlineStr">
        <is>
          <t>Recorded fact</t>
        </is>
      </c>
      <c r="I97" s="6" t="inlineStr">
        <is>
          <t>S042; S011</t>
        </is>
      </c>
      <c r="J97" s="7" t="inlineStr">
        <is>
          <t>All citations</t>
        </is>
      </c>
      <c r="K97" s="6" t="inlineStr"/>
      <c r="L97" s="6" t="inlineStr">
        <is>
          <t>Statement checked against indicated passage(s).</t>
        </is>
      </c>
      <c r="M97" s="6" t="inlineStr">
        <is>
          <t>Offices &amp; Party</t>
        </is>
      </c>
    </row>
    <row r="98" ht="44" customHeight="1">
      <c r="A98" s="4" t="inlineStr">
        <is>
          <t>C-OF05-01</t>
        </is>
      </c>
      <c r="B98" s="5" t="inlineStr">
        <is>
          <t>OF05</t>
        </is>
      </c>
      <c r="C98" s="4" t="inlineStr">
        <is>
          <t>Membership restored after the conviction stay; PRS records term ending 5 June 2024.</t>
        </is>
      </c>
      <c r="D98" s="4" t="inlineStr">
        <is>
          <t>Supported</t>
        </is>
      </c>
      <c r="E98" s="5" t="inlineStr">
        <is>
          <t>EV-0152; EV-0153</t>
        </is>
      </c>
      <c r="F98" s="4" t="inlineStr">
        <is>
          <t>Normal</t>
        </is>
      </c>
      <c r="G98" s="4" t="inlineStr">
        <is>
          <t>Finding</t>
        </is>
      </c>
      <c r="H98" s="4" t="inlineStr">
        <is>
          <t>Recorded fact</t>
        </is>
      </c>
      <c r="I98" s="4" t="inlineStr">
        <is>
          <t>S011; S042</t>
        </is>
      </c>
      <c r="J98" s="5" t="inlineStr">
        <is>
          <t>All citations</t>
        </is>
      </c>
      <c r="K98" s="4" t="inlineStr"/>
      <c r="L98" s="4" t="inlineStr">
        <is>
          <t>Statement checked against indicated passage(s).</t>
        </is>
      </c>
      <c r="M98" s="4" t="inlineStr">
        <is>
          <t>Offices &amp; Party</t>
        </is>
      </c>
    </row>
    <row r="99" ht="44" customHeight="1">
      <c r="A99" s="6" t="inlineStr">
        <is>
          <t>C-OF05-02</t>
        </is>
      </c>
      <c r="B99" s="7" t="inlineStr">
        <is>
          <t>OF05</t>
        </is>
      </c>
      <c r="C99" s="6" t="inlineStr">
        <is>
          <t>2023-08-07</t>
        </is>
      </c>
      <c r="D99" s="6" t="inlineStr">
        <is>
          <t>Supported</t>
        </is>
      </c>
      <c r="E99" s="7" t="inlineStr">
        <is>
          <t>EV-0154; EV-0155</t>
        </is>
      </c>
      <c r="F99" s="6" t="inlineStr">
        <is>
          <t>Normal</t>
        </is>
      </c>
      <c r="G99" s="6" t="inlineStr">
        <is>
          <t>Start date</t>
        </is>
      </c>
      <c r="H99" s="6" t="inlineStr">
        <is>
          <t>Recorded fact</t>
        </is>
      </c>
      <c r="I99" s="6" t="inlineStr">
        <is>
          <t>S011; S042</t>
        </is>
      </c>
      <c r="J99" s="7" t="inlineStr">
        <is>
          <t>All citations</t>
        </is>
      </c>
      <c r="K99" s="6" t="inlineStr"/>
      <c r="L99" s="6" t="inlineStr">
        <is>
          <t>Statement checked against indicated passage(s).</t>
        </is>
      </c>
      <c r="M99" s="6" t="inlineStr">
        <is>
          <t>Offices &amp; Party</t>
        </is>
      </c>
    </row>
    <row r="100" ht="44" customHeight="1">
      <c r="A100" s="4" t="inlineStr">
        <is>
          <t>C-OF05-03</t>
        </is>
      </c>
      <c r="B100" s="5" t="inlineStr">
        <is>
          <t>OF05</t>
        </is>
      </c>
      <c r="C100" s="4" t="inlineStr">
        <is>
          <t>2024-06-05</t>
        </is>
      </c>
      <c r="D100" s="4" t="inlineStr">
        <is>
          <t>Supported</t>
        </is>
      </c>
      <c r="E100" s="5" t="inlineStr">
        <is>
          <t>EV-0156; EV-0157</t>
        </is>
      </c>
      <c r="F100" s="4" t="inlineStr">
        <is>
          <t>Normal</t>
        </is>
      </c>
      <c r="G100" s="4" t="inlineStr">
        <is>
          <t>End date</t>
        </is>
      </c>
      <c r="H100" s="4" t="inlineStr">
        <is>
          <t>Recorded fact</t>
        </is>
      </c>
      <c r="I100" s="4" t="inlineStr">
        <is>
          <t>S011; S042</t>
        </is>
      </c>
      <c r="J100" s="5" t="inlineStr">
        <is>
          <t>All citations</t>
        </is>
      </c>
      <c r="K100" s="4" t="inlineStr"/>
      <c r="L100" s="4" t="inlineStr">
        <is>
          <t>Statement checked against indicated passage(s).</t>
        </is>
      </c>
      <c r="M100" s="4" t="inlineStr">
        <is>
          <t>Offices &amp; Party</t>
        </is>
      </c>
    </row>
    <row r="101" ht="44" customHeight="1">
      <c r="A101" s="6" t="inlineStr">
        <is>
          <t>C-OF06-01</t>
        </is>
      </c>
      <c r="B101" s="7" t="inlineStr">
        <is>
          <t>OF06</t>
        </is>
      </c>
      <c r="C101" s="6" t="inlineStr">
        <is>
          <t>Won again but gave up Wayanad effective 18 June before the new House’s oath-taking sessions.</t>
        </is>
      </c>
      <c r="D101" s="6" t="inlineStr">
        <is>
          <t>Supported</t>
        </is>
      </c>
      <c r="E101" s="7" t="inlineStr">
        <is>
          <t>EV-0158; EV-0159</t>
        </is>
      </c>
      <c r="F101" s="6" t="inlineStr">
        <is>
          <t>Normal</t>
        </is>
      </c>
      <c r="G101" s="6" t="inlineStr">
        <is>
          <t>Finding</t>
        </is>
      </c>
      <c r="H101" s="6" t="inlineStr">
        <is>
          <t>Recorded fact</t>
        </is>
      </c>
      <c r="I101" s="6" t="inlineStr">
        <is>
          <t>S006; S043</t>
        </is>
      </c>
      <c r="J101" s="7" t="inlineStr">
        <is>
          <t>All citations</t>
        </is>
      </c>
      <c r="K101" s="6" t="inlineStr"/>
      <c r="L101" s="6" t="inlineStr">
        <is>
          <t>Statement checked against indicated passage(s).</t>
        </is>
      </c>
      <c r="M101" s="6" t="inlineStr">
        <is>
          <t>Offices &amp; Party</t>
        </is>
      </c>
    </row>
    <row r="102" ht="44" customHeight="1">
      <c r="A102" s="4" t="inlineStr">
        <is>
          <t>C-OF06-02</t>
        </is>
      </c>
      <c r="B102" s="5" t="inlineStr">
        <is>
          <t>OF06</t>
        </is>
      </c>
      <c r="C102" s="4" t="inlineStr">
        <is>
          <t>2024-06-18</t>
        </is>
      </c>
      <c r="D102" s="4" t="inlineStr">
        <is>
          <t>Supported</t>
        </is>
      </c>
      <c r="E102" s="5" t="inlineStr">
        <is>
          <t>EV-0160; EV-0161</t>
        </is>
      </c>
      <c r="F102" s="4" t="inlineStr">
        <is>
          <t>Normal</t>
        </is>
      </c>
      <c r="G102" s="4" t="inlineStr">
        <is>
          <t>End date</t>
        </is>
      </c>
      <c r="H102" s="4" t="inlineStr">
        <is>
          <t>Recorded fact</t>
        </is>
      </c>
      <c r="I102" s="4" t="inlineStr">
        <is>
          <t>S006; S043</t>
        </is>
      </c>
      <c r="J102" s="5" t="inlineStr">
        <is>
          <t>All citations</t>
        </is>
      </c>
      <c r="K102" s="4" t="inlineStr"/>
      <c r="L102" s="4" t="inlineStr">
        <is>
          <t>Statement checked against indicated passage(s).</t>
        </is>
      </c>
      <c r="M102" s="4" t="inlineStr">
        <is>
          <t>Offices &amp; Party</t>
        </is>
      </c>
    </row>
    <row r="103" ht="44" customHeight="1">
      <c r="A103" s="6" t="inlineStr">
        <is>
          <t>C-OF07-01</t>
        </is>
      </c>
      <c r="B103" s="7" t="inlineStr">
        <is>
          <t>OF07</t>
        </is>
      </c>
      <c r="C103" s="6" t="inlineStr">
        <is>
          <t>Fifth Lok Sabha term; retained Rae Bareli after winning two seats.</t>
        </is>
      </c>
      <c r="D103" s="6" t="inlineStr">
        <is>
          <t>Supported</t>
        </is>
      </c>
      <c r="E103" s="7" t="inlineStr">
        <is>
          <t>EV-0162; EV-0163</t>
        </is>
      </c>
      <c r="F103" s="6" t="inlineStr">
        <is>
          <t>Normal</t>
        </is>
      </c>
      <c r="G103" s="6" t="inlineStr">
        <is>
          <t>Finding</t>
        </is>
      </c>
      <c r="H103" s="6" t="inlineStr">
        <is>
          <t>Recorded fact</t>
        </is>
      </c>
      <c r="I103" s="6" t="inlineStr">
        <is>
          <t>S003; S043</t>
        </is>
      </c>
      <c r="J103" s="7" t="inlineStr">
        <is>
          <t>All citations</t>
        </is>
      </c>
      <c r="K103" s="6" t="inlineStr"/>
      <c r="L103" s="6" t="inlineStr">
        <is>
          <t>Statement checked against indicated passage(s).</t>
        </is>
      </c>
      <c r="M103" s="6" t="inlineStr">
        <is>
          <t>Offices &amp; Party</t>
        </is>
      </c>
    </row>
    <row r="104" ht="44" customHeight="1">
      <c r="A104" s="4" t="inlineStr">
        <is>
          <t>C-OF07-02</t>
        </is>
      </c>
      <c r="B104" s="5" t="inlineStr">
        <is>
          <t>OF07</t>
        </is>
      </c>
      <c r="C104" s="4" t="inlineStr">
        <is>
          <t>2024-06-09</t>
        </is>
      </c>
      <c r="D104" s="4" t="inlineStr">
        <is>
          <t>Supported</t>
        </is>
      </c>
      <c r="E104" s="5" t="inlineStr">
        <is>
          <t>EV-0164; EV-0165</t>
        </is>
      </c>
      <c r="F104" s="4" t="inlineStr">
        <is>
          <t>Normal</t>
        </is>
      </c>
      <c r="G104" s="4" t="inlineStr">
        <is>
          <t>Start date</t>
        </is>
      </c>
      <c r="H104" s="4" t="inlineStr">
        <is>
          <t>Recorded fact</t>
        </is>
      </c>
      <c r="I104" s="4" t="inlineStr">
        <is>
          <t>S003; S043</t>
        </is>
      </c>
      <c r="J104" s="5" t="inlineStr">
        <is>
          <t>All citations</t>
        </is>
      </c>
      <c r="K104" s="4" t="inlineStr"/>
      <c r="L104" s="4" t="inlineStr">
        <is>
          <t>Statement checked against indicated passage(s).</t>
        </is>
      </c>
      <c r="M104" s="4" t="inlineStr">
        <is>
          <t>Offices &amp; Party</t>
        </is>
      </c>
    </row>
    <row r="105" ht="52" customHeight="1">
      <c r="A105" s="6" t="inlineStr">
        <is>
          <t>C-OF08-01</t>
        </is>
      </c>
      <c r="B105" s="7" t="inlineStr">
        <is>
          <t>OF08</t>
        </is>
      </c>
      <c r="C105" s="6" t="inlineStr">
        <is>
          <t>Formal parliamentary office concurrent with Rae Bareli membership; effective date follows Lok Sabha’s register.</t>
        </is>
      </c>
      <c r="D105" s="6" t="inlineStr">
        <is>
          <t>Supported</t>
        </is>
      </c>
      <c r="E105" s="7" t="inlineStr">
        <is>
          <t>EV-0166; EV-0167</t>
        </is>
      </c>
      <c r="F105" s="6" t="inlineStr">
        <is>
          <t>Normal</t>
        </is>
      </c>
      <c r="G105" s="6" t="inlineStr">
        <is>
          <t>Finding</t>
        </is>
      </c>
      <c r="H105" s="6" t="inlineStr">
        <is>
          <t>Recorded fact</t>
        </is>
      </c>
      <c r="I105" s="6" t="inlineStr">
        <is>
          <t>S002; S003</t>
        </is>
      </c>
      <c r="J105" s="7" t="inlineStr">
        <is>
          <t>All citations</t>
        </is>
      </c>
      <c r="K105" s="6" t="inlineStr"/>
      <c r="L105" s="6" t="inlineStr">
        <is>
          <t>Statement checked against indicated passage(s).</t>
        </is>
      </c>
      <c r="M105" s="6" t="inlineStr">
        <is>
          <t>Offices &amp; Party</t>
        </is>
      </c>
    </row>
    <row r="106" ht="44" customHeight="1">
      <c r="A106" s="4" t="inlineStr">
        <is>
          <t>C-OF08-02</t>
        </is>
      </c>
      <c r="B106" s="5" t="inlineStr">
        <is>
          <t>OF08</t>
        </is>
      </c>
      <c r="C106" s="4" t="inlineStr">
        <is>
          <t>2024-06-09</t>
        </is>
      </c>
      <c r="D106" s="4" t="inlineStr">
        <is>
          <t>Supported</t>
        </is>
      </c>
      <c r="E106" s="5" t="inlineStr">
        <is>
          <t>EV-0168; EV-0169</t>
        </is>
      </c>
      <c r="F106" s="4" t="inlineStr">
        <is>
          <t>Normal</t>
        </is>
      </c>
      <c r="G106" s="4" t="inlineStr">
        <is>
          <t>Start date</t>
        </is>
      </c>
      <c r="H106" s="4" t="inlineStr">
        <is>
          <t>Recorded fact</t>
        </is>
      </c>
      <c r="I106" s="4" t="inlineStr">
        <is>
          <t>S002; S003</t>
        </is>
      </c>
      <c r="J106" s="5" t="inlineStr">
        <is>
          <t>All citations</t>
        </is>
      </c>
      <c r="K106" s="4" t="inlineStr"/>
      <c r="L106" s="4" t="inlineStr">
        <is>
          <t>Statement checked against indicated passage(s).</t>
        </is>
      </c>
      <c r="M106" s="4" t="inlineStr">
        <is>
          <t>Offices &amp; Party</t>
        </is>
      </c>
    </row>
    <row r="107" ht="52" customHeight="1">
      <c r="A107" s="6" t="inlineStr">
        <is>
          <t>C-OF09-01</t>
        </is>
      </c>
      <c r="B107" s="7" t="inlineStr">
        <is>
          <t>OF09</t>
        </is>
      </c>
      <c r="C107" s="6" t="inlineStr">
        <is>
          <t>Party appointment placed the youth and student organisations in his organisational brief. Exact end of each charge not independently established.</t>
        </is>
      </c>
      <c r="D107" s="6" t="inlineStr">
        <is>
          <t>Supported</t>
        </is>
      </c>
      <c r="E107" s="7" t="inlineStr">
        <is>
          <t>EV-0170</t>
        </is>
      </c>
      <c r="F107" s="6" t="inlineStr">
        <is>
          <t>Normal</t>
        </is>
      </c>
      <c r="G107" s="6" t="inlineStr">
        <is>
          <t>Finding</t>
        </is>
      </c>
      <c r="H107" s="6" t="inlineStr">
        <is>
          <t>Recorded fact</t>
        </is>
      </c>
      <c r="I107" s="6" t="inlineStr">
        <is>
          <t>S004</t>
        </is>
      </c>
      <c r="J107" s="7" t="inlineStr">
        <is>
          <t>All citations</t>
        </is>
      </c>
      <c r="K107" s="6" t="inlineStr"/>
      <c r="L107" s="6" t="inlineStr">
        <is>
          <t>Statement checked against indicated passage(s).</t>
        </is>
      </c>
      <c r="M107" s="6" t="inlineStr">
        <is>
          <t>Offices &amp; Party</t>
        </is>
      </c>
    </row>
    <row r="108" ht="44" customHeight="1">
      <c r="A108" s="4" t="inlineStr">
        <is>
          <t>C-OF09-02</t>
        </is>
      </c>
      <c r="B108" s="5" t="inlineStr">
        <is>
          <t>OF09</t>
        </is>
      </c>
      <c r="C108" s="4" t="inlineStr">
        <is>
          <t>2007-09-24</t>
        </is>
      </c>
      <c r="D108" s="4" t="inlineStr">
        <is>
          <t>Supported</t>
        </is>
      </c>
      <c r="E108" s="5" t="inlineStr">
        <is>
          <t>EV-0171</t>
        </is>
      </c>
      <c r="F108" s="4" t="inlineStr">
        <is>
          <t>Normal</t>
        </is>
      </c>
      <c r="G108" s="4" t="inlineStr">
        <is>
          <t>Start date</t>
        </is>
      </c>
      <c r="H108" s="4" t="inlineStr">
        <is>
          <t>Recorded fact</t>
        </is>
      </c>
      <c r="I108" s="4" t="inlineStr">
        <is>
          <t>S004</t>
        </is>
      </c>
      <c r="J108" s="5" t="inlineStr">
        <is>
          <t>All citations</t>
        </is>
      </c>
      <c r="K108" s="4" t="inlineStr"/>
      <c r="L108" s="4" t="inlineStr">
        <is>
          <t>Statement checked against indicated passage(s).</t>
        </is>
      </c>
      <c r="M108" s="4" t="inlineStr">
        <is>
          <t>Offices &amp; Party</t>
        </is>
      </c>
    </row>
    <row r="109" ht="44" customHeight="1">
      <c r="A109" s="6" t="inlineStr">
        <is>
          <t>C-OF10-01</t>
        </is>
      </c>
      <c r="B109" s="7" t="inlineStr">
        <is>
          <t>OF10</t>
        </is>
      </c>
      <c r="C109" s="6" t="inlineStr">
        <is>
          <t>Served as vice-president before taking over the presidency in December 2017.</t>
        </is>
      </c>
      <c r="D109" s="6" t="inlineStr">
        <is>
          <t>Supported</t>
        </is>
      </c>
      <c r="E109" s="7" t="inlineStr">
        <is>
          <t>EV-0172</t>
        </is>
      </c>
      <c r="F109" s="6" t="inlineStr">
        <is>
          <t>Normal</t>
        </is>
      </c>
      <c r="G109" s="6" t="inlineStr">
        <is>
          <t>Finding</t>
        </is>
      </c>
      <c r="H109" s="6" t="inlineStr">
        <is>
          <t>Recorded fact</t>
        </is>
      </c>
      <c r="I109" s="6" t="inlineStr">
        <is>
          <t>S004</t>
        </is>
      </c>
      <c r="J109" s="7" t="inlineStr">
        <is>
          <t>All citations</t>
        </is>
      </c>
      <c r="K109" s="6" t="inlineStr"/>
      <c r="L109" s="6" t="inlineStr">
        <is>
          <t>Statement checked against indicated passage(s).</t>
        </is>
      </c>
      <c r="M109" s="6" t="inlineStr">
        <is>
          <t>Offices &amp; Party</t>
        </is>
      </c>
    </row>
    <row r="110" ht="52" customHeight="1">
      <c r="A110" s="4" t="inlineStr">
        <is>
          <t>C-OF11-01</t>
        </is>
      </c>
      <c r="B110" s="5" t="inlineStr">
        <is>
          <t>OF11</t>
        </is>
      </c>
      <c r="C110" s="4" t="inlineStr">
        <is>
          <t>Resignation offered 25 May 2019 and publicly confirmed 3 July. Party biography dates departure to May; do not erase this distinction.</t>
        </is>
      </c>
      <c r="D110" s="4" t="inlineStr">
        <is>
          <t>Supported</t>
        </is>
      </c>
      <c r="E110" s="5" t="inlineStr">
        <is>
          <t>EV-0173; EV-0174</t>
        </is>
      </c>
      <c r="F110" s="4" t="inlineStr">
        <is>
          <t>Normal</t>
        </is>
      </c>
      <c r="G110" s="4" t="inlineStr">
        <is>
          <t>Finding</t>
        </is>
      </c>
      <c r="H110" s="4" t="inlineStr">
        <is>
          <t>Recorded fact</t>
        </is>
      </c>
      <c r="I110" s="4" t="inlineStr">
        <is>
          <t>S004; S014</t>
        </is>
      </c>
      <c r="J110" s="5" t="inlineStr">
        <is>
          <t>All citations</t>
        </is>
      </c>
      <c r="K110" s="4" t="inlineStr"/>
      <c r="L110" s="4" t="inlineStr">
        <is>
          <t>Statement checked against indicated passage(s).</t>
        </is>
      </c>
      <c r="M110" s="4" t="inlineStr">
        <is>
          <t>Offices &amp; Party</t>
        </is>
      </c>
    </row>
    <row r="111" ht="44" customHeight="1">
      <c r="A111" s="6" t="inlineStr">
        <is>
          <t>C-OF11-02</t>
        </is>
      </c>
      <c r="B111" s="7" t="inlineStr">
        <is>
          <t>OF11</t>
        </is>
      </c>
      <c r="C111" s="6" t="inlineStr">
        <is>
          <t>2017-12-16</t>
        </is>
      </c>
      <c r="D111" s="6" t="inlineStr">
        <is>
          <t>Supported</t>
        </is>
      </c>
      <c r="E111" s="7" t="inlineStr">
        <is>
          <t>EV-0175; EV-0176</t>
        </is>
      </c>
      <c r="F111" s="6" t="inlineStr">
        <is>
          <t>Normal</t>
        </is>
      </c>
      <c r="G111" s="6" t="inlineStr">
        <is>
          <t>Start date</t>
        </is>
      </c>
      <c r="H111" s="6" t="inlineStr">
        <is>
          <t>Recorded fact</t>
        </is>
      </c>
      <c r="I111" s="6" t="inlineStr">
        <is>
          <t>S004; S014</t>
        </is>
      </c>
      <c r="J111" s="7" t="inlineStr">
        <is>
          <t>All citations</t>
        </is>
      </c>
      <c r="K111" s="6" t="inlineStr"/>
      <c r="L111" s="6" t="inlineStr">
        <is>
          <t>Statement checked against indicated passage(s).</t>
        </is>
      </c>
      <c r="M111" s="6" t="inlineStr">
        <is>
          <t>Offices &amp; Party</t>
        </is>
      </c>
    </row>
    <row r="112" ht="66" customHeight="1">
      <c r="A112" s="4" t="inlineStr">
        <is>
          <t>C-OF12-01</t>
        </is>
      </c>
      <c r="B112" s="5" t="inlineStr">
        <is>
          <t>OF12</t>
        </is>
      </c>
      <c r="C112" s="4" t="inlineStr">
        <is>
          <t>Party biography lists Defence, Home Affairs, External Affairs, Human Resource Development and Civil Aviation committee assignments. Detailed start/end dates require the original committee records.</t>
        </is>
      </c>
      <c r="D112" s="4" t="inlineStr">
        <is>
          <t>Supported</t>
        </is>
      </c>
      <c r="E112" s="5" t="inlineStr">
        <is>
          <t>EV-0177</t>
        </is>
      </c>
      <c r="F112" s="4" t="inlineStr">
        <is>
          <t>Normal</t>
        </is>
      </c>
      <c r="G112" s="4" t="inlineStr">
        <is>
          <t>Finding</t>
        </is>
      </c>
      <c r="H112" s="4" t="inlineStr">
        <is>
          <t>Recorded fact</t>
        </is>
      </c>
      <c r="I112" s="4" t="inlineStr">
        <is>
          <t>S004</t>
        </is>
      </c>
      <c r="J112" s="5" t="inlineStr">
        <is>
          <t>All citations</t>
        </is>
      </c>
      <c r="K112" s="4" t="inlineStr"/>
      <c r="L112" s="4" t="inlineStr">
        <is>
          <t>Statement checked against indicated passage(s).</t>
        </is>
      </c>
      <c r="M112" s="4" t="inlineStr">
        <is>
          <t>Offices &amp; Party</t>
        </is>
      </c>
    </row>
    <row r="113" ht="66" customHeight="1">
      <c r="A113" s="6" t="inlineStr">
        <is>
          <t>C-OF13-01</t>
        </is>
      </c>
      <c r="B113" s="7" t="inlineStr">
        <is>
          <t>OF13</t>
        </is>
      </c>
      <c r="C113" s="6" t="inlineStr">
        <is>
          <t>Led public journeys combining political communication, listening and organisational mobilisation; this was a movement role rather than a government ministry.</t>
        </is>
      </c>
      <c r="D113" s="6" t="inlineStr">
        <is>
          <t>Supported</t>
        </is>
      </c>
      <c r="E113" s="7" t="inlineStr">
        <is>
          <t>EV-0178; EV-0179</t>
        </is>
      </c>
      <c r="F113" s="6" t="inlineStr">
        <is>
          <t>Normal</t>
        </is>
      </c>
      <c r="G113" s="6" t="inlineStr">
        <is>
          <t>Finding</t>
        </is>
      </c>
      <c r="H113" s="6" t="inlineStr">
        <is>
          <t>Recorded fact</t>
        </is>
      </c>
      <c r="I113" s="6" t="inlineStr">
        <is>
          <t>S004; S015</t>
        </is>
      </c>
      <c r="J113" s="7" t="inlineStr">
        <is>
          <t>All citations</t>
        </is>
      </c>
      <c r="K113" s="6" t="inlineStr"/>
      <c r="L113" s="6" t="inlineStr">
        <is>
          <t>Statement checked against indicated passage(s).</t>
        </is>
      </c>
      <c r="M113" s="6" t="inlineStr">
        <is>
          <t>Offices &amp; Party</t>
        </is>
      </c>
    </row>
    <row r="114" ht="52" customHeight="1">
      <c r="A114" s="4" t="inlineStr">
        <is>
          <t>C-PG01-01</t>
        </is>
      </c>
      <c r="B114" s="5" t="inlineStr">
        <is>
          <t>PG01</t>
        </is>
      </c>
      <c r="C114" s="4" t="inlineStr">
        <is>
          <t>Introduced elections in IYC/NSUI to replace nominations. Critics reported factionalism; supporters defended wider access.</t>
        </is>
      </c>
      <c r="D114" s="4" t="inlineStr">
        <is>
          <t>Supported</t>
        </is>
      </c>
      <c r="E114" s="5" t="inlineStr">
        <is>
          <t>EV-0180; EV-0181</t>
        </is>
      </c>
      <c r="F114" s="4" t="inlineStr">
        <is>
          <t>Normal</t>
        </is>
      </c>
      <c r="G114" s="4" t="inlineStr">
        <is>
          <t>Finding</t>
        </is>
      </c>
      <c r="H114" s="4" t="inlineStr">
        <is>
          <t>Recorded fact</t>
        </is>
      </c>
      <c r="I114" s="4" t="inlineStr">
        <is>
          <t>S021; S022</t>
        </is>
      </c>
      <c r="J114" s="5" t="inlineStr">
        <is>
          <t>All citations</t>
        </is>
      </c>
      <c r="K114" s="4" t="inlineStr"/>
      <c r="L114" s="4" t="inlineStr">
        <is>
          <t>Statement checked against indicated passage(s).</t>
        </is>
      </c>
      <c r="M114" s="4" t="inlineStr">
        <is>
          <t>Policy &amp; Governance</t>
        </is>
      </c>
    </row>
    <row r="115" ht="52" customHeight="1">
      <c r="A115" s="6" t="inlineStr">
        <is>
          <t>C-PG02-01</t>
        </is>
      </c>
      <c r="B115" s="7" t="inlineStr">
        <is>
          <t>PG02</t>
        </is>
      </c>
      <c r="C115" s="6" t="inlineStr">
        <is>
          <t>Public opposition preceded Cabinet’s decision to withdraw the ordinance proposal and related bill in October 2013.</t>
        </is>
      </c>
      <c r="D115" s="6" t="inlineStr">
        <is>
          <t>Supported</t>
        </is>
      </c>
      <c r="E115" s="7" t="inlineStr">
        <is>
          <t>EV-0182; EV-0183</t>
        </is>
      </c>
      <c r="F115" s="6" t="inlineStr">
        <is>
          <t>Normal</t>
        </is>
      </c>
      <c r="G115" s="6" t="inlineStr">
        <is>
          <t>Finding</t>
        </is>
      </c>
      <c r="H115" s="6" t="inlineStr">
        <is>
          <t>Recorded fact</t>
        </is>
      </c>
      <c r="I115" s="6" t="inlineStr">
        <is>
          <t>S038; S039</t>
        </is>
      </c>
      <c r="J115" s="7" t="inlineStr">
        <is>
          <t>All citations</t>
        </is>
      </c>
      <c r="K115" s="6" t="inlineStr"/>
      <c r="L115" s="6" t="inlineStr">
        <is>
          <t>Statement checked against indicated passage(s).</t>
        </is>
      </c>
      <c r="M115" s="6" t="inlineStr">
        <is>
          <t>Policy &amp; Governance</t>
        </is>
      </c>
    </row>
    <row r="116" ht="52" customHeight="1">
      <c r="A116" s="4" t="inlineStr">
        <is>
          <t>C-PG03-01</t>
        </is>
      </c>
      <c r="B116" s="5" t="inlineStr">
        <is>
          <t>PG03</t>
        </is>
      </c>
      <c r="C116" s="4" t="inlineStr">
        <is>
          <t>Opposed proposed exemptions from consent and social-impact provisions; mobilised both in Parliament and outside it.</t>
        </is>
      </c>
      <c r="D116" s="4" t="inlineStr">
        <is>
          <t>Supported</t>
        </is>
      </c>
      <c r="E116" s="5" t="inlineStr">
        <is>
          <t>EV-0184; EV-0185</t>
        </is>
      </c>
      <c r="F116" s="4" t="inlineStr">
        <is>
          <t>Normal</t>
        </is>
      </c>
      <c r="G116" s="4" t="inlineStr">
        <is>
          <t>Finding</t>
        </is>
      </c>
      <c r="H116" s="4" t="inlineStr">
        <is>
          <t>Recorded fact</t>
        </is>
      </c>
      <c r="I116" s="4" t="inlineStr">
        <is>
          <t>S037; S032</t>
        </is>
      </c>
      <c r="J116" s="5" t="inlineStr">
        <is>
          <t>All citations</t>
        </is>
      </c>
      <c r="K116" s="4" t="inlineStr"/>
      <c r="L116" s="4" t="inlineStr">
        <is>
          <t>Statement checked against indicated passage(s).</t>
        </is>
      </c>
      <c r="M116" s="4" t="inlineStr">
        <is>
          <t>Policy &amp; Governance</t>
        </is>
      </c>
    </row>
    <row r="117" ht="44" customHeight="1">
      <c r="A117" s="6" t="inlineStr">
        <is>
          <t>C-PG04-01</t>
        </is>
      </c>
      <c r="B117" s="7" t="inlineStr">
        <is>
          <t>PG04</t>
        </is>
      </c>
      <c r="C117" s="6" t="inlineStr">
        <is>
          <t>Campaigned in 2019 on a Rs 72000 transfer under NYAY if Congress won power.</t>
        </is>
      </c>
      <c r="D117" s="6" t="inlineStr">
        <is>
          <t>Supported</t>
        </is>
      </c>
      <c r="E117" s="7" t="inlineStr">
        <is>
          <t>EV-0186; EV-0187</t>
        </is>
      </c>
      <c r="F117" s="6" t="inlineStr">
        <is>
          <t>Normal</t>
        </is>
      </c>
      <c r="G117" s="6" t="inlineStr">
        <is>
          <t>Finding</t>
        </is>
      </c>
      <c r="H117" s="6" t="inlineStr">
        <is>
          <t>Attributed position</t>
        </is>
      </c>
      <c r="I117" s="6" t="inlineStr">
        <is>
          <t>S028; S014</t>
        </is>
      </c>
      <c r="J117" s="7" t="inlineStr">
        <is>
          <t>All citations</t>
        </is>
      </c>
      <c r="K117" s="6" t="inlineStr"/>
      <c r="L117" s="6" t="inlineStr">
        <is>
          <t>Statement checked against indicated passage(s).</t>
        </is>
      </c>
      <c r="M117" s="6" t="inlineStr">
        <is>
          <t>Policy &amp; Governance</t>
        </is>
      </c>
    </row>
    <row r="118" ht="66" customHeight="1">
      <c r="A118" s="4" t="inlineStr">
        <is>
          <t>C-PG05-01</t>
        </is>
      </c>
      <c r="B118" s="5" t="inlineStr">
        <is>
          <t>PG05</t>
        </is>
      </c>
      <c r="C118" s="4" t="inlineStr">
        <is>
          <t>Congress’s 2024 platform promised caste enumeration and raising the reservation cap; Gandhi welcomed the government’s 2025 enumeration decision and sought a timetable.</t>
        </is>
      </c>
      <c r="D118" s="4" t="inlineStr">
        <is>
          <t>Supported</t>
        </is>
      </c>
      <c r="E118" s="5" t="inlineStr">
        <is>
          <t>EV-0188; EV-0189; EV-0190</t>
        </is>
      </c>
      <c r="F118" s="4" t="inlineStr">
        <is>
          <t>Normal</t>
        </is>
      </c>
      <c r="G118" s="4" t="inlineStr">
        <is>
          <t>Finding</t>
        </is>
      </c>
      <c r="H118" s="4" t="inlineStr">
        <is>
          <t>Attributed position</t>
        </is>
      </c>
      <c r="I118" s="4" t="inlineStr">
        <is>
          <t>S016; S035; S036</t>
        </is>
      </c>
      <c r="J118" s="5" t="inlineStr">
        <is>
          <t>All citations</t>
        </is>
      </c>
      <c r="K118" s="4" t="inlineStr"/>
      <c r="L118" s="4" t="inlineStr">
        <is>
          <t>Statement checked against indicated passage(s).</t>
        </is>
      </c>
      <c r="M118" s="4" t="inlineStr">
        <is>
          <t>Policy &amp; Governance</t>
        </is>
      </c>
    </row>
    <row r="119" ht="52" customHeight="1">
      <c r="A119" s="6" t="inlineStr">
        <is>
          <t>C-PG06-01</t>
        </is>
      </c>
      <c r="B119" s="7" t="inlineStr">
        <is>
          <t>PG06</t>
        </is>
      </c>
      <c r="C119" s="6" t="inlineStr">
        <is>
          <t>Supported the 2023 women’s reservation bill while calling for an OBC women’s quota and earlier implementation.</t>
        </is>
      </c>
      <c r="D119" s="6" t="inlineStr">
        <is>
          <t>Supported</t>
        </is>
      </c>
      <c r="E119" s="7" t="inlineStr">
        <is>
          <t>EV-0191</t>
        </is>
      </c>
      <c r="F119" s="6" t="inlineStr">
        <is>
          <t>Normal</t>
        </is>
      </c>
      <c r="G119" s="6" t="inlineStr">
        <is>
          <t>Finding</t>
        </is>
      </c>
      <c r="H119" s="6" t="inlineStr">
        <is>
          <t>Attributed position</t>
        </is>
      </c>
      <c r="I119" s="6" t="inlineStr">
        <is>
          <t>S033</t>
        </is>
      </c>
      <c r="J119" s="7" t="inlineStr">
        <is>
          <t>All citations</t>
        </is>
      </c>
      <c r="K119" s="6" t="inlineStr"/>
      <c r="L119" s="6" t="inlineStr">
        <is>
          <t>Statement checked against indicated passage(s).</t>
        </is>
      </c>
      <c r="M119" s="6" t="inlineStr">
        <is>
          <t>Policy &amp; Governance</t>
        </is>
      </c>
    </row>
    <row r="120" ht="52" customHeight="1">
      <c r="A120" s="4" t="inlineStr">
        <is>
          <t>C-PG07-01</t>
        </is>
      </c>
      <c r="B120" s="5" t="inlineStr">
        <is>
          <t>PG07</t>
        </is>
      </c>
      <c r="C120" s="4" t="inlineStr">
        <is>
          <t>Congress proposed Rs 1 lakh annually per poor family, generally paid to its oldest woman, through phased implementation.</t>
        </is>
      </c>
      <c r="D120" s="4" t="inlineStr">
        <is>
          <t>Supported</t>
        </is>
      </c>
      <c r="E120" s="5" t="inlineStr">
        <is>
          <t>EV-0192</t>
        </is>
      </c>
      <c r="F120" s="4" t="inlineStr">
        <is>
          <t>Normal</t>
        </is>
      </c>
      <c r="G120" s="4" t="inlineStr">
        <is>
          <t>Finding</t>
        </is>
      </c>
      <c r="H120" s="4" t="inlineStr">
        <is>
          <t>Attributed position</t>
        </is>
      </c>
      <c r="I120" s="4" t="inlineStr">
        <is>
          <t>S017</t>
        </is>
      </c>
      <c r="J120" s="5" t="inlineStr">
        <is>
          <t>All citations</t>
        </is>
      </c>
      <c r="K120" s="4" t="inlineStr"/>
      <c r="L120" s="4" t="inlineStr">
        <is>
          <t>Statement checked against indicated passage(s).</t>
        </is>
      </c>
      <c r="M120" s="4" t="inlineStr">
        <is>
          <t>Policy &amp; Governance</t>
        </is>
      </c>
    </row>
    <row r="121" ht="52" customHeight="1">
      <c r="A121" s="6" t="inlineStr">
        <is>
          <t>C-PG08-01</t>
        </is>
      </c>
      <c r="B121" s="7" t="inlineStr">
        <is>
          <t>PG08</t>
        </is>
      </c>
      <c r="C121" s="6" t="inlineStr">
        <is>
          <t>Congress proposed paid one-year apprenticeships for qualified under-25s, filling government vacancies and action against paper leaks.</t>
        </is>
      </c>
      <c r="D121" s="6" t="inlineStr">
        <is>
          <t>Supported</t>
        </is>
      </c>
      <c r="E121" s="7" t="inlineStr">
        <is>
          <t>EV-0193</t>
        </is>
      </c>
      <c r="F121" s="6" t="inlineStr">
        <is>
          <t>Normal</t>
        </is>
      </c>
      <c r="G121" s="6" t="inlineStr">
        <is>
          <t>Finding</t>
        </is>
      </c>
      <c r="H121" s="6" t="inlineStr">
        <is>
          <t>Attributed position</t>
        </is>
      </c>
      <c r="I121" s="6" t="inlineStr">
        <is>
          <t>S018</t>
        </is>
      </c>
      <c r="J121" s="7" t="inlineStr">
        <is>
          <t>All citations</t>
        </is>
      </c>
      <c r="K121" s="6" t="inlineStr"/>
      <c r="L121" s="6" t="inlineStr">
        <is>
          <t>Statement checked against indicated passage(s).</t>
        </is>
      </c>
      <c r="M121" s="6" t="inlineStr">
        <is>
          <t>Policy &amp; Governance</t>
        </is>
      </c>
    </row>
    <row r="122" ht="44" customHeight="1">
      <c r="A122" s="4" t="inlineStr">
        <is>
          <t>C-PG09-01</t>
        </is>
      </c>
      <c r="B122" s="5" t="inlineStr">
        <is>
          <t>PG09</t>
        </is>
      </c>
      <c r="C122" s="4" t="inlineStr">
        <is>
          <t>Congress’s manifesto proposed legal guarantees for MSP and statutory status for the CACP.</t>
        </is>
      </c>
      <c r="D122" s="4" t="inlineStr">
        <is>
          <t>Supported</t>
        </is>
      </c>
      <c r="E122" s="5" t="inlineStr">
        <is>
          <t>EV-0194</t>
        </is>
      </c>
      <c r="F122" s="4" t="inlineStr">
        <is>
          <t>Normal</t>
        </is>
      </c>
      <c r="G122" s="4" t="inlineStr">
        <is>
          <t>Finding</t>
        </is>
      </c>
      <c r="H122" s="4" t="inlineStr">
        <is>
          <t>Attributed position</t>
        </is>
      </c>
      <c r="I122" s="4" t="inlineStr">
        <is>
          <t>S019</t>
        </is>
      </c>
      <c r="J122" s="5" t="inlineStr">
        <is>
          <t>All citations</t>
        </is>
      </c>
      <c r="K122" s="4" t="inlineStr"/>
      <c r="L122" s="4" t="inlineStr">
        <is>
          <t>Statement checked against indicated passage(s).</t>
        </is>
      </c>
      <c r="M122" s="4" t="inlineStr">
        <is>
          <t>Policy &amp; Governance</t>
        </is>
      </c>
    </row>
    <row r="123" ht="52" customHeight="1">
      <c r="A123" s="6" t="inlineStr">
        <is>
          <t>C-PG10-01</t>
        </is>
      </c>
      <c r="B123" s="7" t="inlineStr">
        <is>
          <t>PG10</t>
        </is>
      </c>
      <c r="C123" s="6" t="inlineStr">
        <is>
          <t>Congress’s 2024 defence platform proposed scrapping Agnipath and restoring the previous recruitment system.</t>
        </is>
      </c>
      <c r="D123" s="6" t="inlineStr">
        <is>
          <t>Supported</t>
        </is>
      </c>
      <c r="E123" s="7" t="inlineStr">
        <is>
          <t>EV-0195</t>
        </is>
      </c>
      <c r="F123" s="6" t="inlineStr">
        <is>
          <t>Normal</t>
        </is>
      </c>
      <c r="G123" s="6" t="inlineStr">
        <is>
          <t>Finding</t>
        </is>
      </c>
      <c r="H123" s="6" t="inlineStr">
        <is>
          <t>Attributed position</t>
        </is>
      </c>
      <c r="I123" s="6" t="inlineStr">
        <is>
          <t>S020</t>
        </is>
      </c>
      <c r="J123" s="7" t="inlineStr">
        <is>
          <t>All citations</t>
        </is>
      </c>
      <c r="K123" s="6" t="inlineStr"/>
      <c r="L123" s="6" t="inlineStr">
        <is>
          <t>Statement checked against indicated passage(s).</t>
        </is>
      </c>
      <c r="M123" s="6" t="inlineStr">
        <is>
          <t>Policy &amp; Governance</t>
        </is>
      </c>
    </row>
    <row r="124" ht="52" customHeight="1">
      <c r="A124" s="4" t="inlineStr">
        <is>
          <t>C-PG11-01</t>
        </is>
      </c>
      <c r="B124" s="5" t="inlineStr">
        <is>
          <t>PG11</t>
        </is>
      </c>
      <c r="C124" s="4" t="inlineStr">
        <is>
          <t>PRS lists Wayanad railway, farmer-distress and connectivity interventions; later lists calls for rehabilitation following Wayanad landslides.</t>
        </is>
      </c>
      <c r="D124" s="4" t="inlineStr">
        <is>
          <t>Supported</t>
        </is>
      </c>
      <c r="E124" s="5" t="inlineStr">
        <is>
          <t>EV-0196; EV-0197</t>
        </is>
      </c>
      <c r="F124" s="4" t="inlineStr">
        <is>
          <t>Normal</t>
        </is>
      </c>
      <c r="G124" s="4" t="inlineStr">
        <is>
          <t>Finding</t>
        </is>
      </c>
      <c r="H124" s="4" t="inlineStr">
        <is>
          <t>Recorded fact</t>
        </is>
      </c>
      <c r="I124" s="4" t="inlineStr">
        <is>
          <t>S042; S003</t>
        </is>
      </c>
      <c r="J124" s="5" t="inlineStr">
        <is>
          <t>All citations</t>
        </is>
      </c>
      <c r="K124" s="4" t="inlineStr"/>
      <c r="L124" s="4" t="inlineStr">
        <is>
          <t>Statement checked against indicated passage(s).</t>
        </is>
      </c>
      <c r="M124" s="4" t="inlineStr">
        <is>
          <t>Policy &amp; Governance</t>
        </is>
      </c>
    </row>
    <row r="125" ht="52" customHeight="1">
      <c r="A125" s="6" t="inlineStr">
        <is>
          <t>C-PG12-01</t>
        </is>
      </c>
      <c r="B125" s="7" t="inlineStr">
        <is>
          <t>PG12</t>
        </is>
      </c>
      <c r="C125" s="6" t="inlineStr">
        <is>
          <t>PRS records 51% attendance, 8 debates, 99 questions and zero private member bills for 1 June 2019–10 February 2024.</t>
        </is>
      </c>
      <c r="D125" s="6" t="inlineStr">
        <is>
          <t>Supported</t>
        </is>
      </c>
      <c r="E125" s="7" t="inlineStr">
        <is>
          <t>EV-0198</t>
        </is>
      </c>
      <c r="F125" s="6" t="inlineStr">
        <is>
          <t>Normal</t>
        </is>
      </c>
      <c r="G125" s="6" t="inlineStr">
        <is>
          <t>Finding</t>
        </is>
      </c>
      <c r="H125" s="6" t="inlineStr">
        <is>
          <t>Recorded fact</t>
        </is>
      </c>
      <c r="I125" s="6" t="inlineStr">
        <is>
          <t>S042</t>
        </is>
      </c>
      <c r="J125" s="7" t="inlineStr">
        <is>
          <t>All citations</t>
        </is>
      </c>
      <c r="K125" s="6" t="inlineStr"/>
      <c r="L125" s="6" t="inlineStr">
        <is>
          <t>Statement checked against indicated passage(s).</t>
        </is>
      </c>
      <c r="M125" s="6" t="inlineStr">
        <is>
          <t>Policy &amp; Governance</t>
        </is>
      </c>
    </row>
    <row r="126" ht="66" customHeight="1">
      <c r="A126" s="4" t="inlineStr">
        <is>
          <t>C-PG13-01</t>
        </is>
      </c>
      <c r="B126" s="5" t="inlineStr">
        <is>
          <t>PG13</t>
        </is>
      </c>
      <c r="C126" s="4" t="inlineStr">
        <is>
          <t>PRS records 17 debates, 64 questions and zero private member bills for 24 June 2024–13 August 2026. LoP attendance is N/A because he does not sign the register.</t>
        </is>
      </c>
      <c r="D126" s="4" t="inlineStr">
        <is>
          <t>Supported</t>
        </is>
      </c>
      <c r="E126" s="5" t="inlineStr">
        <is>
          <t>EV-0199</t>
        </is>
      </c>
      <c r="F126" s="4" t="inlineStr">
        <is>
          <t>Normal</t>
        </is>
      </c>
      <c r="G126" s="4" t="inlineStr">
        <is>
          <t>Finding</t>
        </is>
      </c>
      <c r="H126" s="4" t="inlineStr">
        <is>
          <t>Recorded fact</t>
        </is>
      </c>
      <c r="I126" s="4" t="inlineStr">
        <is>
          <t>S003</t>
        </is>
      </c>
      <c r="J126" s="5" t="inlineStr">
        <is>
          <t>All citations</t>
        </is>
      </c>
      <c r="K126" s="4" t="inlineStr"/>
      <c r="L126" s="4" t="inlineStr">
        <is>
          <t>Statement checked against indicated passage(s).</t>
        </is>
      </c>
      <c r="M126" s="4" t="inlineStr">
        <is>
          <t>Policy &amp; Governance</t>
        </is>
      </c>
    </row>
    <row r="127" ht="52" customHeight="1">
      <c r="A127" s="6" t="inlineStr">
        <is>
          <t>C-IM01-01</t>
        </is>
      </c>
      <c r="B127" s="7" t="inlineStr">
        <is>
          <t>IM01</t>
        </is>
      </c>
      <c r="C127" s="6" t="inlineStr">
        <is>
          <t>Family name and organisational access assisted entry and leadership succession; opponents used the same background to challenge his credibility.</t>
        </is>
      </c>
      <c r="D127" s="6" t="inlineStr">
        <is>
          <t>Supported</t>
        </is>
      </c>
      <c r="E127" s="7" t="inlineStr">
        <is>
          <t>EV-0200; EV-0201</t>
        </is>
      </c>
      <c r="F127" s="6" t="inlineStr">
        <is>
          <t>Normal</t>
        </is>
      </c>
      <c r="G127" s="6" t="inlineStr">
        <is>
          <t>Finding</t>
        </is>
      </c>
      <c r="H127" s="6" t="inlineStr">
        <is>
          <t>Analysis</t>
        </is>
      </c>
      <c r="I127" s="6" t="inlineStr">
        <is>
          <t>S004; S023</t>
        </is>
      </c>
      <c r="J127" s="7" t="inlineStr">
        <is>
          <t>All citations</t>
        </is>
      </c>
      <c r="K127" s="6" t="inlineStr"/>
      <c r="L127" s="6" t="inlineStr">
        <is>
          <t>Analytical synthesis of cited records; causal limits retained.</t>
        </is>
      </c>
      <c r="M127" s="6" t="inlineStr">
        <is>
          <t>Ideas &amp; Political Method</t>
        </is>
      </c>
    </row>
    <row r="128" ht="66" customHeight="1">
      <c r="A128" s="4" t="inlineStr">
        <is>
          <t>C-IM02-01</t>
        </is>
      </c>
      <c r="B128" s="5" t="inlineStr">
        <is>
          <t>IM02</t>
        </is>
      </c>
      <c r="C128" s="4" t="inlineStr">
        <is>
          <t>Internal youth elections offered an alternative to nomination, but internal critics saw factional and financial competition. Democratisation is an objective and a disputed outcome.</t>
        </is>
      </c>
      <c r="D128" s="4" t="inlineStr">
        <is>
          <t>Supported</t>
        </is>
      </c>
      <c r="E128" s="5" t="inlineStr">
        <is>
          <t>EV-0202; EV-0203</t>
        </is>
      </c>
      <c r="F128" s="4" t="inlineStr">
        <is>
          <t>Normal</t>
        </is>
      </c>
      <c r="G128" s="4" t="inlineStr">
        <is>
          <t>Finding</t>
        </is>
      </c>
      <c r="H128" s="4" t="inlineStr">
        <is>
          <t>Analysis</t>
        </is>
      </c>
      <c r="I128" s="4" t="inlineStr">
        <is>
          <t>S021; S022</t>
        </is>
      </c>
      <c r="J128" s="5" t="inlineStr">
        <is>
          <t>All citations</t>
        </is>
      </c>
      <c r="K128" s="4" t="inlineStr"/>
      <c r="L128" s="4" t="inlineStr">
        <is>
          <t>Analytical synthesis of cited records; causal limits retained.</t>
        </is>
      </c>
      <c r="M128" s="4" t="inlineStr">
        <is>
          <t>Ideas &amp; Political Method</t>
        </is>
      </c>
    </row>
    <row r="129" ht="66" customHeight="1">
      <c r="A129" s="6" t="inlineStr">
        <is>
          <t>C-IM03-01</t>
        </is>
      </c>
      <c r="B129" s="7" t="inlineStr">
        <is>
          <t>IM03</t>
        </is>
      </c>
      <c r="C129" s="6" t="inlineStr">
        <is>
          <t>The 2013 ordinance episode displayed influence over a Congress-led government while exposing tension between party leadership and the prime minister.</t>
        </is>
      </c>
      <c r="D129" s="6" t="inlineStr">
        <is>
          <t>Supported</t>
        </is>
      </c>
      <c r="E129" s="7" t="inlineStr">
        <is>
          <t>EV-0204; EV-0205</t>
        </is>
      </c>
      <c r="F129" s="6" t="inlineStr">
        <is>
          <t>Normal</t>
        </is>
      </c>
      <c r="G129" s="6" t="inlineStr">
        <is>
          <t>Finding</t>
        </is>
      </c>
      <c r="H129" s="6" t="inlineStr">
        <is>
          <t>Analysis</t>
        </is>
      </c>
      <c r="I129" s="6" t="inlineStr">
        <is>
          <t>S038; S039</t>
        </is>
      </c>
      <c r="J129" s="7" t="inlineStr">
        <is>
          <t>All citations</t>
        </is>
      </c>
      <c r="K129" s="6" t="inlineStr"/>
      <c r="L129" s="6" t="inlineStr">
        <is>
          <t>Analytical synthesis of cited records; causal limits retained.</t>
        </is>
      </c>
      <c r="M129" s="6" t="inlineStr">
        <is>
          <t>Ideas &amp; Political Method</t>
        </is>
      </c>
    </row>
    <row r="130" ht="52" customHeight="1">
      <c r="A130" s="4" t="inlineStr">
        <is>
          <t>C-IM04-01</t>
        </is>
      </c>
      <c r="B130" s="5" t="inlineStr">
        <is>
          <t>IM04</t>
        </is>
      </c>
      <c r="C130" s="4" t="inlineStr">
        <is>
          <t>Land-law opposition and NYAY linked criticism of concentrated economic power to a proposed redistributive alternative.</t>
        </is>
      </c>
      <c r="D130" s="4" t="inlineStr">
        <is>
          <t>Supported</t>
        </is>
      </c>
      <c r="E130" s="5" t="inlineStr">
        <is>
          <t>EV-0206; EV-0207</t>
        </is>
      </c>
      <c r="F130" s="4" t="inlineStr">
        <is>
          <t>Normal</t>
        </is>
      </c>
      <c r="G130" s="4" t="inlineStr">
        <is>
          <t>Finding</t>
        </is>
      </c>
      <c r="H130" s="4" t="inlineStr">
        <is>
          <t>Analysis</t>
        </is>
      </c>
      <c r="I130" s="4" t="inlineStr">
        <is>
          <t>S037; S028</t>
        </is>
      </c>
      <c r="J130" s="5" t="inlineStr">
        <is>
          <t>All citations</t>
        </is>
      </c>
      <c r="K130" s="4" t="inlineStr"/>
      <c r="L130" s="4" t="inlineStr">
        <is>
          <t>Analytical synthesis of cited records; causal limits retained.</t>
        </is>
      </c>
      <c r="M130" s="4" t="inlineStr">
        <is>
          <t>Ideas &amp; Political Method</t>
        </is>
      </c>
    </row>
    <row r="131" ht="66" customHeight="1">
      <c r="A131" s="6" t="inlineStr">
        <is>
          <t>C-IM05-01</t>
        </is>
      </c>
      <c r="B131" s="7" t="inlineStr">
        <is>
          <t>IM05</t>
        </is>
      </c>
      <c r="C131" s="6" t="inlineStr">
        <is>
          <t>His 2019 letter accepted personal electoral responsibility and called for wider accountability; it simultaneously alleged unequal institutional conditions.</t>
        </is>
      </c>
      <c r="D131" s="6" t="inlineStr">
        <is>
          <t>Supported</t>
        </is>
      </c>
      <c r="E131" s="7" t="inlineStr">
        <is>
          <t>EV-0208</t>
        </is>
      </c>
      <c r="F131" s="6" t="inlineStr">
        <is>
          <t>Normal</t>
        </is>
      </c>
      <c r="G131" s="6" t="inlineStr">
        <is>
          <t>Finding</t>
        </is>
      </c>
      <c r="H131" s="6" t="inlineStr">
        <is>
          <t>Analysis</t>
        </is>
      </c>
      <c r="I131" s="6" t="inlineStr">
        <is>
          <t>S014</t>
        </is>
      </c>
      <c r="J131" s="7" t="inlineStr">
        <is>
          <t>All citations</t>
        </is>
      </c>
      <c r="K131" s="6" t="inlineStr"/>
      <c r="L131" s="6" t="inlineStr">
        <is>
          <t>Analytical synthesis of cited records; causal limits retained.</t>
        </is>
      </c>
      <c r="M131" s="6" t="inlineStr">
        <is>
          <t>Ideas &amp; Political Method</t>
        </is>
      </c>
    </row>
    <row r="132" ht="66" customHeight="1">
      <c r="A132" s="4" t="inlineStr">
        <is>
          <t>C-IM06-01</t>
        </is>
      </c>
      <c r="B132" s="5" t="inlineStr">
        <is>
          <t>IM06</t>
        </is>
      </c>
      <c r="C132" s="4" t="inlineStr">
        <is>
          <t>The yatras combined direct contact, repeated public appearances and a unity message. Image renewal is documented; the marches’ independent electoral effect is not isolated.</t>
        </is>
      </c>
      <c r="D132" s="4" t="inlineStr">
        <is>
          <t>Supported</t>
        </is>
      </c>
      <c r="E132" s="5" t="inlineStr">
        <is>
          <t>EV-0209; EV-0210</t>
        </is>
      </c>
      <c r="F132" s="4" t="inlineStr">
        <is>
          <t>Normal</t>
        </is>
      </c>
      <c r="G132" s="4" t="inlineStr">
        <is>
          <t>Finding</t>
        </is>
      </c>
      <c r="H132" s="4" t="inlineStr">
        <is>
          <t>Analysis</t>
        </is>
      </c>
      <c r="I132" s="4" t="inlineStr">
        <is>
          <t>S015; S023</t>
        </is>
      </c>
      <c r="J132" s="5" t="inlineStr">
        <is>
          <t>All citations</t>
        </is>
      </c>
      <c r="K132" s="4" t="inlineStr"/>
      <c r="L132" s="4" t="inlineStr">
        <is>
          <t>Analytical synthesis of cited records; causal limits retained.</t>
        </is>
      </c>
      <c r="M132" s="4" t="inlineStr">
        <is>
          <t>Ideas &amp; Political Method</t>
        </is>
      </c>
    </row>
    <row r="133" ht="66" customHeight="1">
      <c r="A133" s="6" t="inlineStr">
        <is>
          <t>C-IM07-01</t>
        </is>
      </c>
      <c r="B133" s="7" t="inlineStr">
        <is>
          <t>IM07</t>
        </is>
      </c>
      <c r="C133" s="6" t="inlineStr">
        <is>
          <t>Advocacy increasingly connected representation data, caste enumeration and affirmative action. His demands intersected with longstanding regional-party agendas.</t>
        </is>
      </c>
      <c r="D133" s="6" t="inlineStr">
        <is>
          <t>Supported</t>
        </is>
      </c>
      <c r="E133" s="7" t="inlineStr">
        <is>
          <t>EV-0211; EV-0212</t>
        </is>
      </c>
      <c r="F133" s="6" t="inlineStr">
        <is>
          <t>Normal</t>
        </is>
      </c>
      <c r="G133" s="6" t="inlineStr">
        <is>
          <t>Finding</t>
        </is>
      </c>
      <c r="H133" s="6" t="inlineStr">
        <is>
          <t>Analysis</t>
        </is>
      </c>
      <c r="I133" s="6" t="inlineStr">
        <is>
          <t>S016; S035</t>
        </is>
      </c>
      <c r="J133" s="7" t="inlineStr">
        <is>
          <t>All citations</t>
        </is>
      </c>
      <c r="K133" s="6" t="inlineStr"/>
      <c r="L133" s="6" t="inlineStr">
        <is>
          <t>Analytical synthesis of cited records; causal limits retained.</t>
        </is>
      </c>
      <c r="M133" s="6" t="inlineStr">
        <is>
          <t>Ideas &amp; Political Method</t>
        </is>
      </c>
    </row>
    <row r="134" ht="52" customHeight="1">
      <c r="A134" s="4" t="inlineStr">
        <is>
          <t>C-IM08-01</t>
        </is>
      </c>
      <c r="B134" s="5" t="inlineStr">
        <is>
          <t>IM08</t>
        </is>
      </c>
      <c r="C134" s="4" t="inlineStr">
        <is>
          <t>Congress’s platform defends religious and linguistic minority rights; Gandhi’s march speeches framed violence and exclusion as political problems.</t>
        </is>
      </c>
      <c r="D134" s="4" t="inlineStr">
        <is>
          <t>Supported</t>
        </is>
      </c>
      <c r="E134" s="5" t="inlineStr">
        <is>
          <t>EV-0213; EV-0214</t>
        </is>
      </c>
      <c r="F134" s="4" t="inlineStr">
        <is>
          <t>Normal</t>
        </is>
      </c>
      <c r="G134" s="4" t="inlineStr">
        <is>
          <t>Finding</t>
        </is>
      </c>
      <c r="H134" s="4" t="inlineStr">
        <is>
          <t>Analysis</t>
        </is>
      </c>
      <c r="I134" s="4" t="inlineStr">
        <is>
          <t>S016; S015</t>
        </is>
      </c>
      <c r="J134" s="5" t="inlineStr">
        <is>
          <t>All citations</t>
        </is>
      </c>
      <c r="K134" s="4" t="inlineStr"/>
      <c r="L134" s="4" t="inlineStr">
        <is>
          <t>Analytical synthesis of cited records; causal limits retained.</t>
        </is>
      </c>
      <c r="M134" s="4" t="inlineStr">
        <is>
          <t>Ideas &amp; Political Method</t>
        </is>
      </c>
    </row>
    <row r="135" ht="66" customHeight="1">
      <c r="A135" s="6" t="inlineStr">
        <is>
          <t>C-IM09-01</t>
        </is>
      </c>
      <c r="B135" s="7" t="inlineStr">
        <is>
          <t>IM09</t>
        </is>
      </c>
      <c r="C135" s="6" t="inlineStr">
        <is>
          <t>In 2024 Gandhi campaigned within a multi-party opposition while Kharge headed Congress. Carnegie cautioned that INDIA lacked a common leadership and organisational structure.</t>
        </is>
      </c>
      <c r="D135" s="6" t="inlineStr">
        <is>
          <t>Supported</t>
        </is>
      </c>
      <c r="E135" s="7" t="inlineStr">
        <is>
          <t>EV-0215; EV-0216</t>
        </is>
      </c>
      <c r="F135" s="6" t="inlineStr">
        <is>
          <t>Normal</t>
        </is>
      </c>
      <c r="G135" s="6" t="inlineStr">
        <is>
          <t>Finding</t>
        </is>
      </c>
      <c r="H135" s="6" t="inlineStr">
        <is>
          <t>Analysis</t>
        </is>
      </c>
      <c r="I135" s="6" t="inlineStr">
        <is>
          <t>S023; S024</t>
        </is>
      </c>
      <c r="J135" s="7" t="inlineStr">
        <is>
          <t>All citations</t>
        </is>
      </c>
      <c r="K135" s="6" t="inlineStr"/>
      <c r="L135" s="6" t="inlineStr">
        <is>
          <t>Analytical synthesis of cited records; causal limits retained.</t>
        </is>
      </c>
      <c r="M135" s="6" t="inlineStr">
        <is>
          <t>Ideas &amp; Political Method</t>
        </is>
      </c>
    </row>
    <row r="136" ht="66" customHeight="1">
      <c r="A136" s="4" t="inlineStr">
        <is>
          <t>C-IM10-01</t>
        </is>
      </c>
      <c r="B136" s="5" t="inlineStr">
        <is>
          <t>IM10</t>
        </is>
      </c>
      <c r="C136" s="4" t="inlineStr">
        <is>
          <t>Revati Laul interpreted T-shirt/endurance discussion as masculine political messaging. This is a local, attributed interpretation, not evidence that all voters responded that way.</t>
        </is>
      </c>
      <c r="D136" s="4" t="inlineStr">
        <is>
          <t>Supported</t>
        </is>
      </c>
      <c r="E136" s="5" t="inlineStr">
        <is>
          <t>EV-0217</t>
        </is>
      </c>
      <c r="F136" s="4" t="inlineStr">
        <is>
          <t>Normal</t>
        </is>
      </c>
      <c r="G136" s="4" t="inlineStr">
        <is>
          <t>Finding</t>
        </is>
      </c>
      <c r="H136" s="4" t="inlineStr">
        <is>
          <t>Analysis</t>
        </is>
      </c>
      <c r="I136" s="4" t="inlineStr">
        <is>
          <t>S025</t>
        </is>
      </c>
      <c r="J136" s="5" t="inlineStr">
        <is>
          <t>All citations</t>
        </is>
      </c>
      <c r="K136" s="4" t="inlineStr"/>
      <c r="L136" s="4" t="inlineStr">
        <is>
          <t>Analytical synthesis of cited records; causal limits retained.</t>
        </is>
      </c>
      <c r="M136" s="4" t="inlineStr">
        <is>
          <t>Ideas &amp; Political Method</t>
        </is>
      </c>
    </row>
    <row r="137" ht="66" customHeight="1">
      <c r="A137" s="6" t="inlineStr">
        <is>
          <t>C-IM11-01</t>
        </is>
      </c>
      <c r="B137" s="7" t="inlineStr">
        <is>
          <t>IM11</t>
        </is>
      </c>
      <c r="C137" s="6" t="inlineStr">
        <is>
          <t>From 2025 through September 2026 he used press conferences and roll data to allege manipulation. Election authorities rejected his broad charges; underlying national claims remain contested.</t>
        </is>
      </c>
      <c r="D137" s="6" t="inlineStr">
        <is>
          <t>Supported</t>
        </is>
      </c>
      <c r="E137" s="7" t="inlineStr">
        <is>
          <t>EV-0218; EV-0219</t>
        </is>
      </c>
      <c r="F137" s="6" t="inlineStr">
        <is>
          <t>Normal</t>
        </is>
      </c>
      <c r="G137" s="6" t="inlineStr">
        <is>
          <t>Finding</t>
        </is>
      </c>
      <c r="H137" s="6" t="inlineStr">
        <is>
          <t>Analysis</t>
        </is>
      </c>
      <c r="I137" s="6" t="inlineStr">
        <is>
          <t>S031; S030</t>
        </is>
      </c>
      <c r="J137" s="7" t="inlineStr">
        <is>
          <t>All citations</t>
        </is>
      </c>
      <c r="K137" s="6" t="inlineStr"/>
      <c r="L137" s="6" t="inlineStr">
        <is>
          <t>Analytical synthesis of cited records; causal limits retained.</t>
        </is>
      </c>
      <c r="M137" s="6" t="inlineStr">
        <is>
          <t>Ideas &amp; Political Method</t>
        </is>
      </c>
    </row>
    <row r="138" ht="66" customHeight="1">
      <c r="A138" s="4" t="inlineStr">
        <is>
          <t>C-IM12-01</t>
        </is>
      </c>
      <c r="B138" s="5" t="inlineStr">
        <is>
          <t>IM12</t>
        </is>
      </c>
      <c r="C138" s="4" t="inlineStr">
        <is>
          <t>The 2024 party platform coupled strategic-autonomy language with demands for greater parliamentary security oversight. This is a proposed framework, not a diplomatic record in executive office.</t>
        </is>
      </c>
      <c r="D138" s="4" t="inlineStr">
        <is>
          <t>Supported</t>
        </is>
      </c>
      <c r="E138" s="5" t="inlineStr">
        <is>
          <t>EV-0220</t>
        </is>
      </c>
      <c r="F138" s="4" t="inlineStr">
        <is>
          <t>Normal</t>
        </is>
      </c>
      <c r="G138" s="4" t="inlineStr">
        <is>
          <t>Finding</t>
        </is>
      </c>
      <c r="H138" s="4" t="inlineStr">
        <is>
          <t>Analysis</t>
        </is>
      </c>
      <c r="I138" s="4" t="inlineStr">
        <is>
          <t>S020</t>
        </is>
      </c>
      <c r="J138" s="5" t="inlineStr">
        <is>
          <t>All citations</t>
        </is>
      </c>
      <c r="K138" s="4" t="inlineStr"/>
      <c r="L138" s="4" t="inlineStr">
        <is>
          <t>Analytical synthesis of cited records; causal limits retained.</t>
        </is>
      </c>
      <c r="M138" s="4" t="inlineStr">
        <is>
          <t>Ideas &amp; Political Method</t>
        </is>
      </c>
    </row>
    <row r="139" ht="66" customHeight="1">
      <c r="A139" s="6" t="inlineStr">
        <is>
          <t>C-CO01-01</t>
        </is>
      </c>
      <c r="B139" s="7" t="inlineStr">
        <is>
          <t>CO01</t>
        </is>
      </c>
      <c r="C139" s="6" t="inlineStr">
        <is>
          <t>Trial conviction brought a two-year sentence and parliamentary disqualification in March 2023. Supreme Court stayed conviction on 4 August; membership returned 7 August.</t>
        </is>
      </c>
      <c r="D139" s="6" t="inlineStr">
        <is>
          <t>Supported</t>
        </is>
      </c>
      <c r="E139" s="7" t="inlineStr">
        <is>
          <t>EV-0221; EV-0222</t>
        </is>
      </c>
      <c r="F139" s="6" t="inlineStr">
        <is>
          <t>High</t>
        </is>
      </c>
      <c r="G139" s="6" t="inlineStr">
        <is>
          <t>Finding</t>
        </is>
      </c>
      <c r="H139" s="6" t="inlineStr">
        <is>
          <t>Recorded fact</t>
        </is>
      </c>
      <c r="I139" s="6" t="inlineStr">
        <is>
          <t>S010; S011</t>
        </is>
      </c>
      <c r="J139" s="7" t="inlineStr">
        <is>
          <t>All citations</t>
        </is>
      </c>
      <c r="K139" s="6" t="inlineStr"/>
      <c r="L139" s="6" t="inlineStr">
        <is>
          <t>Reported allegations are supported as attributed statements, not as findings of wrongdoing.</t>
        </is>
      </c>
      <c r="M139" s="6" t="inlineStr">
        <is>
          <t>Controversies</t>
        </is>
      </c>
    </row>
    <row r="140" ht="52" customHeight="1">
      <c r="A140" s="4" t="inlineStr">
        <is>
          <t>C-CO01-02</t>
        </is>
      </c>
      <c r="B140" s="5" t="inlineStr">
        <is>
          <t>CO01</t>
        </is>
      </c>
      <c r="C140" s="4" t="inlineStr">
        <is>
          <t>Gandhi pursued appeals and sought a stay.</t>
        </is>
      </c>
      <c r="D140" s="4" t="inlineStr">
        <is>
          <t>Supported</t>
        </is>
      </c>
      <c r="E140" s="5" t="inlineStr">
        <is>
          <t>EV-0223; EV-0224</t>
        </is>
      </c>
      <c r="F140" s="4" t="inlineStr">
        <is>
          <t>High</t>
        </is>
      </c>
      <c r="G140" s="4" t="inlineStr">
        <is>
          <t>Subject / party response</t>
        </is>
      </c>
      <c r="H140" s="4" t="inlineStr">
        <is>
          <t>Recorded fact</t>
        </is>
      </c>
      <c r="I140" s="4" t="inlineStr">
        <is>
          <t>S010; S011</t>
        </is>
      </c>
      <c r="J140" s="5" t="inlineStr">
        <is>
          <t>All citations</t>
        </is>
      </c>
      <c r="K140" s="4" t="inlineStr"/>
      <c r="L140" s="4" t="inlineStr">
        <is>
          <t>Reported allegations are supported as attributed statements, not as findings of wrongdoing.</t>
        </is>
      </c>
      <c r="M140" s="4" t="inlineStr">
        <is>
          <t>Controversies</t>
        </is>
      </c>
    </row>
    <row r="141" ht="52" customHeight="1">
      <c r="A141" s="6" t="inlineStr">
        <is>
          <t>C-CO01-03</t>
        </is>
      </c>
      <c r="B141" s="7" t="inlineStr">
        <is>
          <t>CO01</t>
        </is>
      </c>
      <c r="C141" s="6" t="inlineStr">
        <is>
          <t>Supreme Court criticised his remarks, questioned maximum-sentence reasoning and expressly reserved merits.</t>
        </is>
      </c>
      <c r="D141" s="6" t="inlineStr">
        <is>
          <t>Supported</t>
        </is>
      </c>
      <c r="E141" s="7" t="inlineStr">
        <is>
          <t>EV-0225; EV-0226</t>
        </is>
      </c>
      <c r="F141" s="6" t="inlineStr">
        <is>
          <t>High</t>
        </is>
      </c>
      <c r="G141" s="6" t="inlineStr">
        <is>
          <t>Finding / dispute qualification</t>
        </is>
      </c>
      <c r="H141" s="6" t="inlineStr">
        <is>
          <t>Recorded fact</t>
        </is>
      </c>
      <c r="I141" s="6" t="inlineStr">
        <is>
          <t>S010; S011</t>
        </is>
      </c>
      <c r="J141" s="7" t="inlineStr">
        <is>
          <t>All citations</t>
        </is>
      </c>
      <c r="K141" s="6" t="inlineStr"/>
      <c r="L141" s="6" t="inlineStr">
        <is>
          <t>Reported allegations are supported as attributed statements, not as findings of wrongdoing.</t>
        </is>
      </c>
      <c r="M141" s="6" t="inlineStr">
        <is>
          <t>Controversies</t>
        </is>
      </c>
    </row>
    <row r="142" ht="66" customHeight="1">
      <c r="A142" s="4" t="inlineStr">
        <is>
          <t>C-CO02-01</t>
        </is>
      </c>
      <c r="B142" s="5" t="inlineStr">
        <is>
          <t>CO02</t>
        </is>
      </c>
      <c r="C142" s="4" t="inlineStr">
        <is>
          <t>ED alleges wrongdoing in the AJL/Young Indian transaction. Trial court refused cognisance on 16 December 2025; ED challenged it. September 2026 reporting records pending High Court proceedings.</t>
        </is>
      </c>
      <c r="D142" s="4" t="inlineStr">
        <is>
          <t>Supported</t>
        </is>
      </c>
      <c r="E142" s="5" t="inlineStr">
        <is>
          <t>EV-0227; EV-0228</t>
        </is>
      </c>
      <c r="F142" s="4" t="inlineStr">
        <is>
          <t>High</t>
        </is>
      </c>
      <c r="G142" s="4" t="inlineStr">
        <is>
          <t>Finding</t>
        </is>
      </c>
      <c r="H142" s="4" t="inlineStr">
        <is>
          <t>Recorded fact</t>
        </is>
      </c>
      <c r="I142" s="4" t="inlineStr">
        <is>
          <t>S012; S013</t>
        </is>
      </c>
      <c r="J142" s="5" t="inlineStr">
        <is>
          <t>All citations</t>
        </is>
      </c>
      <c r="K142" s="4" t="inlineStr"/>
      <c r="L142" s="4" t="inlineStr">
        <is>
          <t>Reported allegations are supported as attributed statements, not as findings of wrongdoing.</t>
        </is>
      </c>
      <c r="M142" s="4" t="inlineStr">
        <is>
          <t>Controversies</t>
        </is>
      </c>
    </row>
    <row r="143" ht="52" customHeight="1">
      <c r="A143" s="6" t="inlineStr">
        <is>
          <t>C-CO02-02</t>
        </is>
      </c>
      <c r="B143" s="7" t="inlineStr">
        <is>
          <t>CO02</t>
        </is>
      </c>
      <c r="C143" s="6" t="inlineStr">
        <is>
          <t>Gandhis contest the private-complaint foundation and call ED proceedings legally unsustainable.</t>
        </is>
      </c>
      <c r="D143" s="6" t="inlineStr">
        <is>
          <t>Supported</t>
        </is>
      </c>
      <c r="E143" s="7" t="inlineStr">
        <is>
          <t>EV-0229; EV-0230</t>
        </is>
      </c>
      <c r="F143" s="6" t="inlineStr">
        <is>
          <t>High</t>
        </is>
      </c>
      <c r="G143" s="6" t="inlineStr">
        <is>
          <t>Subject / party response</t>
        </is>
      </c>
      <c r="H143" s="6" t="inlineStr">
        <is>
          <t>Recorded fact</t>
        </is>
      </c>
      <c r="I143" s="6" t="inlineStr">
        <is>
          <t>S012; S013</t>
        </is>
      </c>
      <c r="J143" s="7" t="inlineStr">
        <is>
          <t>All citations</t>
        </is>
      </c>
      <c r="K143" s="6" t="inlineStr"/>
      <c r="L143" s="6" t="inlineStr">
        <is>
          <t>Reported allegations are supported as attributed statements, not as findings of wrongdoing.</t>
        </is>
      </c>
      <c r="M143" s="6" t="inlineStr">
        <is>
          <t>Controversies</t>
        </is>
      </c>
    </row>
    <row r="144" ht="52" customHeight="1">
      <c r="A144" s="4" t="inlineStr">
        <is>
          <t>C-CO02-03</t>
        </is>
      </c>
      <c r="B144" s="5" t="inlineStr">
        <is>
          <t>CO02</t>
        </is>
      </c>
      <c r="C144" s="4" t="inlineStr">
        <is>
          <t>Bar &amp; Bench reports adjournment on 22 September to 12 October 2026; this future date is a listing, not an outcome.</t>
        </is>
      </c>
      <c r="D144" s="4" t="inlineStr">
        <is>
          <t>Supported</t>
        </is>
      </c>
      <c r="E144" s="5" t="inlineStr">
        <is>
          <t>EV-0231; EV-0232</t>
        </is>
      </c>
      <c r="F144" s="4" t="inlineStr">
        <is>
          <t>High</t>
        </is>
      </c>
      <c r="G144" s="4" t="inlineStr">
        <is>
          <t>Finding / dispute qualification</t>
        </is>
      </c>
      <c r="H144" s="4" t="inlineStr">
        <is>
          <t>Recorded fact</t>
        </is>
      </c>
      <c r="I144" s="4" t="inlineStr">
        <is>
          <t>S012; S013</t>
        </is>
      </c>
      <c r="J144" s="5" t="inlineStr">
        <is>
          <t>All citations</t>
        </is>
      </c>
      <c r="K144" s="4" t="inlineStr"/>
      <c r="L144" s="4" t="inlineStr">
        <is>
          <t>Reported allegations are supported as attributed statements, not as findings of wrongdoing.</t>
        </is>
      </c>
      <c r="M144" s="4" t="inlineStr">
        <is>
          <t>Controversies</t>
        </is>
      </c>
    </row>
    <row r="145" ht="66" customHeight="1">
      <c r="A145" s="6" t="inlineStr">
        <is>
          <t>C-CO03-01</t>
        </is>
      </c>
      <c r="B145" s="7" t="inlineStr">
        <is>
          <t>CO03</t>
        </is>
      </c>
      <c r="C145" s="6" t="inlineStr">
        <is>
          <t>Meenakshi Lekhi challenged Gandhi’s false attribution of a campaign slogan to the Supreme Court. Proceedings were closed on 14 November 2019 following an unconditional apology.</t>
        </is>
      </c>
      <c r="D145" s="6" t="inlineStr">
        <is>
          <t>Supported</t>
        </is>
      </c>
      <c r="E145" s="7" t="inlineStr">
        <is>
          <t>EV-0233; EV-0234</t>
        </is>
      </c>
      <c r="F145" s="6" t="inlineStr">
        <is>
          <t>High</t>
        </is>
      </c>
      <c r="G145" s="6" t="inlineStr">
        <is>
          <t>Finding</t>
        </is>
      </c>
      <c r="H145" s="6" t="inlineStr">
        <is>
          <t>Recorded fact</t>
        </is>
      </c>
      <c r="I145" s="6" t="inlineStr">
        <is>
          <t>S029; S010</t>
        </is>
      </c>
      <c r="J145" s="7" t="inlineStr">
        <is>
          <t>All citations</t>
        </is>
      </c>
      <c r="K145" s="6" t="inlineStr"/>
      <c r="L145" s="6" t="inlineStr">
        <is>
          <t>Reported allegations are supported as attributed statements, not as findings of wrongdoing.</t>
        </is>
      </c>
      <c r="M145" s="6" t="inlineStr">
        <is>
          <t>Controversies</t>
        </is>
      </c>
    </row>
    <row r="146" ht="52" customHeight="1">
      <c r="A146" s="4" t="inlineStr">
        <is>
          <t>C-CO03-02</t>
        </is>
      </c>
      <c r="B146" s="5" t="inlineStr">
        <is>
          <t>CO03</t>
        </is>
      </c>
      <c r="C146" s="4" t="inlineStr">
        <is>
          <t>Gandhi tendered an unconditional apology.</t>
        </is>
      </c>
      <c r="D146" s="4" t="inlineStr">
        <is>
          <t>Supported</t>
        </is>
      </c>
      <c r="E146" s="5" t="inlineStr">
        <is>
          <t>EV-0235; EV-0236</t>
        </is>
      </c>
      <c r="F146" s="4" t="inlineStr">
        <is>
          <t>High</t>
        </is>
      </c>
      <c r="G146" s="4" t="inlineStr">
        <is>
          <t>Subject / party response</t>
        </is>
      </c>
      <c r="H146" s="4" t="inlineStr">
        <is>
          <t>Recorded fact</t>
        </is>
      </c>
      <c r="I146" s="4" t="inlineStr">
        <is>
          <t>S029; S010</t>
        </is>
      </c>
      <c r="J146" s="5" t="inlineStr">
        <is>
          <t>All citations</t>
        </is>
      </c>
      <c r="K146" s="4" t="inlineStr"/>
      <c r="L146" s="4" t="inlineStr">
        <is>
          <t>Reported allegations are supported as attributed statements, not as findings of wrongdoing.</t>
        </is>
      </c>
      <c r="M146" s="4" t="inlineStr">
        <is>
          <t>Controversies</t>
        </is>
      </c>
    </row>
    <row r="147" ht="52" customHeight="1">
      <c r="A147" s="6" t="inlineStr">
        <is>
          <t>C-CO03-03</t>
        </is>
      </c>
      <c r="B147" s="7" t="inlineStr">
        <is>
          <t>CO03</t>
        </is>
      </c>
      <c r="C147" s="6" t="inlineStr">
        <is>
          <t>Separate from whether every political allegation about the procurement was substantiated.</t>
        </is>
      </c>
      <c r="D147" s="6" t="inlineStr">
        <is>
          <t>Supported</t>
        </is>
      </c>
      <c r="E147" s="7" t="inlineStr">
        <is>
          <t>EV-0237; EV-0238</t>
        </is>
      </c>
      <c r="F147" s="6" t="inlineStr">
        <is>
          <t>High</t>
        </is>
      </c>
      <c r="G147" s="6" t="inlineStr">
        <is>
          <t>Finding / dispute qualification</t>
        </is>
      </c>
      <c r="H147" s="6" t="inlineStr">
        <is>
          <t>Recorded fact</t>
        </is>
      </c>
      <c r="I147" s="6" t="inlineStr">
        <is>
          <t>S029; S010</t>
        </is>
      </c>
      <c r="J147" s="7" t="inlineStr">
        <is>
          <t>All citations</t>
        </is>
      </c>
      <c r="K147" s="6" t="inlineStr"/>
      <c r="L147" s="6" t="inlineStr">
        <is>
          <t>Reported allegations are supported as attributed statements, not as findings of wrongdoing.</t>
        </is>
      </c>
      <c r="M147" s="6" t="inlineStr">
        <is>
          <t>Controversies</t>
        </is>
      </c>
    </row>
    <row r="148" ht="66" customHeight="1">
      <c r="A148" s="4" t="inlineStr">
        <is>
          <t>C-CO04-01</t>
        </is>
      </c>
      <c r="B148" s="5" t="inlineStr">
        <is>
          <t>CO04</t>
        </is>
      </c>
      <c r="C148" s="4" t="inlineStr">
        <is>
          <t>Critics said his public repudiation embarrassed Manmohan Singh and demonstrated unaccountable family power within Congress. Cabinet subsequently decided to withdraw the proposals.</t>
        </is>
      </c>
      <c r="D148" s="4" t="inlineStr">
        <is>
          <t>Supported</t>
        </is>
      </c>
      <c r="E148" s="5" t="inlineStr">
        <is>
          <t>EV-0239; EV-0240</t>
        </is>
      </c>
      <c r="F148" s="4" t="inlineStr">
        <is>
          <t>High</t>
        </is>
      </c>
      <c r="G148" s="4" t="inlineStr">
        <is>
          <t>Finding</t>
        </is>
      </c>
      <c r="H148" s="4" t="inlineStr">
        <is>
          <t>Recorded fact</t>
        </is>
      </c>
      <c r="I148" s="4" t="inlineStr">
        <is>
          <t>S038; S039</t>
        </is>
      </c>
      <c r="J148" s="5" t="inlineStr">
        <is>
          <t>All citations</t>
        </is>
      </c>
      <c r="K148" s="4" t="inlineStr"/>
      <c r="L148" s="4" t="inlineStr">
        <is>
          <t>Reported allegations are supported as attributed statements, not as findings of wrongdoing.</t>
        </is>
      </c>
      <c r="M148" s="4" t="inlineStr">
        <is>
          <t>Controversies</t>
        </is>
      </c>
    </row>
    <row r="149" ht="52" customHeight="1">
      <c r="A149" s="6" t="inlineStr">
        <is>
          <t>C-CO04-02</t>
        </is>
      </c>
      <c r="B149" s="7" t="inlineStr">
        <is>
          <t>CO04</t>
        </is>
      </c>
      <c r="C149" s="6" t="inlineStr">
        <is>
          <t>Gandhi framed the intervention as refusing compromise over corruption.</t>
        </is>
      </c>
      <c r="D149" s="6" t="inlineStr">
        <is>
          <t>Supported</t>
        </is>
      </c>
      <c r="E149" s="7" t="inlineStr">
        <is>
          <t>EV-0241; EV-0242</t>
        </is>
      </c>
      <c r="F149" s="6" t="inlineStr">
        <is>
          <t>High</t>
        </is>
      </c>
      <c r="G149" s="6" t="inlineStr">
        <is>
          <t>Subject / party response</t>
        </is>
      </c>
      <c r="H149" s="6" t="inlineStr">
        <is>
          <t>Recorded fact</t>
        </is>
      </c>
      <c r="I149" s="6" t="inlineStr">
        <is>
          <t>S038; S039</t>
        </is>
      </c>
      <c r="J149" s="7" t="inlineStr">
        <is>
          <t>All citations</t>
        </is>
      </c>
      <c r="K149" s="6" t="inlineStr"/>
      <c r="L149" s="6" t="inlineStr">
        <is>
          <t>Reported allegations are supported as attributed statements, not as findings of wrongdoing.</t>
        </is>
      </c>
      <c r="M149" s="6" t="inlineStr">
        <is>
          <t>Controversies</t>
        </is>
      </c>
    </row>
    <row r="150" ht="52" customHeight="1">
      <c r="A150" s="4" t="inlineStr">
        <is>
          <t>C-CO04-03</t>
        </is>
      </c>
      <c r="B150" s="5" t="inlineStr">
        <is>
          <t>CO04</t>
        </is>
      </c>
      <c r="C150" s="4" t="inlineStr">
        <is>
          <t>The constitutional withdrawal decision belonged to Cabinet; motivations and propriety remain matters of political assessment.</t>
        </is>
      </c>
      <c r="D150" s="4" t="inlineStr">
        <is>
          <t>Supported</t>
        </is>
      </c>
      <c r="E150" s="5" t="inlineStr">
        <is>
          <t>EV-0243; EV-0244</t>
        </is>
      </c>
      <c r="F150" s="4" t="inlineStr">
        <is>
          <t>High</t>
        </is>
      </c>
      <c r="G150" s="4" t="inlineStr">
        <is>
          <t>Finding / dispute qualification</t>
        </is>
      </c>
      <c r="H150" s="4" t="inlineStr">
        <is>
          <t>Recorded fact</t>
        </is>
      </c>
      <c r="I150" s="4" t="inlineStr">
        <is>
          <t>S038; S039</t>
        </is>
      </c>
      <c r="J150" s="5" t="inlineStr">
        <is>
          <t>All citations</t>
        </is>
      </c>
      <c r="K150" s="4" t="inlineStr"/>
      <c r="L150" s="4" t="inlineStr">
        <is>
          <t>Reported allegations are supported as attributed statements, not as findings of wrongdoing.</t>
        </is>
      </c>
      <c r="M150" s="4" t="inlineStr">
        <is>
          <t>Controversies</t>
        </is>
      </c>
    </row>
    <row r="151" ht="66" customHeight="1">
      <c r="A151" s="6" t="inlineStr">
        <is>
          <t>C-CO05-01</t>
        </is>
      </c>
      <c r="B151" s="7" t="inlineStr">
        <is>
          <t>CO05</t>
        </is>
      </c>
      <c r="C151" s="6" t="inlineStr">
        <is>
          <t>Opponents attacked his inherited prominence; youth-organisation reforms were also criticised by Congress figures for generating factional competition.</t>
        </is>
      </c>
      <c r="D151" s="6" t="inlineStr">
        <is>
          <t>Supported</t>
        </is>
      </c>
      <c r="E151" s="7" t="inlineStr">
        <is>
          <t>EV-0245; EV-0246; EV-0247</t>
        </is>
      </c>
      <c r="F151" s="6" t="inlineStr">
        <is>
          <t>High</t>
        </is>
      </c>
      <c r="G151" s="6" t="inlineStr">
        <is>
          <t>Finding</t>
        </is>
      </c>
      <c r="H151" s="6" t="inlineStr">
        <is>
          <t>Attributed position</t>
        </is>
      </c>
      <c r="I151" s="6" t="inlineStr">
        <is>
          <t>S021; S022; S023</t>
        </is>
      </c>
      <c r="J151" s="7" t="inlineStr">
        <is>
          <t>All citations</t>
        </is>
      </c>
      <c r="K151" s="6" t="inlineStr"/>
      <c r="L151" s="6" t="inlineStr">
        <is>
          <t>Reported allegations are supported as attributed statements, not as findings of wrongdoing.</t>
        </is>
      </c>
      <c r="M151" s="6" t="inlineStr">
        <is>
          <t>Controversies</t>
        </is>
      </c>
    </row>
    <row r="152" ht="52" customHeight="1">
      <c r="A152" s="4" t="inlineStr">
        <is>
          <t>C-CO05-02</t>
        </is>
      </c>
      <c r="B152" s="5" t="inlineStr">
        <is>
          <t>CO05</t>
        </is>
      </c>
      <c r="C152" s="4" t="inlineStr">
        <is>
          <t>IYC chief Rajiv Satav defended elections as opening opportunities and supported continuation.</t>
        </is>
      </c>
      <c r="D152" s="4" t="inlineStr">
        <is>
          <t>Supported</t>
        </is>
      </c>
      <c r="E152" s="5" t="inlineStr">
        <is>
          <t>EV-0248; EV-0249; EV-0250</t>
        </is>
      </c>
      <c r="F152" s="4" t="inlineStr">
        <is>
          <t>High</t>
        </is>
      </c>
      <c r="G152" s="4" t="inlineStr">
        <is>
          <t>Subject / party response</t>
        </is>
      </c>
      <c r="H152" s="4" t="inlineStr">
        <is>
          <t>Attributed position</t>
        </is>
      </c>
      <c r="I152" s="4" t="inlineStr">
        <is>
          <t>S021; S022; S023</t>
        </is>
      </c>
      <c r="J152" s="5" t="inlineStr">
        <is>
          <t>All citations</t>
        </is>
      </c>
      <c r="K152" s="4" t="inlineStr"/>
      <c r="L152" s="4" t="inlineStr">
        <is>
          <t>Reported allegations are supported as attributed statements, not as findings of wrongdoing.</t>
        </is>
      </c>
      <c r="M152" s="4" t="inlineStr">
        <is>
          <t>Controversies</t>
        </is>
      </c>
    </row>
    <row r="153" ht="52" customHeight="1">
      <c r="A153" s="6" t="inlineStr">
        <is>
          <t>C-CO05-03</t>
        </is>
      </c>
      <c r="B153" s="7" t="inlineStr">
        <is>
          <t>CO05</t>
        </is>
      </c>
      <c r="C153" s="6" t="inlineStr">
        <is>
          <t>Dynastic entry and attempts at organisational reform can coexist; neither proves the full outcome of the other.</t>
        </is>
      </c>
      <c r="D153" s="6" t="inlineStr">
        <is>
          <t>Supported</t>
        </is>
      </c>
      <c r="E153" s="7" t="inlineStr">
        <is>
          <t>EV-0251; EV-0252; EV-0253</t>
        </is>
      </c>
      <c r="F153" s="6" t="inlineStr">
        <is>
          <t>High</t>
        </is>
      </c>
      <c r="G153" s="6" t="inlineStr">
        <is>
          <t>Finding / dispute qualification</t>
        </is>
      </c>
      <c r="H153" s="6" t="inlineStr">
        <is>
          <t>Attributed position</t>
        </is>
      </c>
      <c r="I153" s="6" t="inlineStr">
        <is>
          <t>S021; S022; S023</t>
        </is>
      </c>
      <c r="J153" s="7" t="inlineStr">
        <is>
          <t>All citations</t>
        </is>
      </c>
      <c r="K153" s="6" t="inlineStr"/>
      <c r="L153" s="6" t="inlineStr">
        <is>
          <t>Reported allegations are supported as attributed statements, not as findings of wrongdoing.</t>
        </is>
      </c>
      <c r="M153" s="6" t="inlineStr">
        <is>
          <t>Controversies</t>
        </is>
      </c>
    </row>
    <row r="154" ht="66" customHeight="1">
      <c r="A154" s="4" t="inlineStr">
        <is>
          <t>C-CO06-01</t>
        </is>
      </c>
      <c r="B154" s="5" t="inlineStr">
        <is>
          <t>CO06</t>
        </is>
      </c>
      <c r="C154" s="4" t="inlineStr">
        <is>
          <t>Gandhi alleged roll manipulation in 2025 and escalated claims in September 2026. ECI rejected the allegations and described internal dissent as part of normal decision-making.</t>
        </is>
      </c>
      <c r="D154" s="4" t="inlineStr">
        <is>
          <t>Supported</t>
        </is>
      </c>
      <c r="E154" s="5" t="inlineStr">
        <is>
          <t>EV-0254; EV-0255</t>
        </is>
      </c>
      <c r="F154" s="4" t="inlineStr">
        <is>
          <t>High</t>
        </is>
      </c>
      <c r="G154" s="4" t="inlineStr">
        <is>
          <t>Finding</t>
        </is>
      </c>
      <c r="H154" s="4" t="inlineStr">
        <is>
          <t>Attributed position</t>
        </is>
      </c>
      <c r="I154" s="4" t="inlineStr">
        <is>
          <t>S031; S030</t>
        </is>
      </c>
      <c r="J154" s="5" t="inlineStr">
        <is>
          <t>All citations</t>
        </is>
      </c>
      <c r="K154" s="4" t="inlineStr"/>
      <c r="L154" s="4" t="inlineStr">
        <is>
          <t>Reported allegations are supported as attributed statements, not as findings of wrongdoing.</t>
        </is>
      </c>
      <c r="M154" s="4" t="inlineStr">
        <is>
          <t>Controversies</t>
        </is>
      </c>
    </row>
    <row r="155" ht="52" customHeight="1">
      <c r="A155" s="6" t="inlineStr">
        <is>
          <t>C-CO06-02</t>
        </is>
      </c>
      <c r="B155" s="7" t="inlineStr">
        <is>
          <t>CO06</t>
        </is>
      </c>
      <c r="C155" s="6" t="inlineStr">
        <is>
          <t>He says his data prove malpractice; Congress disputed completeness of information provided to investigators.</t>
        </is>
      </c>
      <c r="D155" s="6" t="inlineStr">
        <is>
          <t>Supported</t>
        </is>
      </c>
      <c r="E155" s="7" t="inlineStr">
        <is>
          <t>EV-0256; EV-0257</t>
        </is>
      </c>
      <c r="F155" s="6" t="inlineStr">
        <is>
          <t>High</t>
        </is>
      </c>
      <c r="G155" s="6" t="inlineStr">
        <is>
          <t>Subject / party response</t>
        </is>
      </c>
      <c r="H155" s="6" t="inlineStr">
        <is>
          <t>Attributed position</t>
        </is>
      </c>
      <c r="I155" s="6" t="inlineStr">
        <is>
          <t>S031; S030</t>
        </is>
      </c>
      <c r="J155" s="7" t="inlineStr">
        <is>
          <t>All citations</t>
        </is>
      </c>
      <c r="K155" s="6" t="inlineStr"/>
      <c r="L155" s="6" t="inlineStr">
        <is>
          <t>Reported allegations are supported as attributed statements, not as findings of wrongdoing.</t>
        </is>
      </c>
      <c r="M155" s="6" t="inlineStr">
        <is>
          <t>Controversies</t>
        </is>
      </c>
    </row>
    <row r="156" ht="66" customHeight="1">
      <c r="A156" s="4" t="inlineStr">
        <is>
          <t>C-CO06-03</t>
        </is>
      </c>
      <c r="B156" s="5" t="inlineStr">
        <is>
          <t>CO06</t>
        </is>
      </c>
      <c r="C156" s="4" t="inlineStr">
        <is>
          <t>EC said an Aland FIR was registered and information shared; in 2026 it said final decisions were unanimous. Neither side’s assertion is treated as adjudication.</t>
        </is>
      </c>
      <c r="D156" s="4" t="inlineStr">
        <is>
          <t>Supported</t>
        </is>
      </c>
      <c r="E156" s="5" t="inlineStr">
        <is>
          <t>EV-0258; EV-0259</t>
        </is>
      </c>
      <c r="F156" s="4" t="inlineStr">
        <is>
          <t>High</t>
        </is>
      </c>
      <c r="G156" s="4" t="inlineStr">
        <is>
          <t>Finding / dispute qualification</t>
        </is>
      </c>
      <c r="H156" s="4" t="inlineStr">
        <is>
          <t>Attributed position</t>
        </is>
      </c>
      <c r="I156" s="4" t="inlineStr">
        <is>
          <t>S031; S030</t>
        </is>
      </c>
      <c r="J156" s="5" t="inlineStr">
        <is>
          <t>All citations</t>
        </is>
      </c>
      <c r="K156" s="4" t="inlineStr"/>
      <c r="L156" s="4" t="inlineStr">
        <is>
          <t>Reported allegations are supported as attributed statements, not as findings of wrongdoing.</t>
        </is>
      </c>
      <c r="M156" s="4" t="inlineStr">
        <is>
          <t>Controversies</t>
        </is>
      </c>
    </row>
    <row r="157" ht="66" customHeight="1">
      <c r="A157" s="6" t="inlineStr">
        <is>
          <t>C-CO07-01</t>
        </is>
      </c>
      <c r="B157" s="7" t="inlineStr">
        <is>
          <t>CO07</t>
        </is>
      </c>
      <c r="C157" s="6" t="inlineStr">
        <is>
          <t>2012 UP and 2019 national defeats generated accountability questions; losing Congress candidates blamed organisational and campaign choices after Bihar 2025.</t>
        </is>
      </c>
      <c r="D157" s="6" t="inlineStr">
        <is>
          <t>Supported</t>
        </is>
      </c>
      <c r="E157" s="7" t="inlineStr">
        <is>
          <t>EV-0260; EV-0261; EV-0262; EV-0263</t>
        </is>
      </c>
      <c r="F157" s="6" t="inlineStr">
        <is>
          <t>High</t>
        </is>
      </c>
      <c r="G157" s="6" t="inlineStr">
        <is>
          <t>Finding</t>
        </is>
      </c>
      <c r="H157" s="6" t="inlineStr">
        <is>
          <t>Attributed position</t>
        </is>
      </c>
      <c r="I157" s="6" t="inlineStr">
        <is>
          <t>S034; S014; S026; S027</t>
        </is>
      </c>
      <c r="J157" s="7" t="inlineStr">
        <is>
          <t>All citations</t>
        </is>
      </c>
      <c r="K157" s="6" t="inlineStr"/>
      <c r="L157" s="6" t="inlineStr">
        <is>
          <t>Reported allegations are supported as attributed statements, not as findings of wrongdoing.</t>
        </is>
      </c>
      <c r="M157" s="6" t="inlineStr">
        <is>
          <t>Controversies</t>
        </is>
      </c>
    </row>
    <row r="158" ht="52" customHeight="1">
      <c r="A158" s="4" t="inlineStr">
        <is>
          <t>C-CO07-02</t>
        </is>
      </c>
      <c r="B158" s="5" t="inlineStr">
        <is>
          <t>CO07</t>
        </is>
      </c>
      <c r="C158" s="4" t="inlineStr">
        <is>
          <t>Publicly accepted responsibility in 2012 and 2019; reportedly accepted shared responsibility at the Bihar review.</t>
        </is>
      </c>
      <c r="D158" s="4" t="inlineStr">
        <is>
          <t>Supported</t>
        </is>
      </c>
      <c r="E158" s="5" t="inlineStr">
        <is>
          <t>EV-0264; EV-0265; EV-0266; EV-0267</t>
        </is>
      </c>
      <c r="F158" s="4" t="inlineStr">
        <is>
          <t>High</t>
        </is>
      </c>
      <c r="G158" s="4" t="inlineStr">
        <is>
          <t>Subject / party response</t>
        </is>
      </c>
      <c r="H158" s="4" t="inlineStr">
        <is>
          <t>Attributed position</t>
        </is>
      </c>
      <c r="I158" s="4" t="inlineStr">
        <is>
          <t>S034; S014; S026; S027</t>
        </is>
      </c>
      <c r="J158" s="5" t="inlineStr">
        <is>
          <t>All citations</t>
        </is>
      </c>
      <c r="K158" s="4" t="inlineStr"/>
      <c r="L158" s="4" t="inlineStr">
        <is>
          <t>Reported allegations are supported as attributed statements, not as findings of wrongdoing.</t>
        </is>
      </c>
      <c r="M158" s="4" t="inlineStr">
        <is>
          <t>Controversies</t>
        </is>
      </c>
    </row>
    <row r="159" ht="52" customHeight="1">
      <c r="A159" s="6" t="inlineStr">
        <is>
          <t>C-CO07-03</t>
        </is>
      </c>
      <c r="B159" s="7" t="inlineStr">
        <is>
          <t>CO07</t>
        </is>
      </c>
      <c r="C159" s="6" t="inlineStr">
        <is>
          <t>Bihar meeting report relies on unnamed sources; campaign failure cannot be reduced to a single cause.</t>
        </is>
      </c>
      <c r="D159" s="6" t="inlineStr">
        <is>
          <t>Supported</t>
        </is>
      </c>
      <c r="E159" s="7" t="inlineStr">
        <is>
          <t>EV-0268; EV-0269; EV-0270; EV-0271</t>
        </is>
      </c>
      <c r="F159" s="6" t="inlineStr">
        <is>
          <t>High</t>
        </is>
      </c>
      <c r="G159" s="6" t="inlineStr">
        <is>
          <t>Finding / dispute qualification</t>
        </is>
      </c>
      <c r="H159" s="6" t="inlineStr">
        <is>
          <t>Attributed position</t>
        </is>
      </c>
      <c r="I159" s="6" t="inlineStr">
        <is>
          <t>S034; S014; S026; S027</t>
        </is>
      </c>
      <c r="J159" s="7" t="inlineStr">
        <is>
          <t>All citations</t>
        </is>
      </c>
      <c r="K159" s="6" t="inlineStr"/>
      <c r="L159" s="6" t="inlineStr">
        <is>
          <t>Reported allegations are supported as attributed statements, not as findings of wrongdoing.</t>
        </is>
      </c>
      <c r="M159" s="6" t="inlineStr">
        <is>
          <t>Controversies</t>
        </is>
      </c>
    </row>
    <row r="160" ht="66" customHeight="1">
      <c r="A160" s="4" t="inlineStr">
        <is>
          <t>C-LA01-01</t>
        </is>
      </c>
      <c r="B160" s="5" t="inlineStr">
        <is>
          <t>LA01</t>
        </is>
      </c>
      <c r="C160" s="4" t="inlineStr">
        <is>
          <t>Reuters reported a revived image in 2024; analyst Rahul Verma credited mobilisation and ideological clarity. The observation does not isolate Gandhi’s contribution from allies or local candidates.</t>
        </is>
      </c>
      <c r="D160" s="4" t="inlineStr">
        <is>
          <t>Supported</t>
        </is>
      </c>
      <c r="E160" s="5" t="inlineStr">
        <is>
          <t>EV-0272</t>
        </is>
      </c>
      <c r="F160" s="4" t="inlineStr">
        <is>
          <t>Normal</t>
        </is>
      </c>
      <c r="G160" s="4" t="inlineStr">
        <is>
          <t>Assessment</t>
        </is>
      </c>
      <c r="H160" s="4" t="inlineStr">
        <is>
          <t>Analysis</t>
        </is>
      </c>
      <c r="I160" s="4" t="inlineStr">
        <is>
          <t>S023</t>
        </is>
      </c>
      <c r="J160" s="5" t="inlineStr">
        <is>
          <t>All citations</t>
        </is>
      </c>
      <c r="K160" s="4" t="inlineStr"/>
      <c r="L160" s="4" t="inlineStr">
        <is>
          <t>Analytical synthesis of cited records; causal limits retained.</t>
        </is>
      </c>
      <c r="M160" s="4" t="inlineStr">
        <is>
          <t>Legacy &amp; Assessments</t>
        </is>
      </c>
    </row>
    <row r="161" ht="66" customHeight="1">
      <c r="A161" s="6" t="inlineStr">
        <is>
          <t>C-LA02-01</t>
        </is>
      </c>
      <c r="B161" s="7" t="inlineStr">
        <is>
          <t>LA02</t>
        </is>
      </c>
      <c r="C161" s="6" t="inlineStr">
        <is>
          <t>Vaishnav and Mallory argued that the 2024 verdict curbed BJP dominance while preserving BJP centrality. This qualifies claims that Gandhi had transformed the entire party system.</t>
        </is>
      </c>
      <c r="D161" s="6" t="inlineStr">
        <is>
          <t>Supported</t>
        </is>
      </c>
      <c r="E161" s="7" t="inlineStr">
        <is>
          <t>EV-0273</t>
        </is>
      </c>
      <c r="F161" s="6" t="inlineStr">
        <is>
          <t>Normal</t>
        </is>
      </c>
      <c r="G161" s="6" t="inlineStr">
        <is>
          <t>Assessment</t>
        </is>
      </c>
      <c r="H161" s="6" t="inlineStr">
        <is>
          <t>Analysis</t>
        </is>
      </c>
      <c r="I161" s="6" t="inlineStr">
        <is>
          <t>S024</t>
        </is>
      </c>
      <c r="J161" s="7" t="inlineStr">
        <is>
          <t>All citations</t>
        </is>
      </c>
      <c r="K161" s="6" t="inlineStr"/>
      <c r="L161" s="6" t="inlineStr">
        <is>
          <t>Analytical synthesis of cited records; causal limits retained.</t>
        </is>
      </c>
      <c r="M161" s="6" t="inlineStr">
        <is>
          <t>Legacy &amp; Assessments</t>
        </is>
      </c>
    </row>
    <row r="162" ht="66" customHeight="1">
      <c r="A162" s="4" t="inlineStr">
        <is>
          <t>C-LA03-01</t>
        </is>
      </c>
      <c r="B162" s="5" t="inlineStr">
        <is>
          <t>LA03</t>
        </is>
      </c>
      <c r="C162" s="4" t="inlineStr">
        <is>
          <t>Internal youth elections were a documented intervention. Supporters’ access claims and critics’ factionalism claims leave their durable institutional effect unsettled.</t>
        </is>
      </c>
      <c r="D162" s="4" t="inlineStr">
        <is>
          <t>Supported</t>
        </is>
      </c>
      <c r="E162" s="5" t="inlineStr">
        <is>
          <t>EV-0274; EV-0275</t>
        </is>
      </c>
      <c r="F162" s="4" t="inlineStr">
        <is>
          <t>Normal</t>
        </is>
      </c>
      <c r="G162" s="4" t="inlineStr">
        <is>
          <t>Assessment</t>
        </is>
      </c>
      <c r="H162" s="4" t="inlineStr">
        <is>
          <t>Analysis</t>
        </is>
      </c>
      <c r="I162" s="4" t="inlineStr">
        <is>
          <t>S021; S022</t>
        </is>
      </c>
      <c r="J162" s="5" t="inlineStr">
        <is>
          <t>All citations</t>
        </is>
      </c>
      <c r="K162" s="4" t="inlineStr"/>
      <c r="L162" s="4" t="inlineStr">
        <is>
          <t>Analytical synthesis of cited records; causal limits retained.</t>
        </is>
      </c>
      <c r="M162" s="4" t="inlineStr">
        <is>
          <t>Legacy &amp; Assessments</t>
        </is>
      </c>
    </row>
    <row r="163" ht="66" customHeight="1">
      <c r="A163" s="6" t="inlineStr">
        <is>
          <t>C-LA04-01</t>
        </is>
      </c>
      <c r="B163" s="7" t="inlineStr">
        <is>
          <t>LA04</t>
        </is>
      </c>
      <c r="C163" s="6" t="inlineStr">
        <is>
          <t>Caste-enumeration advocacy reached a government decision, but government and opposition claim credit. The evidence establishes advocacy and adoption separately, not sole authorship.</t>
        </is>
      </c>
      <c r="D163" s="6" t="inlineStr">
        <is>
          <t>Supported</t>
        </is>
      </c>
      <c r="E163" s="7" t="inlineStr">
        <is>
          <t>EV-0276; EV-0277</t>
        </is>
      </c>
      <c r="F163" s="6" t="inlineStr">
        <is>
          <t>Normal</t>
        </is>
      </c>
      <c r="G163" s="6" t="inlineStr">
        <is>
          <t>Assessment</t>
        </is>
      </c>
      <c r="H163" s="6" t="inlineStr">
        <is>
          <t>Analysis</t>
        </is>
      </c>
      <c r="I163" s="6" t="inlineStr">
        <is>
          <t>S035; S036</t>
        </is>
      </c>
      <c r="J163" s="7" t="inlineStr">
        <is>
          <t>All citations</t>
        </is>
      </c>
      <c r="K163" s="6" t="inlineStr"/>
      <c r="L163" s="6" t="inlineStr">
        <is>
          <t>Analytical synthesis of cited records; causal limits retained.</t>
        </is>
      </c>
      <c r="M163" s="6" t="inlineStr">
        <is>
          <t>Legacy &amp; Assessments</t>
        </is>
      </c>
    </row>
    <row r="164" ht="66" customHeight="1">
      <c r="A164" s="4" t="inlineStr">
        <is>
          <t>C-LA05-01</t>
        </is>
      </c>
      <c r="B164" s="5" t="inlineStr">
        <is>
          <t>LA05</t>
        </is>
      </c>
      <c r="C164" s="4" t="inlineStr">
        <is>
          <t>Bihar 2025 renewed questions about converting publicity into local organisation. Losing candidates’ explanations are evidence of internal criticism, not a controlled causal study.</t>
        </is>
      </c>
      <c r="D164" s="4" t="inlineStr">
        <is>
          <t>Supported</t>
        </is>
      </c>
      <c r="E164" s="5" t="inlineStr">
        <is>
          <t>EV-0278; EV-0279</t>
        </is>
      </c>
      <c r="F164" s="4" t="inlineStr">
        <is>
          <t>Normal</t>
        </is>
      </c>
      <c r="G164" s="4" t="inlineStr">
        <is>
          <t>Assessment</t>
        </is>
      </c>
      <c r="H164" s="4" t="inlineStr">
        <is>
          <t>Analysis</t>
        </is>
      </c>
      <c r="I164" s="4" t="inlineStr">
        <is>
          <t>S026; S027</t>
        </is>
      </c>
      <c r="J164" s="5" t="inlineStr">
        <is>
          <t>All citations</t>
        </is>
      </c>
      <c r="K164" s="4" t="inlineStr"/>
      <c r="L164" s="4" t="inlineStr">
        <is>
          <t>Analytical synthesis of cited records; causal limits retained.</t>
        </is>
      </c>
      <c r="M164" s="4" t="inlineStr">
        <is>
          <t>Legacy &amp; Assessments</t>
        </is>
      </c>
    </row>
    <row r="165" ht="80" customHeight="1">
      <c r="A165" s="6" t="inlineStr">
        <is>
          <t>C-LA06-01</t>
        </is>
      </c>
      <c r="B165" s="7" t="inlineStr">
        <is>
          <t>LA06</t>
        </is>
      </c>
      <c r="C165" s="6" t="inlineStr">
        <is>
          <t>His career remains open. Formal opposition leadership, electoral resilience and social-justice advocacy are established areas for assessment; national executive performance is not demonstrated by this record.</t>
        </is>
      </c>
      <c r="D165" s="6" t="inlineStr">
        <is>
          <t>Supported</t>
        </is>
      </c>
      <c r="E165" s="7" t="inlineStr">
        <is>
          <t>EV-0280; EV-0281; EV-0282; EV-0283</t>
        </is>
      </c>
      <c r="F165" s="6" t="inlineStr">
        <is>
          <t>Normal</t>
        </is>
      </c>
      <c r="G165" s="6" t="inlineStr">
        <is>
          <t>Assessment</t>
        </is>
      </c>
      <c r="H165" s="6" t="inlineStr">
        <is>
          <t>Analysis</t>
        </is>
      </c>
      <c r="I165" s="6" t="inlineStr">
        <is>
          <t>S002; S003; S023; S035</t>
        </is>
      </c>
      <c r="J165" s="7" t="inlineStr">
        <is>
          <t>All citations</t>
        </is>
      </c>
      <c r="K165" s="6" t="inlineStr"/>
      <c r="L165" s="6" t="inlineStr">
        <is>
          <t>Analytical synthesis of cited records; causal limits retained.</t>
        </is>
      </c>
      <c r="M165" s="6" t="inlineStr">
        <is>
          <t>Legacy &amp; Assessments</t>
        </is>
      </c>
    </row>
    <row r="166" ht="66" customHeight="1">
      <c r="A166" s="4" t="inlineStr">
        <is>
          <t>C-CT-P1-01-01</t>
        </is>
      </c>
      <c r="B166" s="5" t="inlineStr">
        <is>
          <t>CT-P1-01</t>
        </is>
      </c>
      <c r="C166" s="4" t="inlineStr">
        <is>
          <t>Entry occurred within the coalition-party system that Carnegie dates from 1989 to 2014. Access to Congress leadership did not by itself confer government office.</t>
        </is>
      </c>
      <c r="D166" s="4" t="inlineStr">
        <is>
          <t>Supported</t>
        </is>
      </c>
      <c r="E166" s="5" t="inlineStr">
        <is>
          <t>EV-0284; EV-0285</t>
        </is>
      </c>
      <c r="F166" s="4" t="inlineStr">
        <is>
          <t>Normal</t>
        </is>
      </c>
      <c r="G166" s="4" t="inlineStr">
        <is>
          <t>Finding</t>
        </is>
      </c>
      <c r="H166" s="4" t="inlineStr">
        <is>
          <t>Analysis</t>
        </is>
      </c>
      <c r="I166" s="4" t="inlineStr">
        <is>
          <t>S024; S004</t>
        </is>
      </c>
      <c r="J166" s="5" t="inlineStr">
        <is>
          <t>All citations</t>
        </is>
      </c>
      <c r="K166" s="4" t="inlineStr"/>
      <c r="L166" s="4" t="inlineStr">
        <is>
          <t>Contextual synthesis; comparison is a scope boundary, not a ranked performance score.</t>
        </is>
      </c>
      <c r="M166" s="4" t="inlineStr">
        <is>
          <t>Context &amp; Constraints</t>
        </is>
      </c>
    </row>
    <row r="167" ht="52" customHeight="1">
      <c r="A167" s="6" t="inlineStr">
        <is>
          <t>C-CT-P1-02-01</t>
        </is>
      </c>
      <c r="B167" s="7" t="inlineStr">
        <is>
          <t>CT-P1-02</t>
        </is>
      </c>
      <c r="C167" s="6" t="inlineStr">
        <is>
          <t>The 2013 ordinance confrontation separated party influence from Cabinet authority: Gandhi publicly objected; Cabinet decided withdrawal.</t>
        </is>
      </c>
      <c r="D167" s="6" t="inlineStr">
        <is>
          <t>Supported</t>
        </is>
      </c>
      <c r="E167" s="7" t="inlineStr">
        <is>
          <t>EV-0286; EV-0287</t>
        </is>
      </c>
      <c r="F167" s="6" t="inlineStr">
        <is>
          <t>Normal</t>
        </is>
      </c>
      <c r="G167" s="6" t="inlineStr">
        <is>
          <t>Finding</t>
        </is>
      </c>
      <c r="H167" s="6" t="inlineStr">
        <is>
          <t>Analysis</t>
        </is>
      </c>
      <c r="I167" s="6" t="inlineStr">
        <is>
          <t>S038; S039</t>
        </is>
      </c>
      <c r="J167" s="7" t="inlineStr">
        <is>
          <t>All citations</t>
        </is>
      </c>
      <c r="K167" s="6" t="inlineStr"/>
      <c r="L167" s="6" t="inlineStr">
        <is>
          <t>Contextual synthesis; comparison is a scope boundary, not a ranked performance score.</t>
        </is>
      </c>
      <c r="M167" s="6" t="inlineStr">
        <is>
          <t>Context &amp; Constraints</t>
        </is>
      </c>
    </row>
    <row r="168" ht="66" customHeight="1">
      <c r="A168" s="4" t="inlineStr">
        <is>
          <t>C-CT-P1-03-01</t>
        </is>
      </c>
      <c r="B168" s="5" t="inlineStr">
        <is>
          <t>CT-P1-03</t>
        </is>
      </c>
      <c r="C168" s="4" t="inlineStr">
        <is>
          <t>His 2004 and 2009 victories were direct Lok Sabha elections from Amethi. The inspected tables use constituency numbers 21 and 37 respectively; boundaries should not be presumed identical.</t>
        </is>
      </c>
      <c r="D168" s="4" t="inlineStr">
        <is>
          <t>Supported</t>
        </is>
      </c>
      <c r="E168" s="5" t="inlineStr">
        <is>
          <t>EV-0288; EV-0289</t>
        </is>
      </c>
      <c r="F168" s="4" t="inlineStr">
        <is>
          <t>Normal</t>
        </is>
      </c>
      <c r="G168" s="4" t="inlineStr">
        <is>
          <t>Finding</t>
        </is>
      </c>
      <c r="H168" s="4" t="inlineStr">
        <is>
          <t>Analysis</t>
        </is>
      </c>
      <c r="I168" s="4" t="inlineStr">
        <is>
          <t>S009; S008</t>
        </is>
      </c>
      <c r="J168" s="5" t="inlineStr">
        <is>
          <t>All citations</t>
        </is>
      </c>
      <c r="K168" s="4" t="inlineStr"/>
      <c r="L168" s="4" t="inlineStr">
        <is>
          <t>Contextual synthesis; comparison is a scope boundary, not a ranked performance score.</t>
        </is>
      </c>
      <c r="M168" s="4" t="inlineStr">
        <is>
          <t>Context &amp; Constraints</t>
        </is>
      </c>
    </row>
    <row r="169" ht="80" customHeight="1">
      <c r="A169" s="6" t="inlineStr">
        <is>
          <t>C-CT-P1-04-01</t>
        </is>
      </c>
      <c r="B169" s="7" t="inlineStr">
        <is>
          <t>CT-P1-04</t>
        </is>
      </c>
      <c r="C169" s="6" t="inlineStr">
        <is>
          <t>The inspected record does not establish his personal responsibility for UPA-era economic performance. A phase-specific account of his economic interventions before 2013 needs further primary research.</t>
        </is>
      </c>
      <c r="D169" s="10" t="inlineStr">
        <is>
          <t>Not reviewed</t>
        </is>
      </c>
      <c r="E169" s="6" t="n"/>
      <c r="F169" s="6" t="inlineStr">
        <is>
          <t>Normal</t>
        </is>
      </c>
      <c r="G169" s="6" t="inlineStr">
        <is>
          <t>Finding</t>
        </is>
      </c>
      <c r="H169" s="6" t="inlineStr">
        <is>
          <t>Analysis</t>
        </is>
      </c>
      <c r="I169" s="6" t="inlineStr">
        <is>
          <t>S004</t>
        </is>
      </c>
      <c r="J169" s="7" t="inlineStr">
        <is>
          <t>All citations</t>
        </is>
      </c>
      <c r="K169" s="6" t="inlineStr"/>
      <c r="L169" s="6" t="inlineStr">
        <is>
          <t>Research gap: related sources orient further work but do not prove absence.</t>
        </is>
      </c>
      <c r="M169" s="6" t="inlineStr">
        <is>
          <t>Context &amp; Constraints</t>
        </is>
      </c>
    </row>
    <row r="170" ht="66" customHeight="1">
      <c r="A170" s="4" t="inlineStr">
        <is>
          <t>C-CT-P1-05-01</t>
        </is>
      </c>
      <c r="B170" s="5" t="inlineStr">
        <is>
          <t>CT-P1-05</t>
        </is>
      </c>
      <c r="C170" s="4" t="inlineStr">
        <is>
          <t>A phase-specific foreign-policy record was not established. Overseas education is biographical evidence, not evidence of diplomatic influence or a geopolitical doctrine.</t>
        </is>
      </c>
      <c r="D170" s="10" t="inlineStr">
        <is>
          <t>Not reviewed</t>
        </is>
      </c>
      <c r="E170" s="4" t="n"/>
      <c r="F170" s="4" t="inlineStr">
        <is>
          <t>Normal</t>
        </is>
      </c>
      <c r="G170" s="4" t="inlineStr">
        <is>
          <t>Finding</t>
        </is>
      </c>
      <c r="H170" s="4" t="inlineStr">
        <is>
          <t>Analysis</t>
        </is>
      </c>
      <c r="I170" s="4" t="inlineStr">
        <is>
          <t>S005</t>
        </is>
      </c>
      <c r="J170" s="5" t="inlineStr">
        <is>
          <t>All citations</t>
        </is>
      </c>
      <c r="K170" s="4" t="inlineStr"/>
      <c r="L170" s="4" t="inlineStr">
        <is>
          <t>Research gap: related sources orient further work but do not prove absence.</t>
        </is>
      </c>
      <c r="M170" s="4" t="inlineStr">
        <is>
          <t>Context &amp; Constraints</t>
        </is>
      </c>
    </row>
    <row r="171" ht="66" customHeight="1">
      <c r="A171" s="6" t="inlineStr">
        <is>
          <t>C-CT-P1-06-01</t>
        </is>
      </c>
      <c r="B171" s="7" t="inlineStr">
        <is>
          <t>CT-P1-06</t>
        </is>
      </c>
      <c r="C171" s="6" t="inlineStr">
        <is>
          <t>Contemporaneous reporting in 2012 scrutinised the relation between prominent campaigning and weak local organisation. Publicity and assembly-seat gains were different measures.</t>
        </is>
      </c>
      <c r="D171" s="6" t="inlineStr">
        <is>
          <t>Supported</t>
        </is>
      </c>
      <c r="E171" s="7" t="inlineStr">
        <is>
          <t>EV-0290</t>
        </is>
      </c>
      <c r="F171" s="6" t="inlineStr">
        <is>
          <t>Normal</t>
        </is>
      </c>
      <c r="G171" s="6" t="inlineStr">
        <is>
          <t>Finding</t>
        </is>
      </c>
      <c r="H171" s="6" t="inlineStr">
        <is>
          <t>Analysis</t>
        </is>
      </c>
      <c r="I171" s="6" t="inlineStr">
        <is>
          <t>S034</t>
        </is>
      </c>
      <c r="J171" s="7" t="inlineStr">
        <is>
          <t>All citations</t>
        </is>
      </c>
      <c r="K171" s="6" t="inlineStr"/>
      <c r="L171" s="6" t="inlineStr">
        <is>
          <t>Contextual synthesis; comparison is a scope boundary, not a ranked performance score.</t>
        </is>
      </c>
      <c r="M171" s="6" t="inlineStr">
        <is>
          <t>Context &amp; Constraints</t>
        </is>
      </c>
    </row>
    <row r="172" ht="66" customHeight="1">
      <c r="A172" s="4" t="inlineStr">
        <is>
          <t>C-CT-P1-07-01</t>
        </is>
      </c>
      <c r="B172" s="5" t="inlineStr">
        <is>
          <t>CT-P1-07</t>
        </is>
      </c>
      <c r="C172" s="4" t="inlineStr">
        <is>
          <t>Youth-organisation elections were intended to broaden entry beyond nominations. The later 2014 debate supplies evidence of contested institutional effects, rather than a settled reform verdict.</t>
        </is>
      </c>
      <c r="D172" s="4" t="inlineStr">
        <is>
          <t>Supported</t>
        </is>
      </c>
      <c r="E172" s="5" t="inlineStr">
        <is>
          <t>EV-0291; EV-0292</t>
        </is>
      </c>
      <c r="F172" s="4" t="inlineStr">
        <is>
          <t>Normal</t>
        </is>
      </c>
      <c r="G172" s="4" t="inlineStr">
        <is>
          <t>Finding</t>
        </is>
      </c>
      <c r="H172" s="4" t="inlineStr">
        <is>
          <t>Analysis</t>
        </is>
      </c>
      <c r="I172" s="4" t="inlineStr">
        <is>
          <t>S021; S022</t>
        </is>
      </c>
      <c r="J172" s="5" t="inlineStr">
        <is>
          <t>All citations</t>
        </is>
      </c>
      <c r="K172" s="4" t="inlineStr"/>
      <c r="L172" s="4" t="inlineStr">
        <is>
          <t>Contextual synthesis; comparison is a scope boundary, not a ranked performance score.</t>
        </is>
      </c>
      <c r="M172" s="4" t="inlineStr">
        <is>
          <t>Context &amp; Constraints</t>
        </is>
      </c>
    </row>
    <row r="173" ht="66" customHeight="1">
      <c r="A173" s="6" t="inlineStr">
        <is>
          <t>C-CT-P1-08-01</t>
        </is>
      </c>
      <c r="B173" s="7" t="inlineStr">
        <is>
          <t>CT-P1-08</t>
        </is>
      </c>
      <c r="C173" s="6" t="inlineStr">
        <is>
          <t>Dynastic access and a safe-seat reputation shaped his entry; the 2012 UP setback showed that national family prominence did not ensure state-level campaign success.</t>
        </is>
      </c>
      <c r="D173" s="6" t="inlineStr">
        <is>
          <t>Supported</t>
        </is>
      </c>
      <c r="E173" s="7" t="inlineStr">
        <is>
          <t>EV-0293; EV-0294</t>
        </is>
      </c>
      <c r="F173" s="6" t="inlineStr">
        <is>
          <t>Normal</t>
        </is>
      </c>
      <c r="G173" s="6" t="inlineStr">
        <is>
          <t>Finding</t>
        </is>
      </c>
      <c r="H173" s="6" t="inlineStr">
        <is>
          <t>Analysis</t>
        </is>
      </c>
      <c r="I173" s="6" t="inlineStr">
        <is>
          <t>S004; S034</t>
        </is>
      </c>
      <c r="J173" s="7" t="inlineStr">
        <is>
          <t>All citations</t>
        </is>
      </c>
      <c r="K173" s="6" t="inlineStr"/>
      <c r="L173" s="6" t="inlineStr">
        <is>
          <t>Contextual synthesis; comparison is a scope boundary, not a ranked performance score.</t>
        </is>
      </c>
      <c r="M173" s="6" t="inlineStr">
        <is>
          <t>Context &amp; Constraints</t>
        </is>
      </c>
    </row>
    <row r="174" ht="66" customHeight="1">
      <c r="A174" s="4" t="inlineStr">
        <is>
          <t>C-CT-P1-09-01</t>
        </is>
      </c>
      <c r="B174" s="5" t="inlineStr">
        <is>
          <t>CT-P1-09</t>
        </is>
      </c>
      <c r="C174" s="4" t="inlineStr">
        <is>
          <t>The early electoral base was Amethi in Uttar Pradesh. State campaign leadership in 2012 must be distinguished from personally standing in a parliamentary constituency.</t>
        </is>
      </c>
      <c r="D174" s="4" t="inlineStr">
        <is>
          <t>Supported</t>
        </is>
      </c>
      <c r="E174" s="5" t="inlineStr">
        <is>
          <t>EV-0295; EV-0296; EV-0297</t>
        </is>
      </c>
      <c r="F174" s="4" t="inlineStr">
        <is>
          <t>Normal</t>
        </is>
      </c>
      <c r="G174" s="4" t="inlineStr">
        <is>
          <t>Finding</t>
        </is>
      </c>
      <c r="H174" s="4" t="inlineStr">
        <is>
          <t>Analysis</t>
        </is>
      </c>
      <c r="I174" s="4" t="inlineStr">
        <is>
          <t>S009; S008; S034</t>
        </is>
      </c>
      <c r="J174" s="5" t="inlineStr">
        <is>
          <t>All citations</t>
        </is>
      </c>
      <c r="K174" s="4" t="inlineStr"/>
      <c r="L174" s="4" t="inlineStr">
        <is>
          <t>Contextual synthesis; comparison is a scope boundary, not a ranked performance score.</t>
        </is>
      </c>
      <c r="M174" s="4" t="inlineStr">
        <is>
          <t>Context &amp; Constraints</t>
        </is>
      </c>
    </row>
    <row r="175" ht="80" customHeight="1">
      <c r="A175" s="6" t="inlineStr">
        <is>
          <t>C-CT-P1-10-01</t>
        </is>
      </c>
      <c r="B175" s="7" t="inlineStr">
        <is>
          <t>CT-P1-10</t>
        </is>
      </c>
      <c r="C175" s="6" t="inlineStr">
        <is>
          <t>The party biography supplies chronology but also partisan framing. Original early election returns remain a gap; the workbook retains inspected secondary totals and leaves an unrecovered share blank.</t>
        </is>
      </c>
      <c r="D175" s="6" t="inlineStr">
        <is>
          <t>Supported</t>
        </is>
      </c>
      <c r="E175" s="7" t="inlineStr">
        <is>
          <t>EV-0298; EV-0299; EV-0300</t>
        </is>
      </c>
      <c r="F175" s="6" t="inlineStr">
        <is>
          <t>Normal</t>
        </is>
      </c>
      <c r="G175" s="6" t="inlineStr">
        <is>
          <t>Finding</t>
        </is>
      </c>
      <c r="H175" s="6" t="inlineStr">
        <is>
          <t>Analysis</t>
        </is>
      </c>
      <c r="I175" s="6" t="inlineStr">
        <is>
          <t>S004; S009; S008</t>
        </is>
      </c>
      <c r="J175" s="7" t="inlineStr">
        <is>
          <t>All citations</t>
        </is>
      </c>
      <c r="K175" s="6" t="inlineStr"/>
      <c r="L175" s="6" t="inlineStr">
        <is>
          <t>Contextual synthesis; comparison is a scope boundary, not a ranked performance score.</t>
        </is>
      </c>
      <c r="M175" s="6" t="inlineStr">
        <is>
          <t>Context &amp; Constraints</t>
        </is>
      </c>
    </row>
    <row r="176" ht="66" customHeight="1">
      <c r="A176" s="4" t="inlineStr">
        <is>
          <t>C-CT-P2-01-01</t>
        </is>
      </c>
      <c r="B176" s="5" t="inlineStr">
        <is>
          <t>CT-P2-01</t>
        </is>
      </c>
      <c r="C176" s="4" t="inlineStr">
        <is>
          <t>Carnegie characterises 2014 as the start of a BJP-centred party system. Congress’s 2019 total of 52 seats formed the immediate setting of Gandhi’s presidential resignation.</t>
        </is>
      </c>
      <c r="D176" s="4" t="inlineStr">
        <is>
          <t>Supported</t>
        </is>
      </c>
      <c r="E176" s="5" t="inlineStr">
        <is>
          <t>EV-0301; EV-0302</t>
        </is>
      </c>
      <c r="F176" s="4" t="inlineStr">
        <is>
          <t>Normal</t>
        </is>
      </c>
      <c r="G176" s="4" t="inlineStr">
        <is>
          <t>Finding</t>
        </is>
      </c>
      <c r="H176" s="4" t="inlineStr">
        <is>
          <t>Analysis</t>
        </is>
      </c>
      <c r="I176" s="4" t="inlineStr">
        <is>
          <t>S024; S014</t>
        </is>
      </c>
      <c r="J176" s="5" t="inlineStr">
        <is>
          <t>All citations</t>
        </is>
      </c>
      <c r="K176" s="4" t="inlineStr"/>
      <c r="L176" s="4" t="inlineStr">
        <is>
          <t>Contextual synthesis; comparison is a scope boundary, not a ranked performance score.</t>
        </is>
      </c>
      <c r="M176" s="4" t="inlineStr">
        <is>
          <t>Context &amp; Constraints</t>
        </is>
      </c>
    </row>
    <row r="177" ht="66" customHeight="1">
      <c r="A177" s="6" t="inlineStr">
        <is>
          <t>C-CT-P2-02-01</t>
        </is>
      </c>
      <c r="B177" s="7" t="inlineStr">
        <is>
          <t>CT-P2-02</t>
        </is>
      </c>
      <c r="C177" s="6" t="inlineStr">
        <is>
          <t>Land-law opposition operated through legislative debate and wider mobilisation. Gandhi acted as an opposition politician; the bill’s text and coalition of opponents are distinct evidence.</t>
        </is>
      </c>
      <c r="D177" s="6" t="inlineStr">
        <is>
          <t>Supported</t>
        </is>
      </c>
      <c r="E177" s="7" t="inlineStr">
        <is>
          <t>EV-0303; EV-0304</t>
        </is>
      </c>
      <c r="F177" s="6" t="inlineStr">
        <is>
          <t>Normal</t>
        </is>
      </c>
      <c r="G177" s="6" t="inlineStr">
        <is>
          <t>Finding</t>
        </is>
      </c>
      <c r="H177" s="6" t="inlineStr">
        <is>
          <t>Analysis</t>
        </is>
      </c>
      <c r="I177" s="6" t="inlineStr">
        <is>
          <t>S032; S037</t>
        </is>
      </c>
      <c r="J177" s="7" t="inlineStr">
        <is>
          <t>All citations</t>
        </is>
      </c>
      <c r="K177" s="6" t="inlineStr"/>
      <c r="L177" s="6" t="inlineStr">
        <is>
          <t>Contextual synthesis; comparison is a scope boundary, not a ranked performance score.</t>
        </is>
      </c>
      <c r="M177" s="6" t="inlineStr">
        <is>
          <t>Context &amp; Constraints</t>
        </is>
      </c>
    </row>
    <row r="178" ht="66" customHeight="1">
      <c r="A178" s="4" t="inlineStr">
        <is>
          <t>C-CT-P2-03-01</t>
        </is>
      </c>
      <c r="B178" s="5" t="inlineStr">
        <is>
          <t>CT-P2-03</t>
        </is>
      </c>
      <c r="C178" s="4" t="inlineStr">
        <is>
          <t>He won Amethi in 2014, then lost it while winning Wayanad in 2019. Two simultaneous candidacies produced one loss and one victory, not a single national mandate.</t>
        </is>
      </c>
      <c r="D178" s="4" t="inlineStr">
        <is>
          <t>Supported</t>
        </is>
      </c>
      <c r="E178" s="5" t="inlineStr">
        <is>
          <t>EV-0305; EV-0306; EV-0307</t>
        </is>
      </c>
      <c r="F178" s="4" t="inlineStr">
        <is>
          <t>Normal</t>
        </is>
      </c>
      <c r="G178" s="4" t="inlineStr">
        <is>
          <t>Finding</t>
        </is>
      </c>
      <c r="H178" s="4" t="inlineStr">
        <is>
          <t>Analysis</t>
        </is>
      </c>
      <c r="I178" s="4" t="inlineStr">
        <is>
          <t>S008; S007; S041</t>
        </is>
      </c>
      <c r="J178" s="5" t="inlineStr">
        <is>
          <t>All citations</t>
        </is>
      </c>
      <c r="K178" s="4" t="inlineStr"/>
      <c r="L178" s="4" t="inlineStr">
        <is>
          <t>Contextual synthesis; comparison is a scope boundary, not a ranked performance score.</t>
        </is>
      </c>
      <c r="M178" s="4" t="inlineStr">
        <is>
          <t>Context &amp; Constraints</t>
        </is>
      </c>
    </row>
    <row r="179" ht="66" customHeight="1">
      <c r="A179" s="6" t="inlineStr">
        <is>
          <t>C-CT-P2-04-01</t>
        </is>
      </c>
      <c r="B179" s="7" t="inlineStr">
        <is>
          <t>CT-P2-04</t>
        </is>
      </c>
      <c r="C179" s="6" t="inlineStr">
        <is>
          <t>Land acquisition and the NYAY transfer proposal framed his economic opposition. NYAY remained a campaign promise after Congress’s defeat; no delivered income effect follows from the promise.</t>
        </is>
      </c>
      <c r="D179" s="6" t="inlineStr">
        <is>
          <t>Supported</t>
        </is>
      </c>
      <c r="E179" s="7" t="inlineStr">
        <is>
          <t>EV-0308; EV-0309; EV-0310</t>
        </is>
      </c>
      <c r="F179" s="6" t="inlineStr">
        <is>
          <t>Normal</t>
        </is>
      </c>
      <c r="G179" s="6" t="inlineStr">
        <is>
          <t>Finding</t>
        </is>
      </c>
      <c r="H179" s="6" t="inlineStr">
        <is>
          <t>Analysis</t>
        </is>
      </c>
      <c r="I179" s="6" t="inlineStr">
        <is>
          <t>S037; S028; S014</t>
        </is>
      </c>
      <c r="J179" s="7" t="inlineStr">
        <is>
          <t>All citations</t>
        </is>
      </c>
      <c r="K179" s="6" t="inlineStr"/>
      <c r="L179" s="6" t="inlineStr">
        <is>
          <t>Contextual synthesis; comparison is a scope boundary, not a ranked performance score.</t>
        </is>
      </c>
      <c r="M179" s="6" t="inlineStr">
        <is>
          <t>Context &amp; Constraints</t>
        </is>
      </c>
    </row>
    <row r="180" ht="66" customHeight="1">
      <c r="A180" s="4" t="inlineStr">
        <is>
          <t>C-CT-P2-05-01</t>
        </is>
      </c>
      <c r="B180" s="5" t="inlineStr">
        <is>
          <t>CT-P2-05</t>
        </is>
      </c>
      <c r="C180" s="4" t="inlineStr">
        <is>
          <t>The inspected materials do not support a systematic account of his foreign-policy positions during 2014–2019. Comparison with the prime minister’s diplomatic output would use unlike offices.</t>
        </is>
      </c>
      <c r="D180" s="10" t="inlineStr">
        <is>
          <t>Not reviewed</t>
        </is>
      </c>
      <c r="E180" s="4" t="n"/>
      <c r="F180" s="4" t="inlineStr">
        <is>
          <t>Normal</t>
        </is>
      </c>
      <c r="G180" s="4" t="inlineStr">
        <is>
          <t>Finding</t>
        </is>
      </c>
      <c r="H180" s="4" t="inlineStr">
        <is>
          <t>Analysis</t>
        </is>
      </c>
      <c r="I180" s="4" t="inlineStr">
        <is>
          <t>S014</t>
        </is>
      </c>
      <c r="J180" s="5" t="inlineStr">
        <is>
          <t>All citations</t>
        </is>
      </c>
      <c r="K180" s="4" t="inlineStr"/>
      <c r="L180" s="4" t="inlineStr">
        <is>
          <t>Research gap: related sources orient further work but do not prove absence.</t>
        </is>
      </c>
      <c r="M180" s="4" t="inlineStr">
        <is>
          <t>Context &amp; Constraints</t>
        </is>
      </c>
    </row>
    <row r="181" ht="80" customHeight="1">
      <c r="A181" s="6" t="inlineStr">
        <is>
          <t>C-CT-P2-06-01</t>
        </is>
      </c>
      <c r="B181" s="7" t="inlineStr">
        <is>
          <t>CT-P2-06</t>
        </is>
      </c>
      <c r="C181" s="6" t="inlineStr">
        <is>
          <t>His public resignation letter linked defeat to wider institutional and communication conditions. These are Gandhi’s attributed explanations; the letter does not independently establish their causal weight.</t>
        </is>
      </c>
      <c r="D181" s="6" t="inlineStr">
        <is>
          <t>Supported</t>
        </is>
      </c>
      <c r="E181" s="7" t="inlineStr">
        <is>
          <t>EV-0311</t>
        </is>
      </c>
      <c r="F181" s="6" t="inlineStr">
        <is>
          <t>Normal</t>
        </is>
      </c>
      <c r="G181" s="6" t="inlineStr">
        <is>
          <t>Finding</t>
        </is>
      </c>
      <c r="H181" s="6" t="inlineStr">
        <is>
          <t>Analysis</t>
        </is>
      </c>
      <c r="I181" s="6" t="inlineStr">
        <is>
          <t>S014</t>
        </is>
      </c>
      <c r="J181" s="7" t="inlineStr">
        <is>
          <t>All citations</t>
        </is>
      </c>
      <c r="K181" s="6" t="inlineStr"/>
      <c r="L181" s="6" t="inlineStr">
        <is>
          <t>Contextual synthesis; comparison is a scope boundary, not a ranked performance score.</t>
        </is>
      </c>
      <c r="M181" s="6" t="inlineStr">
        <is>
          <t>Context &amp; Constraints</t>
        </is>
      </c>
    </row>
    <row r="182" ht="80" customHeight="1">
      <c r="A182" s="4" t="inlineStr">
        <is>
          <t>C-CT-P2-07-01</t>
        </is>
      </c>
      <c r="B182" s="5" t="inlineStr">
        <is>
          <t>CT-P2-07</t>
        </is>
      </c>
      <c r="C182" s="4" t="inlineStr">
        <is>
          <t>The move from vice-president to president increased formal party responsibility. Internal election disputes and the 2019 resignation show the difference between authority, reform ambition and results.</t>
        </is>
      </c>
      <c r="D182" s="4" t="inlineStr">
        <is>
          <t>Supported</t>
        </is>
      </c>
      <c r="E182" s="5" t="inlineStr">
        <is>
          <t>EV-0312; EV-0313; EV-0314; EV-0315</t>
        </is>
      </c>
      <c r="F182" s="4" t="inlineStr">
        <is>
          <t>Normal</t>
        </is>
      </c>
      <c r="G182" s="4" t="inlineStr">
        <is>
          <t>Finding</t>
        </is>
      </c>
      <c r="H182" s="4" t="inlineStr">
        <is>
          <t>Analysis</t>
        </is>
      </c>
      <c r="I182" s="4" t="inlineStr">
        <is>
          <t>S004; S021; S022; S014</t>
        </is>
      </c>
      <c r="J182" s="5" t="inlineStr">
        <is>
          <t>All citations</t>
        </is>
      </c>
      <c r="K182" s="4" t="inlineStr"/>
      <c r="L182" s="4" t="inlineStr">
        <is>
          <t>Contextual synthesis; comparison is a scope boundary, not a ranked performance score.</t>
        </is>
      </c>
      <c r="M182" s="4" t="inlineStr">
        <is>
          <t>Context &amp; Constraints</t>
        </is>
      </c>
    </row>
    <row r="183" ht="66" customHeight="1">
      <c r="A183" s="6" t="inlineStr">
        <is>
          <t>C-CT-P2-08-01</t>
        </is>
      </c>
      <c r="B183" s="7" t="inlineStr">
        <is>
          <t>CT-P2-08</t>
        </is>
      </c>
      <c r="C183" s="6" t="inlineStr">
        <is>
          <t>Farmer and tribal-land arguments connected economic policy to rural social constituencies. Evidence of a speech or protest does not establish how each caste, class or community voted.</t>
        </is>
      </c>
      <c r="D183" s="6" t="inlineStr">
        <is>
          <t>Supported</t>
        </is>
      </c>
      <c r="E183" s="7" t="inlineStr">
        <is>
          <t>EV-0316; EV-0317</t>
        </is>
      </c>
      <c r="F183" s="6" t="inlineStr">
        <is>
          <t>Normal</t>
        </is>
      </c>
      <c r="G183" s="6" t="inlineStr">
        <is>
          <t>Finding</t>
        </is>
      </c>
      <c r="H183" s="6" t="inlineStr">
        <is>
          <t>Analysis</t>
        </is>
      </c>
      <c r="I183" s="6" t="inlineStr">
        <is>
          <t>S037; S028</t>
        </is>
      </c>
      <c r="J183" s="7" t="inlineStr">
        <is>
          <t>All citations</t>
        </is>
      </c>
      <c r="K183" s="6" t="inlineStr"/>
      <c r="L183" s="6" t="inlineStr">
        <is>
          <t>Contextual synthesis; comparison is a scope boundary, not a ranked performance score.</t>
        </is>
      </c>
      <c r="M183" s="6" t="inlineStr">
        <is>
          <t>Context &amp; Constraints</t>
        </is>
      </c>
    </row>
    <row r="184" ht="66" customHeight="1">
      <c r="A184" s="4" t="inlineStr">
        <is>
          <t>C-CT-P2-09-01</t>
        </is>
      </c>
      <c r="B184" s="5" t="inlineStr">
        <is>
          <t>CT-P2-09</t>
        </is>
      </c>
      <c r="C184" s="4" t="inlineStr">
        <is>
          <t>The move into Wayanad widened his personal electoral geography from Uttar Pradesh to Kerala. It should be analysed alongside the simultaneous Amethi defeat.</t>
        </is>
      </c>
      <c r="D184" s="4" t="inlineStr">
        <is>
          <t>Supported</t>
        </is>
      </c>
      <c r="E184" s="5" t="inlineStr">
        <is>
          <t>EV-0318; EV-0319</t>
        </is>
      </c>
      <c r="F184" s="4" t="inlineStr">
        <is>
          <t>Normal</t>
        </is>
      </c>
      <c r="G184" s="4" t="inlineStr">
        <is>
          <t>Finding</t>
        </is>
      </c>
      <c r="H184" s="4" t="inlineStr">
        <is>
          <t>Analysis</t>
        </is>
      </c>
      <c r="I184" s="4" t="inlineStr">
        <is>
          <t>S007; S041</t>
        </is>
      </c>
      <c r="J184" s="5" t="inlineStr">
        <is>
          <t>All citations</t>
        </is>
      </c>
      <c r="K184" s="4" t="inlineStr"/>
      <c r="L184" s="4" t="inlineStr">
        <is>
          <t>Contextual synthesis; comparison is a scope boundary, not a ranked performance score.</t>
        </is>
      </c>
      <c r="M184" s="4" t="inlineStr">
        <is>
          <t>Context &amp; Constraints</t>
        </is>
      </c>
    </row>
    <row r="185" ht="80" customHeight="1">
      <c r="A185" s="6" t="inlineStr">
        <is>
          <t>C-CT-P2-10-01</t>
        </is>
      </c>
      <c r="B185" s="7" t="inlineStr">
        <is>
          <t>CT-P2-10</t>
        </is>
      </c>
      <c r="C185" s="6" t="inlineStr">
        <is>
          <t>Contemporaneous internal-party reporting preserves opposing views of organisational reform. Election compilations can disagree on rounded shares; exact vote totals are kept separate from disputed percentages.</t>
        </is>
      </c>
      <c r="D185" s="6" t="inlineStr">
        <is>
          <t>Supported</t>
        </is>
      </c>
      <c r="E185" s="7" t="inlineStr">
        <is>
          <t>EV-0320; EV-0321; EV-0322</t>
        </is>
      </c>
      <c r="F185" s="6" t="inlineStr">
        <is>
          <t>Normal</t>
        </is>
      </c>
      <c r="G185" s="6" t="inlineStr">
        <is>
          <t>Finding</t>
        </is>
      </c>
      <c r="H185" s="6" t="inlineStr">
        <is>
          <t>Analysis</t>
        </is>
      </c>
      <c r="I185" s="6" t="inlineStr">
        <is>
          <t>S021; S022; S008</t>
        </is>
      </c>
      <c r="J185" s="7" t="inlineStr">
        <is>
          <t>All citations</t>
        </is>
      </c>
      <c r="K185" s="6" t="inlineStr"/>
      <c r="L185" s="6" t="inlineStr">
        <is>
          <t>Contextual synthesis; comparison is a scope boundary, not a ranked performance score.</t>
        </is>
      </c>
      <c r="M185" s="6" t="inlineStr">
        <is>
          <t>Context &amp; Constraints</t>
        </is>
      </c>
    </row>
    <row r="186" ht="66" customHeight="1">
      <c r="A186" s="4" t="inlineStr">
        <is>
          <t>C-CT-P3-01-01</t>
        </is>
      </c>
      <c r="B186" s="5" t="inlineStr">
        <is>
          <t>CT-P3-01</t>
        </is>
      </c>
      <c r="C186" s="4" t="inlineStr">
        <is>
          <t>After resigning the presidency, Gandhi retained prominence while Kharge later headed Congress. Reuters’s 2024 account describes a revival within a wider opposition campaign.</t>
        </is>
      </c>
      <c r="D186" s="4" t="inlineStr">
        <is>
          <t>Supported</t>
        </is>
      </c>
      <c r="E186" s="5" t="inlineStr">
        <is>
          <t>EV-0323; EV-0324</t>
        </is>
      </c>
      <c r="F186" s="4" t="inlineStr">
        <is>
          <t>Normal</t>
        </is>
      </c>
      <c r="G186" s="4" t="inlineStr">
        <is>
          <t>Finding</t>
        </is>
      </c>
      <c r="H186" s="4" t="inlineStr">
        <is>
          <t>Analysis</t>
        </is>
      </c>
      <c r="I186" s="4" t="inlineStr">
        <is>
          <t>S014; S023</t>
        </is>
      </c>
      <c r="J186" s="5" t="inlineStr">
        <is>
          <t>All citations</t>
        </is>
      </c>
      <c r="K186" s="4" t="inlineStr"/>
      <c r="L186" s="4" t="inlineStr">
        <is>
          <t>Contextual synthesis; comparison is a scope boundary, not a ranked performance score.</t>
        </is>
      </c>
      <c r="M186" s="4" t="inlineStr">
        <is>
          <t>Context &amp; Constraints</t>
        </is>
      </c>
    </row>
    <row r="187" ht="66" customHeight="1">
      <c r="A187" s="6" t="inlineStr">
        <is>
          <t>C-CT-P3-02-01</t>
        </is>
      </c>
      <c r="B187" s="7" t="inlineStr">
        <is>
          <t>CT-P3-02</t>
        </is>
      </c>
      <c r="C187" s="6" t="inlineStr">
        <is>
          <t>A trial conviction interrupted membership in 2023. The Supreme Court’s stay and subsequent restoration demonstrate the distinct roles of trial court, appellate court and parliamentary notification.</t>
        </is>
      </c>
      <c r="D187" s="6" t="inlineStr">
        <is>
          <t>Supported</t>
        </is>
      </c>
      <c r="E187" s="7" t="inlineStr">
        <is>
          <t>EV-0325; EV-0326</t>
        </is>
      </c>
      <c r="F187" s="6" t="inlineStr">
        <is>
          <t>Normal</t>
        </is>
      </c>
      <c r="G187" s="6" t="inlineStr">
        <is>
          <t>Finding</t>
        </is>
      </c>
      <c r="H187" s="6" t="inlineStr">
        <is>
          <t>Analysis</t>
        </is>
      </c>
      <c r="I187" s="6" t="inlineStr">
        <is>
          <t>S010; S011</t>
        </is>
      </c>
      <c r="J187" s="7" t="inlineStr">
        <is>
          <t>All citations</t>
        </is>
      </c>
      <c r="K187" s="6" t="inlineStr"/>
      <c r="L187" s="6" t="inlineStr">
        <is>
          <t>Contextual synthesis; comparison is a scope boundary, not a ranked performance score.</t>
        </is>
      </c>
      <c r="M187" s="6" t="inlineStr">
        <is>
          <t>Context &amp; Constraints</t>
        </is>
      </c>
    </row>
    <row r="188" ht="66" customHeight="1">
      <c r="A188" s="4" t="inlineStr">
        <is>
          <t>C-CT-P3-03-01</t>
        </is>
      </c>
      <c r="B188" s="5" t="inlineStr">
        <is>
          <t>CT-P3-03</t>
        </is>
      </c>
      <c r="C188" s="4" t="inlineStr">
        <is>
          <t>His 2019 Wayanad mandate continued through most of this phase, interrupted by disqualification. PRS’s continuous displayed tenure needs the separate 2023 interruption recorded beside it.</t>
        </is>
      </c>
      <c r="D188" s="4" t="inlineStr">
        <is>
          <t>Supported</t>
        </is>
      </c>
      <c r="E188" s="5" t="inlineStr">
        <is>
          <t>EV-0327; EV-0328</t>
        </is>
      </c>
      <c r="F188" s="4" t="inlineStr">
        <is>
          <t>Normal</t>
        </is>
      </c>
      <c r="G188" s="4" t="inlineStr">
        <is>
          <t>Finding</t>
        </is>
      </c>
      <c r="H188" s="4" t="inlineStr">
        <is>
          <t>Analysis</t>
        </is>
      </c>
      <c r="I188" s="4" t="inlineStr">
        <is>
          <t>S042; S011</t>
        </is>
      </c>
      <c r="J188" s="5" t="inlineStr">
        <is>
          <t>All citations</t>
        </is>
      </c>
      <c r="K188" s="4" t="inlineStr"/>
      <c r="L188" s="4" t="inlineStr">
        <is>
          <t>Contextual synthesis; comparison is a scope boundary, not a ranked performance score.</t>
        </is>
      </c>
      <c r="M188" s="4" t="inlineStr">
        <is>
          <t>Context &amp; Constraints</t>
        </is>
      </c>
    </row>
    <row r="189" ht="66" customHeight="1">
      <c r="A189" s="6" t="inlineStr">
        <is>
          <t>C-CT-P3-04-01</t>
        </is>
      </c>
      <c r="B189" s="7" t="inlineStr">
        <is>
          <t>CT-P3-04</t>
        </is>
      </c>
      <c r="C189" s="6" t="inlineStr">
        <is>
          <t>The 2024 platform linked apprenticeships, farm-price guarantees and transfers to employment and distribution. These are proposed instruments, not measured macroeconomic outcomes.</t>
        </is>
      </c>
      <c r="D189" s="6" t="inlineStr">
        <is>
          <t>Supported</t>
        </is>
      </c>
      <c r="E189" s="7" t="inlineStr">
        <is>
          <t>EV-0329; EV-0330; EV-0331</t>
        </is>
      </c>
      <c r="F189" s="6" t="inlineStr">
        <is>
          <t>Normal</t>
        </is>
      </c>
      <c r="G189" s="6" t="inlineStr">
        <is>
          <t>Finding</t>
        </is>
      </c>
      <c r="H189" s="6" t="inlineStr">
        <is>
          <t>Analysis</t>
        </is>
      </c>
      <c r="I189" s="6" t="inlineStr">
        <is>
          <t>S018; S019; S017</t>
        </is>
      </c>
      <c r="J189" s="7" t="inlineStr">
        <is>
          <t>All citations</t>
        </is>
      </c>
      <c r="K189" s="6" t="inlineStr"/>
      <c r="L189" s="6" t="inlineStr">
        <is>
          <t>Contextual synthesis; comparison is a scope boundary, not a ranked performance score.</t>
        </is>
      </c>
      <c r="M189" s="6" t="inlineStr">
        <is>
          <t>Context &amp; Constraints</t>
        </is>
      </c>
    </row>
    <row r="190" ht="66" customHeight="1">
      <c r="A190" s="4" t="inlineStr">
        <is>
          <t>C-CT-P3-05-01</t>
        </is>
      </c>
      <c r="B190" s="5" t="inlineStr">
        <is>
          <t>CT-P3-05</t>
        </is>
      </c>
      <c r="C190" s="4" t="inlineStr">
        <is>
          <t>Congress’s 2024 security platform supplied stated positions on recruitment and foreign-policy continuity. Gandhi’s association with that platform does not amount to executive implementation.</t>
        </is>
      </c>
      <c r="D190" s="4" t="inlineStr">
        <is>
          <t>Supported</t>
        </is>
      </c>
      <c r="E190" s="5" t="inlineStr">
        <is>
          <t>EV-0332</t>
        </is>
      </c>
      <c r="F190" s="4" t="inlineStr">
        <is>
          <t>Normal</t>
        </is>
      </c>
      <c r="G190" s="4" t="inlineStr">
        <is>
          <t>Finding</t>
        </is>
      </c>
      <c r="H190" s="4" t="inlineStr">
        <is>
          <t>Analysis</t>
        </is>
      </c>
      <c r="I190" s="4" t="inlineStr">
        <is>
          <t>S020</t>
        </is>
      </c>
      <c r="J190" s="5" t="inlineStr">
        <is>
          <t>All citations</t>
        </is>
      </c>
      <c r="K190" s="4" t="inlineStr"/>
      <c r="L190" s="4" t="inlineStr">
        <is>
          <t>Contextual synthesis; comparison is a scope boundary, not a ranked performance score.</t>
        </is>
      </c>
      <c r="M190" s="4" t="inlineStr">
        <is>
          <t>Context &amp; Constraints</t>
        </is>
      </c>
    </row>
    <row r="191" ht="66" customHeight="1">
      <c r="A191" s="6" t="inlineStr">
        <is>
          <t>C-CT-P3-06-01</t>
        </is>
      </c>
      <c r="B191" s="7" t="inlineStr">
        <is>
          <t>CT-P3-06</t>
        </is>
      </c>
      <c r="C191" s="6" t="inlineStr">
        <is>
          <t>The long marches created repeated personal contact and media attention. Contemporary discussion included physical endurance and dress; a later Reuters assessment described image recovery.</t>
        </is>
      </c>
      <c r="D191" s="6" t="inlineStr">
        <is>
          <t>Supported</t>
        </is>
      </c>
      <c r="E191" s="7" t="inlineStr">
        <is>
          <t>EV-0333; EV-0334; EV-0335</t>
        </is>
      </c>
      <c r="F191" s="6" t="inlineStr">
        <is>
          <t>Normal</t>
        </is>
      </c>
      <c r="G191" s="6" t="inlineStr">
        <is>
          <t>Finding</t>
        </is>
      </c>
      <c r="H191" s="6" t="inlineStr">
        <is>
          <t>Analysis</t>
        </is>
      </c>
      <c r="I191" s="6" t="inlineStr">
        <is>
          <t>S015; S025; S023</t>
        </is>
      </c>
      <c r="J191" s="7" t="inlineStr">
        <is>
          <t>All citations</t>
        </is>
      </c>
      <c r="K191" s="6" t="inlineStr"/>
      <c r="L191" s="6" t="inlineStr">
        <is>
          <t>Contextual synthesis; comparison is a scope boundary, not a ranked performance score.</t>
        </is>
      </c>
      <c r="M191" s="6" t="inlineStr">
        <is>
          <t>Context &amp; Constraints</t>
        </is>
      </c>
    </row>
    <row r="192" ht="80" customHeight="1">
      <c r="A192" s="4" t="inlineStr">
        <is>
          <t>C-CT-P3-07-01</t>
        </is>
      </c>
      <c r="B192" s="5" t="inlineStr">
        <is>
          <t>CT-P3-07</t>
        </is>
      </c>
      <c r="C192" s="4" t="inlineStr">
        <is>
          <t>Bharat Jodo and Bharat Jodo Nyay combined movement-style journeys with party campaigning. They supplemented formal party positions; their independent effect on constituency organisation remains unmeasured.</t>
        </is>
      </c>
      <c r="D192" s="4" t="inlineStr">
        <is>
          <t>Supported</t>
        </is>
      </c>
      <c r="E192" s="5" t="inlineStr">
        <is>
          <t>EV-0336; EV-0337; EV-0338</t>
        </is>
      </c>
      <c r="F192" s="4" t="inlineStr">
        <is>
          <t>Normal</t>
        </is>
      </c>
      <c r="G192" s="4" t="inlineStr">
        <is>
          <t>Finding</t>
        </is>
      </c>
      <c r="H192" s="4" t="inlineStr">
        <is>
          <t>Analysis</t>
        </is>
      </c>
      <c r="I192" s="4" t="inlineStr">
        <is>
          <t>S004; S015; S023</t>
        </is>
      </c>
      <c r="J192" s="5" t="inlineStr">
        <is>
          <t>All citations</t>
        </is>
      </c>
      <c r="K192" s="4" t="inlineStr"/>
      <c r="L192" s="4" t="inlineStr">
        <is>
          <t>Contextual synthesis; comparison is a scope boundary, not a ranked performance score.</t>
        </is>
      </c>
      <c r="M192" s="4" t="inlineStr">
        <is>
          <t>Context &amp; Constraints</t>
        </is>
      </c>
    </row>
    <row r="193" ht="66" customHeight="1">
      <c r="A193" s="6" t="inlineStr">
        <is>
          <t>C-CT-P3-08-01</t>
        </is>
      </c>
      <c r="B193" s="7" t="inlineStr">
        <is>
          <t>CT-P3-08</t>
        </is>
      </c>
      <c r="C193" s="6" t="inlineStr">
        <is>
          <t>Unity speeches and the 2024 platform addressed exclusion, caste representation and minority rights. Source material establishes this agenda, not uniform reception among the intended groups.</t>
        </is>
      </c>
      <c r="D193" s="6" t="inlineStr">
        <is>
          <t>Supported</t>
        </is>
      </c>
      <c r="E193" s="7" t="inlineStr">
        <is>
          <t>EV-0339; EV-0340</t>
        </is>
      </c>
      <c r="F193" s="6" t="inlineStr">
        <is>
          <t>Normal</t>
        </is>
      </c>
      <c r="G193" s="6" t="inlineStr">
        <is>
          <t>Finding</t>
        </is>
      </c>
      <c r="H193" s="6" t="inlineStr">
        <is>
          <t>Analysis</t>
        </is>
      </c>
      <c r="I193" s="6" t="inlineStr">
        <is>
          <t>S015; S016</t>
        </is>
      </c>
      <c r="J193" s="7" t="inlineStr">
        <is>
          <t>All citations</t>
        </is>
      </c>
      <c r="K193" s="6" t="inlineStr"/>
      <c r="L193" s="6" t="inlineStr">
        <is>
          <t>Contextual synthesis; comparison is a scope boundary, not a ranked performance score.</t>
        </is>
      </c>
      <c r="M193" s="6" t="inlineStr">
        <is>
          <t>Context &amp; Constraints</t>
        </is>
      </c>
    </row>
    <row r="194" ht="66" customHeight="1">
      <c r="A194" s="4" t="inlineStr">
        <is>
          <t>C-CT-P3-09-01</t>
        </is>
      </c>
      <c r="B194" s="5" t="inlineStr">
        <is>
          <t>CT-P3-09</t>
        </is>
      </c>
      <c r="C194" s="4" t="inlineStr">
        <is>
          <t>A Kerala constituency coexisted with national journeys and campaigning. The national route and local MP role should not be conflated when evaluating constituency service.</t>
        </is>
      </c>
      <c r="D194" s="4" t="inlineStr">
        <is>
          <t>Supported</t>
        </is>
      </c>
      <c r="E194" s="5" t="inlineStr">
        <is>
          <t>EV-0341; EV-0342</t>
        </is>
      </c>
      <c r="F194" s="4" t="inlineStr">
        <is>
          <t>Normal</t>
        </is>
      </c>
      <c r="G194" s="4" t="inlineStr">
        <is>
          <t>Finding</t>
        </is>
      </c>
      <c r="H194" s="4" t="inlineStr">
        <is>
          <t>Analysis</t>
        </is>
      </c>
      <c r="I194" s="4" t="inlineStr">
        <is>
          <t>S042; S004</t>
        </is>
      </c>
      <c r="J194" s="5" t="inlineStr">
        <is>
          <t>All citations</t>
        </is>
      </c>
      <c r="K194" s="4" t="inlineStr"/>
      <c r="L194" s="4" t="inlineStr">
        <is>
          <t>Contextual synthesis; comparison is a scope boundary, not a ranked performance score.</t>
        </is>
      </c>
      <c r="M194" s="4" t="inlineStr">
        <is>
          <t>Context &amp; Constraints</t>
        </is>
      </c>
    </row>
    <row r="195" ht="66" customHeight="1">
      <c r="A195" s="6" t="inlineStr">
        <is>
          <t>C-CT-P3-10-01</t>
        </is>
      </c>
      <c r="B195" s="7" t="inlineStr">
        <is>
          <t>CT-P3-10</t>
        </is>
      </c>
      <c r="C195" s="6" t="inlineStr">
        <is>
          <t>The court order provides direct procedural evidence; media coverage supplies immediate political consequences. A later merits disposition cannot be inferred from the 2023 stay.</t>
        </is>
      </c>
      <c r="D195" s="6" t="inlineStr">
        <is>
          <t>Supported</t>
        </is>
      </c>
      <c r="E195" s="7" t="inlineStr">
        <is>
          <t>EV-0343; EV-0344</t>
        </is>
      </c>
      <c r="F195" s="6" t="inlineStr">
        <is>
          <t>Normal</t>
        </is>
      </c>
      <c r="G195" s="6" t="inlineStr">
        <is>
          <t>Finding</t>
        </is>
      </c>
      <c r="H195" s="6" t="inlineStr">
        <is>
          <t>Analysis</t>
        </is>
      </c>
      <c r="I195" s="6" t="inlineStr">
        <is>
          <t>S010; S011</t>
        </is>
      </c>
      <c r="J195" s="7" t="inlineStr">
        <is>
          <t>All citations</t>
        </is>
      </c>
      <c r="K195" s="6" t="inlineStr"/>
      <c r="L195" s="6" t="inlineStr">
        <is>
          <t>Contextual synthesis; comparison is a scope boundary, not a ranked performance score.</t>
        </is>
      </c>
      <c r="M195" s="6" t="inlineStr">
        <is>
          <t>Context &amp; Constraints</t>
        </is>
      </c>
    </row>
    <row r="196" ht="66" customHeight="1">
      <c r="A196" s="4" t="inlineStr">
        <is>
          <t>C-CT-P4-01-01</t>
        </is>
      </c>
      <c r="B196" s="5" t="inlineStr">
        <is>
          <t>CT-P4-01</t>
        </is>
      </c>
      <c r="C196" s="4" t="inlineStr">
        <is>
          <t>Carnegie judged the 2024 result a constraint on BJP dominance rather than the end of BJP centrality. Formal opposition leadership therefore coexists with continuing BJP-led government.</t>
        </is>
      </c>
      <c r="D196" s="4" t="inlineStr">
        <is>
          <t>Supported</t>
        </is>
      </c>
      <c r="E196" s="5" t="inlineStr">
        <is>
          <t>EV-0345; EV-0346</t>
        </is>
      </c>
      <c r="F196" s="4" t="inlineStr">
        <is>
          <t>Normal</t>
        </is>
      </c>
      <c r="G196" s="4" t="inlineStr">
        <is>
          <t>Finding</t>
        </is>
      </c>
      <c r="H196" s="4" t="inlineStr">
        <is>
          <t>Analysis</t>
        </is>
      </c>
      <c r="I196" s="4" t="inlineStr">
        <is>
          <t>S024; S002</t>
        </is>
      </c>
      <c r="J196" s="5" t="inlineStr">
        <is>
          <t>All citations</t>
        </is>
      </c>
      <c r="K196" s="4" t="inlineStr"/>
      <c r="L196" s="4" t="inlineStr">
        <is>
          <t>Contextual synthesis; comparison is a scope boundary, not a ranked performance score.</t>
        </is>
      </c>
      <c r="M196" s="4" t="inlineStr">
        <is>
          <t>Context &amp; Constraints</t>
        </is>
      </c>
    </row>
    <row r="197" ht="66" customHeight="1">
      <c r="A197" s="6" t="inlineStr">
        <is>
          <t>C-CT-P4-02-01</t>
        </is>
      </c>
      <c r="B197" s="7" t="inlineStr">
        <is>
          <t>CT-P4-02</t>
        </is>
      </c>
      <c r="C197" s="6" t="inlineStr">
        <is>
          <t>Lok Sabha records the formal LoP office from 9 June 2024. PRS gives attendance as N/A because the LoP does not sign the register; treating that field as zero would be wrong.</t>
        </is>
      </c>
      <c r="D197" s="6" t="inlineStr">
        <is>
          <t>Supported</t>
        </is>
      </c>
      <c r="E197" s="7" t="inlineStr">
        <is>
          <t>EV-0347; EV-0348</t>
        </is>
      </c>
      <c r="F197" s="6" t="inlineStr">
        <is>
          <t>Normal</t>
        </is>
      </c>
      <c r="G197" s="6" t="inlineStr">
        <is>
          <t>Finding</t>
        </is>
      </c>
      <c r="H197" s="6" t="inlineStr">
        <is>
          <t>Analysis</t>
        </is>
      </c>
      <c r="I197" s="6" t="inlineStr">
        <is>
          <t>S002; S003</t>
        </is>
      </c>
      <c r="J197" s="7" t="inlineStr">
        <is>
          <t>All citations</t>
        </is>
      </c>
      <c r="K197" s="6" t="inlineStr"/>
      <c r="L197" s="6" t="inlineStr">
        <is>
          <t>Contextual synthesis; comparison is a scope boundary, not a ranked performance score.</t>
        </is>
      </c>
      <c r="M197" s="6" t="inlineStr">
        <is>
          <t>Context &amp; Constraints</t>
        </is>
      </c>
    </row>
    <row r="198" ht="66" customHeight="1">
      <c r="A198" s="4" t="inlineStr">
        <is>
          <t>C-CT-P4-03-01</t>
        </is>
      </c>
      <c r="B198" s="5" t="inlineStr">
        <is>
          <t>CT-P4-03</t>
        </is>
      </c>
      <c r="C198" s="4" t="inlineStr">
        <is>
          <t>He won Rae Bareli and Wayanad in 2024 and retained Rae Bareli. Congress’s poor Bihar 2025 result concerns a later state campaign, not a personal parliamentary defeat.</t>
        </is>
      </c>
      <c r="D198" s="4" t="inlineStr">
        <is>
          <t>Supported</t>
        </is>
      </c>
      <c r="E198" s="5" t="inlineStr">
        <is>
          <t>EV-0349; EV-0350; EV-0351</t>
        </is>
      </c>
      <c r="F198" s="4" t="inlineStr">
        <is>
          <t>Normal</t>
        </is>
      </c>
      <c r="G198" s="4" t="inlineStr">
        <is>
          <t>Finding</t>
        </is>
      </c>
      <c r="H198" s="4" t="inlineStr">
        <is>
          <t>Analysis</t>
        </is>
      </c>
      <c r="I198" s="4" t="inlineStr">
        <is>
          <t>S006; S043; S026</t>
        </is>
      </c>
      <c r="J198" s="5" t="inlineStr">
        <is>
          <t>All citations</t>
        </is>
      </c>
      <c r="K198" s="4" t="inlineStr"/>
      <c r="L198" s="4" t="inlineStr">
        <is>
          <t>Contextual synthesis; comparison is a scope boundary, not a ranked performance score.</t>
        </is>
      </c>
      <c r="M198" s="4" t="inlineStr">
        <is>
          <t>Context &amp; Constraints</t>
        </is>
      </c>
    </row>
    <row r="199" ht="80" customHeight="1">
      <c r="A199" s="6" t="inlineStr">
        <is>
          <t>C-CT-P4-04-01</t>
        </is>
      </c>
      <c r="B199" s="7" t="inlineStr">
        <is>
          <t>CT-P4-04</t>
        </is>
      </c>
      <c r="C199" s="6" t="inlineStr">
        <is>
          <t>The inspected current policy record is chiefly opposition advocacy and a party platform. Constituency output and national distribution effects require administrative and fiscal evidence beyond proposal documents.</t>
        </is>
      </c>
      <c r="D199" s="10" t="inlineStr">
        <is>
          <t>Not reviewed</t>
        </is>
      </c>
      <c r="E199" s="6" t="n"/>
      <c r="F199" s="6" t="inlineStr">
        <is>
          <t>Normal</t>
        </is>
      </c>
      <c r="G199" s="6" t="inlineStr">
        <is>
          <t>Finding</t>
        </is>
      </c>
      <c r="H199" s="6" t="inlineStr">
        <is>
          <t>Analysis</t>
        </is>
      </c>
      <c r="I199" s="6" t="inlineStr">
        <is>
          <t>S003; S017; S018</t>
        </is>
      </c>
      <c r="J199" s="7" t="inlineStr">
        <is>
          <t>All citations</t>
        </is>
      </c>
      <c r="K199" s="6" t="inlineStr"/>
      <c r="L199" s="6" t="inlineStr">
        <is>
          <t>Research gap: related sources orient further work but do not prove absence.</t>
        </is>
      </c>
      <c r="M199" s="6" t="inlineStr">
        <is>
          <t>Context &amp; Constraints</t>
        </is>
      </c>
    </row>
    <row r="200" ht="66" customHeight="1">
      <c r="A200" s="4" t="inlineStr">
        <is>
          <t>C-CT-P4-05-01</t>
        </is>
      </c>
      <c r="B200" s="5" t="inlineStr">
        <is>
          <t>CT-P4-05</t>
        </is>
      </c>
      <c r="C200" s="4" t="inlineStr">
        <is>
          <t>A comprehensive account of his international engagements as LoP remains incomplete. The pre-election security platform alone cannot establish his diplomatic record through September 2026.</t>
        </is>
      </c>
      <c r="D200" s="10" t="inlineStr">
        <is>
          <t>Not reviewed</t>
        </is>
      </c>
      <c r="E200" s="4" t="n"/>
      <c r="F200" s="4" t="inlineStr">
        <is>
          <t>Normal</t>
        </is>
      </c>
      <c r="G200" s="4" t="inlineStr">
        <is>
          <t>Finding</t>
        </is>
      </c>
      <c r="H200" s="4" t="inlineStr">
        <is>
          <t>Analysis</t>
        </is>
      </c>
      <c r="I200" s="4" t="inlineStr">
        <is>
          <t>S020; S002</t>
        </is>
      </c>
      <c r="J200" s="5" t="inlineStr">
        <is>
          <t>All citations</t>
        </is>
      </c>
      <c r="K200" s="4" t="inlineStr"/>
      <c r="L200" s="4" t="inlineStr">
        <is>
          <t>Research gap: related sources orient further work but do not prove absence.</t>
        </is>
      </c>
      <c r="M200" s="4" t="inlineStr">
        <is>
          <t>Context &amp; Constraints</t>
        </is>
      </c>
    </row>
    <row r="201" ht="66" customHeight="1">
      <c r="A201" s="6" t="inlineStr">
        <is>
          <t>C-CT-P4-06-01</t>
        </is>
      </c>
      <c r="B201" s="7" t="inlineStr">
        <is>
          <t>CT-P4-06</t>
        </is>
      </c>
      <c r="C201" s="6" t="inlineStr">
        <is>
          <t>Electoral-roll allegations became a press-conference and document-based campaign theme. Gandhi’s charges and ECI’s rebuttals are recorded separately; publicity does not adjudicate them.</t>
        </is>
      </c>
      <c r="D201" s="6" t="inlineStr">
        <is>
          <t>Supported</t>
        </is>
      </c>
      <c r="E201" s="7" t="inlineStr">
        <is>
          <t>EV-0352; EV-0353</t>
        </is>
      </c>
      <c r="F201" s="6" t="inlineStr">
        <is>
          <t>Normal</t>
        </is>
      </c>
      <c r="G201" s="6" t="inlineStr">
        <is>
          <t>Finding</t>
        </is>
      </c>
      <c r="H201" s="6" t="inlineStr">
        <is>
          <t>Analysis</t>
        </is>
      </c>
      <c r="I201" s="6" t="inlineStr">
        <is>
          <t>S031; S030</t>
        </is>
      </c>
      <c r="J201" s="7" t="inlineStr">
        <is>
          <t>All citations</t>
        </is>
      </c>
      <c r="K201" s="6" t="inlineStr"/>
      <c r="L201" s="6" t="inlineStr">
        <is>
          <t>Contextual synthesis; comparison is a scope boundary, not a ranked performance score.</t>
        </is>
      </c>
      <c r="M201" s="6" t="inlineStr">
        <is>
          <t>Context &amp; Constraints</t>
        </is>
      </c>
    </row>
    <row r="202" ht="80" customHeight="1">
      <c r="A202" s="4" t="inlineStr">
        <is>
          <t>C-CT-P4-07-01</t>
        </is>
      </c>
      <c r="B202" s="5" t="inlineStr">
        <is>
          <t>CT-P4-07</t>
        </is>
      </c>
      <c r="C202" s="4" t="inlineStr">
        <is>
          <t>The Bihar review renewed criticism of local organisation and campaign choices. Reports of losing candidates and an internal review establish disagreement, not a single proven explanation for defeat.</t>
        </is>
      </c>
      <c r="D202" s="4" t="inlineStr">
        <is>
          <t>Supported</t>
        </is>
      </c>
      <c r="E202" s="5" t="inlineStr">
        <is>
          <t>EV-0354; EV-0355</t>
        </is>
      </c>
      <c r="F202" s="4" t="inlineStr">
        <is>
          <t>Normal</t>
        </is>
      </c>
      <c r="G202" s="4" t="inlineStr">
        <is>
          <t>Finding</t>
        </is>
      </c>
      <c r="H202" s="4" t="inlineStr">
        <is>
          <t>Analysis</t>
        </is>
      </c>
      <c r="I202" s="4" t="inlineStr">
        <is>
          <t>S026; S027</t>
        </is>
      </c>
      <c r="J202" s="5" t="inlineStr">
        <is>
          <t>All citations</t>
        </is>
      </c>
      <c r="K202" s="4" t="inlineStr"/>
      <c r="L202" s="4" t="inlineStr">
        <is>
          <t>Contextual synthesis; comparison is a scope boundary, not a ranked performance score.</t>
        </is>
      </c>
      <c r="M202" s="4" t="inlineStr">
        <is>
          <t>Context &amp; Constraints</t>
        </is>
      </c>
    </row>
    <row r="203" ht="80" customHeight="1">
      <c r="A203" s="6" t="inlineStr">
        <is>
          <t>C-CT-P4-08-01</t>
        </is>
      </c>
      <c r="B203" s="7" t="inlineStr">
        <is>
          <t>CT-P4-08</t>
        </is>
      </c>
      <c r="C203" s="6" t="inlineStr">
        <is>
          <t>Caste enumeration and representation remained central advocacy issues. The government’s 2025 decision and rival credit claims demonstrate shared political contestation rather than exclusive authorship.</t>
        </is>
      </c>
      <c r="D203" s="6" t="inlineStr">
        <is>
          <t>Supported</t>
        </is>
      </c>
      <c r="E203" s="7" t="inlineStr">
        <is>
          <t>EV-0356; EV-0357</t>
        </is>
      </c>
      <c r="F203" s="6" t="inlineStr">
        <is>
          <t>Normal</t>
        </is>
      </c>
      <c r="G203" s="6" t="inlineStr">
        <is>
          <t>Finding</t>
        </is>
      </c>
      <c r="H203" s="6" t="inlineStr">
        <is>
          <t>Analysis</t>
        </is>
      </c>
      <c r="I203" s="6" t="inlineStr">
        <is>
          <t>S035; S036</t>
        </is>
      </c>
      <c r="J203" s="7" t="inlineStr">
        <is>
          <t>All citations</t>
        </is>
      </c>
      <c r="K203" s="6" t="inlineStr"/>
      <c r="L203" s="6" t="inlineStr">
        <is>
          <t>Contextual synthesis; comparison is a scope boundary, not a ranked performance score.</t>
        </is>
      </c>
      <c r="M203" s="6" t="inlineStr">
        <is>
          <t>Context &amp; Constraints</t>
        </is>
      </c>
    </row>
    <row r="204" ht="66" customHeight="1">
      <c r="A204" s="4" t="inlineStr">
        <is>
          <t>C-CT-P4-09-01</t>
        </is>
      </c>
      <c r="B204" s="5" t="inlineStr">
        <is>
          <t>CT-P4-09</t>
        </is>
      </c>
      <c r="C204" s="4" t="inlineStr">
        <is>
          <t>Rae Bareli is his retained constituency. PRS nevertheless lists a Wayanad-landslide rehabilitation intervention, illustrating national opposition activity beyond the current seat.</t>
        </is>
      </c>
      <c r="D204" s="4" t="inlineStr">
        <is>
          <t>Supported</t>
        </is>
      </c>
      <c r="E204" s="5" t="inlineStr">
        <is>
          <t>EV-0358; EV-0359</t>
        </is>
      </c>
      <c r="F204" s="4" t="inlineStr">
        <is>
          <t>Normal</t>
        </is>
      </c>
      <c r="G204" s="4" t="inlineStr">
        <is>
          <t>Finding</t>
        </is>
      </c>
      <c r="H204" s="4" t="inlineStr">
        <is>
          <t>Analysis</t>
        </is>
      </c>
      <c r="I204" s="4" t="inlineStr">
        <is>
          <t>S003; S043</t>
        </is>
      </c>
      <c r="J204" s="5" t="inlineStr">
        <is>
          <t>All citations</t>
        </is>
      </c>
      <c r="K204" s="4" t="inlineStr"/>
      <c r="L204" s="4" t="inlineStr">
        <is>
          <t>Contextual synthesis; comparison is a scope boundary, not a ranked performance score.</t>
        </is>
      </c>
      <c r="M204" s="4" t="inlineStr">
        <is>
          <t>Context &amp; Constraints</t>
        </is>
      </c>
    </row>
    <row r="205" ht="66" customHeight="1">
      <c r="A205" s="6" t="inlineStr">
        <is>
          <t>C-CT-P4-10-01</t>
        </is>
      </c>
      <c r="B205" s="7" t="inlineStr">
        <is>
          <t>CT-P4-10</t>
        </is>
      </c>
      <c r="C205" s="6" t="inlineStr">
        <is>
          <t>Current reporting reaches September 2026, while PRS activity stops at 13 August. Legal-news reports update procedure but do not substitute for uninspected orders or future hearings.</t>
        </is>
      </c>
      <c r="D205" s="6" t="inlineStr">
        <is>
          <t>Supported</t>
        </is>
      </c>
      <c r="E205" s="7" t="inlineStr">
        <is>
          <t>EV-0360; EV-0361; EV-0362</t>
        </is>
      </c>
      <c r="F205" s="6" t="inlineStr">
        <is>
          <t>Normal</t>
        </is>
      </c>
      <c r="G205" s="6" t="inlineStr">
        <is>
          <t>Finding</t>
        </is>
      </c>
      <c r="H205" s="6" t="inlineStr">
        <is>
          <t>Analysis</t>
        </is>
      </c>
      <c r="I205" s="6" t="inlineStr">
        <is>
          <t>S003; S012; S013</t>
        </is>
      </c>
      <c r="J205" s="7" t="inlineStr">
        <is>
          <t>All citations</t>
        </is>
      </c>
      <c r="K205" s="6" t="inlineStr"/>
      <c r="L205" s="6" t="inlineStr">
        <is>
          <t>Contextual synthesis; comparison is a scope boundary, not a ranked performance score.</t>
        </is>
      </c>
      <c r="M205" s="6" t="inlineStr">
        <is>
          <t>Context &amp; Constraints</t>
        </is>
      </c>
    </row>
    <row r="206" ht="66" customHeight="1">
      <c r="A206" s="4" t="inlineStr">
        <is>
          <t>C-CT-G-01-01</t>
        </is>
      </c>
      <c r="B206" s="5" t="inlineStr">
        <is>
          <t>CT-G-01</t>
        </is>
      </c>
      <c r="C206" s="4" t="inlineStr">
        <is>
          <t>Dynastic access is documented, but the inspected record does not isolate a male advantage from family prominence or party succession. Treat the gender-specific mechanism as unresolved.</t>
        </is>
      </c>
      <c r="D206" s="10" t="inlineStr">
        <is>
          <t>Not reviewed</t>
        </is>
      </c>
      <c r="E206" s="4" t="n"/>
      <c r="F206" s="4" t="inlineStr">
        <is>
          <t>Normal</t>
        </is>
      </c>
      <c r="G206" s="4" t="inlineStr">
        <is>
          <t>Finding</t>
        </is>
      </c>
      <c r="H206" s="4" t="inlineStr">
        <is>
          <t>Analysis</t>
        </is>
      </c>
      <c r="I206" s="4" t="inlineStr">
        <is>
          <t>S004; S005; S023</t>
        </is>
      </c>
      <c r="J206" s="5" t="inlineStr">
        <is>
          <t>All citations</t>
        </is>
      </c>
      <c r="K206" s="4" t="inlineStr"/>
      <c r="L206" s="4" t="inlineStr">
        <is>
          <t>Related sources are candidate evidence, not proof of absence.</t>
        </is>
      </c>
      <c r="M206" s="4" t="inlineStr">
        <is>
          <t>Context &amp; Constraints</t>
        </is>
      </c>
    </row>
    <row r="207" ht="66" customHeight="1">
      <c r="A207" s="6" t="inlineStr">
        <is>
          <t>C-CT-G-02-01</t>
        </is>
      </c>
      <c r="B207" s="7" t="inlineStr">
        <is>
          <t>CT-G-02</t>
        </is>
      </c>
      <c r="C207" s="6" t="inlineStr">
        <is>
          <t>No gender-related political first was established in the inspected record. Ordinary male occupancy of these offices does not itself establish a representative milestone.</t>
        </is>
      </c>
      <c r="D207" s="10" t="inlineStr">
        <is>
          <t>Not reviewed</t>
        </is>
      </c>
      <c r="E207" s="6" t="n"/>
      <c r="F207" s="6" t="inlineStr">
        <is>
          <t>Normal</t>
        </is>
      </c>
      <c r="G207" s="6" t="inlineStr">
        <is>
          <t>Finding</t>
        </is>
      </c>
      <c r="H207" s="6" t="inlineStr">
        <is>
          <t>Analysis</t>
        </is>
      </c>
      <c r="I207" s="6" t="inlineStr">
        <is>
          <t>S002; S004</t>
        </is>
      </c>
      <c r="J207" s="7" t="inlineStr">
        <is>
          <t>All citations</t>
        </is>
      </c>
      <c r="K207" s="6" t="inlineStr"/>
      <c r="L207" s="6" t="inlineStr">
        <is>
          <t>Related sources are candidate evidence, not proof of absence.</t>
        </is>
      </c>
      <c r="M207" s="6" t="inlineStr">
        <is>
          <t>Context &amp; Constraints</t>
        </is>
      </c>
    </row>
    <row r="208" ht="66" customHeight="1">
      <c r="A208" s="4" t="inlineStr">
        <is>
          <t>C-CT-G-03-01</t>
        </is>
      </c>
      <c r="B208" s="5" t="inlineStr">
        <is>
          <t>CT-G-03</t>
        </is>
      </c>
      <c r="C208" s="4" t="inlineStr">
        <is>
          <t>Family succession shaped access to Congress and Amethi. Sonia Gandhi’s leadership and Rahul’s later succession are documented; claims that gender determined the succession need further evidence.</t>
        </is>
      </c>
      <c r="D208" s="4" t="inlineStr">
        <is>
          <t>Supported</t>
        </is>
      </c>
      <c r="E208" s="5" t="inlineStr">
        <is>
          <t>EV-0363; EV-0364</t>
        </is>
      </c>
      <c r="F208" s="4" t="inlineStr">
        <is>
          <t>Normal</t>
        </is>
      </c>
      <c r="G208" s="4" t="inlineStr">
        <is>
          <t>Finding</t>
        </is>
      </c>
      <c r="H208" s="4" t="inlineStr">
        <is>
          <t>Analysis</t>
        </is>
      </c>
      <c r="I208" s="4" t="inlineStr">
        <is>
          <t>S004; S005</t>
        </is>
      </c>
      <c r="J208" s="5" t="inlineStr">
        <is>
          <t>All citations</t>
        </is>
      </c>
      <c r="K208" s="4" t="inlineStr"/>
      <c r="L208" s="4" t="inlineStr">
        <is>
          <t>Support is for the stated bounded finding; no general gender effect is claimed.</t>
        </is>
      </c>
      <c r="M208" s="4" t="inlineStr">
        <is>
          <t>Context &amp; Constraints</t>
        </is>
      </c>
    </row>
    <row r="209" ht="66" customHeight="1">
      <c r="A209" s="6" t="inlineStr">
        <is>
          <t>C-CT-G-04-01</t>
        </is>
      </c>
      <c r="B209" s="7" t="inlineStr">
        <is>
          <t>CT-G-04</t>
        </is>
      </c>
      <c r="C209" s="6" t="inlineStr">
        <is>
          <t>Youth and student organisation assignments are documented. No inspected appointment record demonstrates that gender expectations determined these allocations or excluded him from a portfolio.</t>
        </is>
      </c>
      <c r="D209" s="10" t="inlineStr">
        <is>
          <t>Not reviewed</t>
        </is>
      </c>
      <c r="E209" s="6" t="n"/>
      <c r="F209" s="6" t="inlineStr">
        <is>
          <t>Normal</t>
        </is>
      </c>
      <c r="G209" s="6" t="inlineStr">
        <is>
          <t>Finding</t>
        </is>
      </c>
      <c r="H209" s="6" t="inlineStr">
        <is>
          <t>Analysis</t>
        </is>
      </c>
      <c r="I209" s="6" t="inlineStr">
        <is>
          <t>S004</t>
        </is>
      </c>
      <c r="J209" s="7" t="inlineStr">
        <is>
          <t>All citations</t>
        </is>
      </c>
      <c r="K209" s="6" t="inlineStr"/>
      <c r="L209" s="6" t="inlineStr">
        <is>
          <t>Related sources are candidate evidence, not proof of absence.</t>
        </is>
      </c>
      <c r="M209" s="6" t="inlineStr">
        <is>
          <t>Context &amp; Constraints</t>
        </is>
      </c>
    </row>
    <row r="210" ht="66" customHeight="1">
      <c r="A210" s="4" t="inlineStr">
        <is>
          <t>C-CT-G-05-01</t>
        </is>
      </c>
      <c r="B210" s="5" t="inlineStr">
        <is>
          <t>CT-G-05</t>
        </is>
      </c>
      <c r="C210" s="4" t="inlineStr">
        <is>
          <t>Revati Laul read T-shirt and endurance coverage during Bharat Jodo as masculine political framing. This is a named contemporary interpretation, not a representative media-content study.</t>
        </is>
      </c>
      <c r="D210" s="4" t="inlineStr">
        <is>
          <t>Supported</t>
        </is>
      </c>
      <c r="E210" s="5" t="inlineStr">
        <is>
          <t>EV-0365</t>
        </is>
      </c>
      <c r="F210" s="4" t="inlineStr">
        <is>
          <t>Normal</t>
        </is>
      </c>
      <c r="G210" s="4" t="inlineStr">
        <is>
          <t>Finding</t>
        </is>
      </c>
      <c r="H210" s="4" t="inlineStr">
        <is>
          <t>Analysis</t>
        </is>
      </c>
      <c r="I210" s="4" t="inlineStr">
        <is>
          <t>S025</t>
        </is>
      </c>
      <c r="J210" s="5" t="inlineStr">
        <is>
          <t>All citations</t>
        </is>
      </c>
      <c r="K210" s="4" t="inlineStr"/>
      <c r="L210" s="4" t="inlineStr">
        <is>
          <t>Support is for the stated bounded finding; no general gender effect is claimed.</t>
        </is>
      </c>
      <c r="M210" s="4" t="inlineStr">
        <is>
          <t>Context &amp; Constraints</t>
        </is>
      </c>
    </row>
    <row r="211" ht="80" customHeight="1">
      <c r="A211" s="6" t="inlineStr">
        <is>
          <t>C-CT-G-06-01</t>
        </is>
      </c>
      <c r="B211" s="7" t="inlineStr">
        <is>
          <t>CT-G-06</t>
        </is>
      </c>
      <c r="C211" s="6" t="inlineStr">
        <is>
          <t>Security following the assassinations of his grandmother and father affected schooling and overseas study. The inspected biography links constraints to family violence, not a demonstrated gender mechanism.</t>
        </is>
      </c>
      <c r="D211" s="6" t="inlineStr">
        <is>
          <t>Supported</t>
        </is>
      </c>
      <c r="E211" s="7" t="inlineStr">
        <is>
          <t>EV-0366</t>
        </is>
      </c>
      <c r="F211" s="6" t="inlineStr">
        <is>
          <t>Normal</t>
        </is>
      </c>
      <c r="G211" s="6" t="inlineStr">
        <is>
          <t>Finding</t>
        </is>
      </c>
      <c r="H211" s="6" t="inlineStr">
        <is>
          <t>Analysis</t>
        </is>
      </c>
      <c r="I211" s="6" t="inlineStr">
        <is>
          <t>S005</t>
        </is>
      </c>
      <c r="J211" s="7" t="inlineStr">
        <is>
          <t>All citations</t>
        </is>
      </c>
      <c r="K211" s="6" t="inlineStr"/>
      <c r="L211" s="6" t="inlineStr">
        <is>
          <t>Support is for the stated bounded finding; no general gender effect is claimed.</t>
        </is>
      </c>
      <c r="M211" s="6" t="inlineStr">
        <is>
          <t>Context &amp; Constraints</t>
        </is>
      </c>
    </row>
    <row r="212" ht="66" customHeight="1">
      <c r="A212" s="4" t="inlineStr">
        <is>
          <t>C-CT-G-07-01</t>
        </is>
      </c>
      <c r="B212" s="5" t="inlineStr">
        <is>
          <t>CT-G-07</t>
        </is>
      </c>
      <c r="C212" s="4" t="inlineStr">
        <is>
          <t>He supported the women’s reservation bill in 2023 while seeking OBC inclusion and faster implementation. The 2024 party platform proposed transfers to women and expanded representation.</t>
        </is>
      </c>
      <c r="D212" s="4" t="inlineStr">
        <is>
          <t>Supported</t>
        </is>
      </c>
      <c r="E212" s="5" t="inlineStr">
        <is>
          <t>EV-0367; EV-0368</t>
        </is>
      </c>
      <c r="F212" s="4" t="inlineStr">
        <is>
          <t>Normal</t>
        </is>
      </c>
      <c r="G212" s="4" t="inlineStr">
        <is>
          <t>Finding</t>
        </is>
      </c>
      <c r="H212" s="4" t="inlineStr">
        <is>
          <t>Analysis</t>
        </is>
      </c>
      <c r="I212" s="4" t="inlineStr">
        <is>
          <t>S033; S017</t>
        </is>
      </c>
      <c r="J212" s="5" t="inlineStr">
        <is>
          <t>All citations</t>
        </is>
      </c>
      <c r="K212" s="4" t="inlineStr"/>
      <c r="L212" s="4" t="inlineStr">
        <is>
          <t>Support is for the stated bounded finding; no general gender effect is claimed.</t>
        </is>
      </c>
      <c r="M212" s="4" t="inlineStr">
        <is>
          <t>Context &amp; Constraints</t>
        </is>
      </c>
    </row>
    <row r="213" ht="66" customHeight="1">
      <c r="A213" s="6" t="inlineStr">
        <is>
          <t>C-CT-G-08-01</t>
        </is>
      </c>
      <c r="B213" s="7" t="inlineStr">
        <is>
          <t>CT-G-08</t>
        </is>
      </c>
      <c r="C213" s="6" t="inlineStr">
        <is>
          <t>Contemporary commentary interpreted bodily endurance and dress as political masculinity. His deliberate intention to mobilise a male identity is not established by that commentary.</t>
        </is>
      </c>
      <c r="D213" s="6" t="inlineStr">
        <is>
          <t>Supported</t>
        </is>
      </c>
      <c r="E213" s="7" t="inlineStr">
        <is>
          <t>EV-0369</t>
        </is>
      </c>
      <c r="F213" s="6" t="inlineStr">
        <is>
          <t>Normal</t>
        </is>
      </c>
      <c r="G213" s="6" t="inlineStr">
        <is>
          <t>Finding</t>
        </is>
      </c>
      <c r="H213" s="6" t="inlineStr">
        <is>
          <t>Analysis</t>
        </is>
      </c>
      <c r="I213" s="6" t="inlineStr">
        <is>
          <t>S025</t>
        </is>
      </c>
      <c r="J213" s="7" t="inlineStr">
        <is>
          <t>All citations</t>
        </is>
      </c>
      <c r="K213" s="6" t="inlineStr"/>
      <c r="L213" s="6" t="inlineStr">
        <is>
          <t>Support is for the stated bounded finding; no general gender effect is claimed.</t>
        </is>
      </c>
      <c r="M213" s="6" t="inlineStr">
        <is>
          <t>Context &amp; Constraints</t>
        </is>
      </c>
    </row>
    <row r="214" ht="80" customHeight="1">
      <c r="A214" s="4" t="inlineStr">
        <is>
          <t>C-CT-G-09-01</t>
        </is>
      </c>
      <c r="B214" s="5" t="inlineStr">
        <is>
          <t>CT-G-09</t>
        </is>
      </c>
      <c r="C214" s="4" t="inlineStr">
        <is>
          <t>Symbolic representation and substantive effects remain distinct. His legislative support and the party’s women-focused proposals are evidenced; their independent effects on women’s material position are not measured here.</t>
        </is>
      </c>
      <c r="D214" s="4" t="inlineStr">
        <is>
          <t>Supported</t>
        </is>
      </c>
      <c r="E214" s="5" t="inlineStr">
        <is>
          <t>EV-0370; EV-0371</t>
        </is>
      </c>
      <c r="F214" s="4" t="inlineStr">
        <is>
          <t>Normal</t>
        </is>
      </c>
      <c r="G214" s="4" t="inlineStr">
        <is>
          <t>Finding</t>
        </is>
      </c>
      <c r="H214" s="4" t="inlineStr">
        <is>
          <t>Analysis</t>
        </is>
      </c>
      <c r="I214" s="4" t="inlineStr">
        <is>
          <t>S033; S017</t>
        </is>
      </c>
      <c r="J214" s="5" t="inlineStr">
        <is>
          <t>All citations</t>
        </is>
      </c>
      <c r="K214" s="4" t="inlineStr"/>
      <c r="L214" s="4" t="inlineStr">
        <is>
          <t>Support is for the stated bounded finding; no general gender effect is claimed.</t>
        </is>
      </c>
      <c r="M214" s="4" t="inlineStr">
        <is>
          <t>Context &amp; Constraints</t>
        </is>
      </c>
    </row>
    <row r="215" ht="66" customHeight="1">
      <c r="A215" s="6" t="inlineStr">
        <is>
          <t>C-CT-G-10-01</t>
        </is>
      </c>
      <c r="B215" s="7" t="inlineStr">
        <is>
          <t>CT-G-10</t>
        </is>
      </c>
      <c r="C215" s="6" t="inlineStr">
        <is>
          <t>The available gender assessment is primarily contemporary journalism and issue-specific policy evidence. A longitudinal scholarly comparison of gendered treatment and reception remains incomplete.</t>
        </is>
      </c>
      <c r="D215" s="10" t="inlineStr">
        <is>
          <t>Not reviewed</t>
        </is>
      </c>
      <c r="E215" s="6" t="n"/>
      <c r="F215" s="6" t="inlineStr">
        <is>
          <t>Normal</t>
        </is>
      </c>
      <c r="G215" s="6" t="inlineStr">
        <is>
          <t>Finding</t>
        </is>
      </c>
      <c r="H215" s="6" t="inlineStr">
        <is>
          <t>Analysis</t>
        </is>
      </c>
      <c r="I215" s="6" t="inlineStr">
        <is>
          <t>S025; S033; S017</t>
        </is>
      </c>
      <c r="J215" s="7" t="inlineStr">
        <is>
          <t>All citations</t>
        </is>
      </c>
      <c r="K215" s="6" t="inlineStr"/>
      <c r="L215" s="6" t="inlineStr">
        <is>
          <t>Related sources are candidate evidence, not proof of absence.</t>
        </is>
      </c>
      <c r="M215" s="6" t="inlineStr">
        <is>
          <t>Context &amp; Constraints</t>
        </is>
      </c>
    </row>
  </sheetData>
  <autoFilter ref="A5:M215"/>
  <mergeCells count="3">
    <mergeCell ref="A2:E2"/>
    <mergeCell ref="A1:E1"/>
    <mergeCell ref="A3:E3"/>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J6" r:id="rId3"/>
    <hyperlink xmlns:r="http://schemas.openxmlformats.org/officeDocument/2006/relationships" ref="B7" r:id="rId4"/>
    <hyperlink xmlns:r="http://schemas.openxmlformats.org/officeDocument/2006/relationships" ref="E7" r:id="rId5"/>
    <hyperlink xmlns:r="http://schemas.openxmlformats.org/officeDocument/2006/relationships" ref="J7" r:id="rId6"/>
    <hyperlink xmlns:r="http://schemas.openxmlformats.org/officeDocument/2006/relationships" ref="B8" r:id="rId7"/>
    <hyperlink xmlns:r="http://schemas.openxmlformats.org/officeDocument/2006/relationships" ref="E8" r:id="rId8"/>
    <hyperlink xmlns:r="http://schemas.openxmlformats.org/officeDocument/2006/relationships" ref="J8" r:id="rId9"/>
    <hyperlink xmlns:r="http://schemas.openxmlformats.org/officeDocument/2006/relationships" ref="B9" r:id="rId10"/>
    <hyperlink xmlns:r="http://schemas.openxmlformats.org/officeDocument/2006/relationships" ref="E9" r:id="rId11"/>
    <hyperlink xmlns:r="http://schemas.openxmlformats.org/officeDocument/2006/relationships" ref="J9" r:id="rId12"/>
    <hyperlink xmlns:r="http://schemas.openxmlformats.org/officeDocument/2006/relationships" ref="B10" r:id="rId13"/>
    <hyperlink xmlns:r="http://schemas.openxmlformats.org/officeDocument/2006/relationships" ref="E10" r:id="rId14"/>
    <hyperlink xmlns:r="http://schemas.openxmlformats.org/officeDocument/2006/relationships" ref="J10" r:id="rId15"/>
    <hyperlink xmlns:r="http://schemas.openxmlformats.org/officeDocument/2006/relationships" ref="B11" r:id="rId16"/>
    <hyperlink xmlns:r="http://schemas.openxmlformats.org/officeDocument/2006/relationships" ref="E11" r:id="rId17"/>
    <hyperlink xmlns:r="http://schemas.openxmlformats.org/officeDocument/2006/relationships" ref="J11" r:id="rId18"/>
    <hyperlink xmlns:r="http://schemas.openxmlformats.org/officeDocument/2006/relationships" ref="B12" r:id="rId19"/>
    <hyperlink xmlns:r="http://schemas.openxmlformats.org/officeDocument/2006/relationships" ref="E12" r:id="rId20"/>
    <hyperlink xmlns:r="http://schemas.openxmlformats.org/officeDocument/2006/relationships" ref="J12" r:id="rId21"/>
    <hyperlink xmlns:r="http://schemas.openxmlformats.org/officeDocument/2006/relationships" ref="B13" r:id="rId22"/>
    <hyperlink xmlns:r="http://schemas.openxmlformats.org/officeDocument/2006/relationships" ref="E13" r:id="rId23"/>
    <hyperlink xmlns:r="http://schemas.openxmlformats.org/officeDocument/2006/relationships" ref="J13" r:id="rId24"/>
    <hyperlink xmlns:r="http://schemas.openxmlformats.org/officeDocument/2006/relationships" ref="B14" r:id="rId25"/>
    <hyperlink xmlns:r="http://schemas.openxmlformats.org/officeDocument/2006/relationships" ref="E14" r:id="rId26"/>
    <hyperlink xmlns:r="http://schemas.openxmlformats.org/officeDocument/2006/relationships" ref="J14" r:id="rId27"/>
    <hyperlink xmlns:r="http://schemas.openxmlformats.org/officeDocument/2006/relationships" ref="B15" r:id="rId28"/>
    <hyperlink xmlns:r="http://schemas.openxmlformats.org/officeDocument/2006/relationships" ref="E15" r:id="rId29"/>
    <hyperlink xmlns:r="http://schemas.openxmlformats.org/officeDocument/2006/relationships" ref="J15" r:id="rId30"/>
    <hyperlink xmlns:r="http://schemas.openxmlformats.org/officeDocument/2006/relationships" ref="B16" r:id="rId31"/>
    <hyperlink xmlns:r="http://schemas.openxmlformats.org/officeDocument/2006/relationships" ref="E16" r:id="rId32"/>
    <hyperlink xmlns:r="http://schemas.openxmlformats.org/officeDocument/2006/relationships" ref="J16" r:id="rId33"/>
    <hyperlink xmlns:r="http://schemas.openxmlformats.org/officeDocument/2006/relationships" ref="B17" r:id="rId34"/>
    <hyperlink xmlns:r="http://schemas.openxmlformats.org/officeDocument/2006/relationships" ref="E17" r:id="rId35"/>
    <hyperlink xmlns:r="http://schemas.openxmlformats.org/officeDocument/2006/relationships" ref="J17" r:id="rId36"/>
    <hyperlink xmlns:r="http://schemas.openxmlformats.org/officeDocument/2006/relationships" ref="B18" r:id="rId37"/>
    <hyperlink xmlns:r="http://schemas.openxmlformats.org/officeDocument/2006/relationships" ref="E18" r:id="rId38"/>
    <hyperlink xmlns:r="http://schemas.openxmlformats.org/officeDocument/2006/relationships" ref="J18" r:id="rId39"/>
    <hyperlink xmlns:r="http://schemas.openxmlformats.org/officeDocument/2006/relationships" ref="B19" r:id="rId40"/>
    <hyperlink xmlns:r="http://schemas.openxmlformats.org/officeDocument/2006/relationships" ref="E19" r:id="rId41"/>
    <hyperlink xmlns:r="http://schemas.openxmlformats.org/officeDocument/2006/relationships" ref="J19" r:id="rId42"/>
    <hyperlink xmlns:r="http://schemas.openxmlformats.org/officeDocument/2006/relationships" ref="B20" r:id="rId43"/>
    <hyperlink xmlns:r="http://schemas.openxmlformats.org/officeDocument/2006/relationships" ref="E20" r:id="rId44"/>
    <hyperlink xmlns:r="http://schemas.openxmlformats.org/officeDocument/2006/relationships" ref="J20" r:id="rId45"/>
    <hyperlink xmlns:r="http://schemas.openxmlformats.org/officeDocument/2006/relationships" ref="B21" r:id="rId46"/>
    <hyperlink xmlns:r="http://schemas.openxmlformats.org/officeDocument/2006/relationships" ref="E21" r:id="rId47"/>
    <hyperlink xmlns:r="http://schemas.openxmlformats.org/officeDocument/2006/relationships" ref="J21" r:id="rId48"/>
    <hyperlink xmlns:r="http://schemas.openxmlformats.org/officeDocument/2006/relationships" ref="B22" r:id="rId49"/>
    <hyperlink xmlns:r="http://schemas.openxmlformats.org/officeDocument/2006/relationships" ref="E22" r:id="rId50"/>
    <hyperlink xmlns:r="http://schemas.openxmlformats.org/officeDocument/2006/relationships" ref="J22" r:id="rId51"/>
    <hyperlink xmlns:r="http://schemas.openxmlformats.org/officeDocument/2006/relationships" ref="B23" r:id="rId52"/>
    <hyperlink xmlns:r="http://schemas.openxmlformats.org/officeDocument/2006/relationships" ref="E23" r:id="rId53"/>
    <hyperlink xmlns:r="http://schemas.openxmlformats.org/officeDocument/2006/relationships" ref="J23" r:id="rId54"/>
    <hyperlink xmlns:r="http://schemas.openxmlformats.org/officeDocument/2006/relationships" ref="B24" r:id="rId55"/>
    <hyperlink xmlns:r="http://schemas.openxmlformats.org/officeDocument/2006/relationships" ref="E24" r:id="rId56"/>
    <hyperlink xmlns:r="http://schemas.openxmlformats.org/officeDocument/2006/relationships" ref="J24" r:id="rId57"/>
    <hyperlink xmlns:r="http://schemas.openxmlformats.org/officeDocument/2006/relationships" ref="B25" r:id="rId58"/>
    <hyperlink xmlns:r="http://schemas.openxmlformats.org/officeDocument/2006/relationships" ref="E25" r:id="rId59"/>
    <hyperlink xmlns:r="http://schemas.openxmlformats.org/officeDocument/2006/relationships" ref="J25" r:id="rId60"/>
    <hyperlink xmlns:r="http://schemas.openxmlformats.org/officeDocument/2006/relationships" ref="B26" r:id="rId61"/>
    <hyperlink xmlns:r="http://schemas.openxmlformats.org/officeDocument/2006/relationships" ref="E26" r:id="rId62"/>
    <hyperlink xmlns:r="http://schemas.openxmlformats.org/officeDocument/2006/relationships" ref="J26" r:id="rId63"/>
    <hyperlink xmlns:r="http://schemas.openxmlformats.org/officeDocument/2006/relationships" ref="B27" r:id="rId64"/>
    <hyperlink xmlns:r="http://schemas.openxmlformats.org/officeDocument/2006/relationships" ref="E27" r:id="rId65"/>
    <hyperlink xmlns:r="http://schemas.openxmlformats.org/officeDocument/2006/relationships" ref="J27" r:id="rId66"/>
    <hyperlink xmlns:r="http://schemas.openxmlformats.org/officeDocument/2006/relationships" ref="B28" r:id="rId67"/>
    <hyperlink xmlns:r="http://schemas.openxmlformats.org/officeDocument/2006/relationships" ref="E28" r:id="rId68"/>
    <hyperlink xmlns:r="http://schemas.openxmlformats.org/officeDocument/2006/relationships" ref="J28" r:id="rId69"/>
    <hyperlink xmlns:r="http://schemas.openxmlformats.org/officeDocument/2006/relationships" ref="B29" r:id="rId70"/>
    <hyperlink xmlns:r="http://schemas.openxmlformats.org/officeDocument/2006/relationships" ref="E29" r:id="rId71"/>
    <hyperlink xmlns:r="http://schemas.openxmlformats.org/officeDocument/2006/relationships" ref="J29" r:id="rId72"/>
    <hyperlink xmlns:r="http://schemas.openxmlformats.org/officeDocument/2006/relationships" ref="B30" r:id="rId73"/>
    <hyperlink xmlns:r="http://schemas.openxmlformats.org/officeDocument/2006/relationships" ref="E30" r:id="rId74"/>
    <hyperlink xmlns:r="http://schemas.openxmlformats.org/officeDocument/2006/relationships" ref="J30" r:id="rId75"/>
    <hyperlink xmlns:r="http://schemas.openxmlformats.org/officeDocument/2006/relationships" ref="B31" r:id="rId76"/>
    <hyperlink xmlns:r="http://schemas.openxmlformats.org/officeDocument/2006/relationships" ref="E31" r:id="rId77"/>
    <hyperlink xmlns:r="http://schemas.openxmlformats.org/officeDocument/2006/relationships" ref="J31" r:id="rId78"/>
    <hyperlink xmlns:r="http://schemas.openxmlformats.org/officeDocument/2006/relationships" ref="B32" r:id="rId79"/>
    <hyperlink xmlns:r="http://schemas.openxmlformats.org/officeDocument/2006/relationships" ref="E32" r:id="rId80"/>
    <hyperlink xmlns:r="http://schemas.openxmlformats.org/officeDocument/2006/relationships" ref="J32" r:id="rId81"/>
    <hyperlink xmlns:r="http://schemas.openxmlformats.org/officeDocument/2006/relationships" ref="B33" r:id="rId82"/>
    <hyperlink xmlns:r="http://schemas.openxmlformats.org/officeDocument/2006/relationships" ref="E33" r:id="rId83"/>
    <hyperlink xmlns:r="http://schemas.openxmlformats.org/officeDocument/2006/relationships" ref="J33" r:id="rId84"/>
    <hyperlink xmlns:r="http://schemas.openxmlformats.org/officeDocument/2006/relationships" ref="B34" r:id="rId85"/>
    <hyperlink xmlns:r="http://schemas.openxmlformats.org/officeDocument/2006/relationships" ref="E34" r:id="rId86"/>
    <hyperlink xmlns:r="http://schemas.openxmlformats.org/officeDocument/2006/relationships" ref="J34" r:id="rId87"/>
    <hyperlink xmlns:r="http://schemas.openxmlformats.org/officeDocument/2006/relationships" ref="B35" r:id="rId88"/>
    <hyperlink xmlns:r="http://schemas.openxmlformats.org/officeDocument/2006/relationships" ref="E35" r:id="rId89"/>
    <hyperlink xmlns:r="http://schemas.openxmlformats.org/officeDocument/2006/relationships" ref="J35" r:id="rId90"/>
    <hyperlink xmlns:r="http://schemas.openxmlformats.org/officeDocument/2006/relationships" ref="B36" r:id="rId91"/>
    <hyperlink xmlns:r="http://schemas.openxmlformats.org/officeDocument/2006/relationships" ref="E36" r:id="rId92"/>
    <hyperlink xmlns:r="http://schemas.openxmlformats.org/officeDocument/2006/relationships" ref="J36" r:id="rId93"/>
    <hyperlink xmlns:r="http://schemas.openxmlformats.org/officeDocument/2006/relationships" ref="B37" r:id="rId94"/>
    <hyperlink xmlns:r="http://schemas.openxmlformats.org/officeDocument/2006/relationships" ref="E37" r:id="rId95"/>
    <hyperlink xmlns:r="http://schemas.openxmlformats.org/officeDocument/2006/relationships" ref="J37" r:id="rId96"/>
    <hyperlink xmlns:r="http://schemas.openxmlformats.org/officeDocument/2006/relationships" ref="B38" r:id="rId97"/>
    <hyperlink xmlns:r="http://schemas.openxmlformats.org/officeDocument/2006/relationships" ref="E38" r:id="rId98"/>
    <hyperlink xmlns:r="http://schemas.openxmlformats.org/officeDocument/2006/relationships" ref="J38" r:id="rId99"/>
    <hyperlink xmlns:r="http://schemas.openxmlformats.org/officeDocument/2006/relationships" ref="B39" r:id="rId100"/>
    <hyperlink xmlns:r="http://schemas.openxmlformats.org/officeDocument/2006/relationships" ref="E39" r:id="rId101"/>
    <hyperlink xmlns:r="http://schemas.openxmlformats.org/officeDocument/2006/relationships" ref="J39" r:id="rId102"/>
    <hyperlink xmlns:r="http://schemas.openxmlformats.org/officeDocument/2006/relationships" ref="B40" r:id="rId103"/>
    <hyperlink xmlns:r="http://schemas.openxmlformats.org/officeDocument/2006/relationships" ref="E40" r:id="rId104"/>
    <hyperlink xmlns:r="http://schemas.openxmlformats.org/officeDocument/2006/relationships" ref="J40" r:id="rId105"/>
    <hyperlink xmlns:r="http://schemas.openxmlformats.org/officeDocument/2006/relationships" ref="B41" r:id="rId106"/>
    <hyperlink xmlns:r="http://schemas.openxmlformats.org/officeDocument/2006/relationships" ref="E41" r:id="rId107"/>
    <hyperlink xmlns:r="http://schemas.openxmlformats.org/officeDocument/2006/relationships" ref="J41" r:id="rId108"/>
    <hyperlink xmlns:r="http://schemas.openxmlformats.org/officeDocument/2006/relationships" ref="B42" r:id="rId109"/>
    <hyperlink xmlns:r="http://schemas.openxmlformats.org/officeDocument/2006/relationships" ref="E42" r:id="rId110"/>
    <hyperlink xmlns:r="http://schemas.openxmlformats.org/officeDocument/2006/relationships" ref="J42" r:id="rId111"/>
    <hyperlink xmlns:r="http://schemas.openxmlformats.org/officeDocument/2006/relationships" ref="B43" r:id="rId112"/>
    <hyperlink xmlns:r="http://schemas.openxmlformats.org/officeDocument/2006/relationships" ref="E43" r:id="rId113"/>
    <hyperlink xmlns:r="http://schemas.openxmlformats.org/officeDocument/2006/relationships" ref="J43" r:id="rId114"/>
    <hyperlink xmlns:r="http://schemas.openxmlformats.org/officeDocument/2006/relationships" ref="B44" r:id="rId115"/>
    <hyperlink xmlns:r="http://schemas.openxmlformats.org/officeDocument/2006/relationships" ref="E44" r:id="rId116"/>
    <hyperlink xmlns:r="http://schemas.openxmlformats.org/officeDocument/2006/relationships" ref="J44" r:id="rId117"/>
    <hyperlink xmlns:r="http://schemas.openxmlformats.org/officeDocument/2006/relationships" ref="B45" r:id="rId118"/>
    <hyperlink xmlns:r="http://schemas.openxmlformats.org/officeDocument/2006/relationships" ref="E45" r:id="rId119"/>
    <hyperlink xmlns:r="http://schemas.openxmlformats.org/officeDocument/2006/relationships" ref="J45" r:id="rId120"/>
    <hyperlink xmlns:r="http://schemas.openxmlformats.org/officeDocument/2006/relationships" ref="B46" r:id="rId121"/>
    <hyperlink xmlns:r="http://schemas.openxmlformats.org/officeDocument/2006/relationships" ref="E46" r:id="rId122"/>
    <hyperlink xmlns:r="http://schemas.openxmlformats.org/officeDocument/2006/relationships" ref="J46" r:id="rId123"/>
    <hyperlink xmlns:r="http://schemas.openxmlformats.org/officeDocument/2006/relationships" ref="B47" r:id="rId124"/>
    <hyperlink xmlns:r="http://schemas.openxmlformats.org/officeDocument/2006/relationships" ref="E47" r:id="rId125"/>
    <hyperlink xmlns:r="http://schemas.openxmlformats.org/officeDocument/2006/relationships" ref="J47" r:id="rId126"/>
    <hyperlink xmlns:r="http://schemas.openxmlformats.org/officeDocument/2006/relationships" ref="B48" r:id="rId127"/>
    <hyperlink xmlns:r="http://schemas.openxmlformats.org/officeDocument/2006/relationships" ref="E48" r:id="rId128"/>
    <hyperlink xmlns:r="http://schemas.openxmlformats.org/officeDocument/2006/relationships" ref="J48" r:id="rId129"/>
    <hyperlink xmlns:r="http://schemas.openxmlformats.org/officeDocument/2006/relationships" ref="B49" r:id="rId130"/>
    <hyperlink xmlns:r="http://schemas.openxmlformats.org/officeDocument/2006/relationships" ref="E49" r:id="rId131"/>
    <hyperlink xmlns:r="http://schemas.openxmlformats.org/officeDocument/2006/relationships" ref="J49" r:id="rId132"/>
    <hyperlink xmlns:r="http://schemas.openxmlformats.org/officeDocument/2006/relationships" ref="B50" r:id="rId133"/>
    <hyperlink xmlns:r="http://schemas.openxmlformats.org/officeDocument/2006/relationships" ref="E50" r:id="rId134"/>
    <hyperlink xmlns:r="http://schemas.openxmlformats.org/officeDocument/2006/relationships" ref="J50" r:id="rId135"/>
    <hyperlink xmlns:r="http://schemas.openxmlformats.org/officeDocument/2006/relationships" ref="B51" r:id="rId136"/>
    <hyperlink xmlns:r="http://schemas.openxmlformats.org/officeDocument/2006/relationships" ref="E51" r:id="rId137"/>
    <hyperlink xmlns:r="http://schemas.openxmlformats.org/officeDocument/2006/relationships" ref="J51" r:id="rId138"/>
    <hyperlink xmlns:r="http://schemas.openxmlformats.org/officeDocument/2006/relationships" ref="B52" r:id="rId139"/>
    <hyperlink xmlns:r="http://schemas.openxmlformats.org/officeDocument/2006/relationships" ref="E52" r:id="rId140"/>
    <hyperlink xmlns:r="http://schemas.openxmlformats.org/officeDocument/2006/relationships" ref="J52" r:id="rId141"/>
    <hyperlink xmlns:r="http://schemas.openxmlformats.org/officeDocument/2006/relationships" ref="B53" r:id="rId142"/>
    <hyperlink xmlns:r="http://schemas.openxmlformats.org/officeDocument/2006/relationships" ref="E53" r:id="rId143"/>
    <hyperlink xmlns:r="http://schemas.openxmlformats.org/officeDocument/2006/relationships" ref="J53" r:id="rId144"/>
    <hyperlink xmlns:r="http://schemas.openxmlformats.org/officeDocument/2006/relationships" ref="B54" r:id="rId145"/>
    <hyperlink xmlns:r="http://schemas.openxmlformats.org/officeDocument/2006/relationships" ref="E54" r:id="rId146"/>
    <hyperlink xmlns:r="http://schemas.openxmlformats.org/officeDocument/2006/relationships" ref="J54" r:id="rId147"/>
    <hyperlink xmlns:r="http://schemas.openxmlformats.org/officeDocument/2006/relationships" ref="B55" r:id="rId148"/>
    <hyperlink xmlns:r="http://schemas.openxmlformats.org/officeDocument/2006/relationships" ref="E55" r:id="rId149"/>
    <hyperlink xmlns:r="http://schemas.openxmlformats.org/officeDocument/2006/relationships" ref="J55" r:id="rId150"/>
    <hyperlink xmlns:r="http://schemas.openxmlformats.org/officeDocument/2006/relationships" ref="B56" r:id="rId151"/>
    <hyperlink xmlns:r="http://schemas.openxmlformats.org/officeDocument/2006/relationships" ref="E56" r:id="rId152"/>
    <hyperlink xmlns:r="http://schemas.openxmlformats.org/officeDocument/2006/relationships" ref="J56" r:id="rId153"/>
    <hyperlink xmlns:r="http://schemas.openxmlformats.org/officeDocument/2006/relationships" ref="B57" r:id="rId154"/>
    <hyperlink xmlns:r="http://schemas.openxmlformats.org/officeDocument/2006/relationships" ref="E57" r:id="rId155"/>
    <hyperlink xmlns:r="http://schemas.openxmlformats.org/officeDocument/2006/relationships" ref="J57" r:id="rId156"/>
    <hyperlink xmlns:r="http://schemas.openxmlformats.org/officeDocument/2006/relationships" ref="B58" r:id="rId157"/>
    <hyperlink xmlns:r="http://schemas.openxmlformats.org/officeDocument/2006/relationships" ref="E58" r:id="rId158"/>
    <hyperlink xmlns:r="http://schemas.openxmlformats.org/officeDocument/2006/relationships" ref="J58" r:id="rId159"/>
    <hyperlink xmlns:r="http://schemas.openxmlformats.org/officeDocument/2006/relationships" ref="B59" r:id="rId160"/>
    <hyperlink xmlns:r="http://schemas.openxmlformats.org/officeDocument/2006/relationships" ref="E59" r:id="rId161"/>
    <hyperlink xmlns:r="http://schemas.openxmlformats.org/officeDocument/2006/relationships" ref="J59" r:id="rId162"/>
    <hyperlink xmlns:r="http://schemas.openxmlformats.org/officeDocument/2006/relationships" ref="B60" r:id="rId163"/>
    <hyperlink xmlns:r="http://schemas.openxmlformats.org/officeDocument/2006/relationships" ref="E60" r:id="rId164"/>
    <hyperlink xmlns:r="http://schemas.openxmlformats.org/officeDocument/2006/relationships" ref="J60" r:id="rId165"/>
    <hyperlink xmlns:r="http://schemas.openxmlformats.org/officeDocument/2006/relationships" ref="B61" r:id="rId166"/>
    <hyperlink xmlns:r="http://schemas.openxmlformats.org/officeDocument/2006/relationships" ref="E61" r:id="rId167"/>
    <hyperlink xmlns:r="http://schemas.openxmlformats.org/officeDocument/2006/relationships" ref="J61" r:id="rId168"/>
    <hyperlink xmlns:r="http://schemas.openxmlformats.org/officeDocument/2006/relationships" ref="B62" r:id="rId169"/>
    <hyperlink xmlns:r="http://schemas.openxmlformats.org/officeDocument/2006/relationships" ref="E62" r:id="rId170"/>
    <hyperlink xmlns:r="http://schemas.openxmlformats.org/officeDocument/2006/relationships" ref="J62" r:id="rId171"/>
    <hyperlink xmlns:r="http://schemas.openxmlformats.org/officeDocument/2006/relationships" ref="B63" r:id="rId172"/>
    <hyperlink xmlns:r="http://schemas.openxmlformats.org/officeDocument/2006/relationships" ref="E63" r:id="rId173"/>
    <hyperlink xmlns:r="http://schemas.openxmlformats.org/officeDocument/2006/relationships" ref="J63" r:id="rId174"/>
    <hyperlink xmlns:r="http://schemas.openxmlformats.org/officeDocument/2006/relationships" ref="B64" r:id="rId175"/>
    <hyperlink xmlns:r="http://schemas.openxmlformats.org/officeDocument/2006/relationships" ref="E64" r:id="rId176"/>
    <hyperlink xmlns:r="http://schemas.openxmlformats.org/officeDocument/2006/relationships" ref="J64" r:id="rId177"/>
    <hyperlink xmlns:r="http://schemas.openxmlformats.org/officeDocument/2006/relationships" ref="B65" r:id="rId178"/>
    <hyperlink xmlns:r="http://schemas.openxmlformats.org/officeDocument/2006/relationships" ref="E65" r:id="rId179"/>
    <hyperlink xmlns:r="http://schemas.openxmlformats.org/officeDocument/2006/relationships" ref="J65" r:id="rId180"/>
    <hyperlink xmlns:r="http://schemas.openxmlformats.org/officeDocument/2006/relationships" ref="B66" r:id="rId181"/>
    <hyperlink xmlns:r="http://schemas.openxmlformats.org/officeDocument/2006/relationships" ref="E66" r:id="rId182"/>
    <hyperlink xmlns:r="http://schemas.openxmlformats.org/officeDocument/2006/relationships" ref="J66" r:id="rId183"/>
    <hyperlink xmlns:r="http://schemas.openxmlformats.org/officeDocument/2006/relationships" ref="B67" r:id="rId184"/>
    <hyperlink xmlns:r="http://schemas.openxmlformats.org/officeDocument/2006/relationships" ref="E67" r:id="rId185"/>
    <hyperlink xmlns:r="http://schemas.openxmlformats.org/officeDocument/2006/relationships" ref="J67" r:id="rId186"/>
    <hyperlink xmlns:r="http://schemas.openxmlformats.org/officeDocument/2006/relationships" ref="B68" r:id="rId187"/>
    <hyperlink xmlns:r="http://schemas.openxmlformats.org/officeDocument/2006/relationships" ref="E68" r:id="rId188"/>
    <hyperlink xmlns:r="http://schemas.openxmlformats.org/officeDocument/2006/relationships" ref="J68" r:id="rId189"/>
    <hyperlink xmlns:r="http://schemas.openxmlformats.org/officeDocument/2006/relationships" ref="B69" r:id="rId190"/>
    <hyperlink xmlns:r="http://schemas.openxmlformats.org/officeDocument/2006/relationships" ref="E69" r:id="rId191"/>
    <hyperlink xmlns:r="http://schemas.openxmlformats.org/officeDocument/2006/relationships" ref="J69" r:id="rId192"/>
    <hyperlink xmlns:r="http://schemas.openxmlformats.org/officeDocument/2006/relationships" ref="B70" r:id="rId193"/>
    <hyperlink xmlns:r="http://schemas.openxmlformats.org/officeDocument/2006/relationships" ref="E70" r:id="rId194"/>
    <hyperlink xmlns:r="http://schemas.openxmlformats.org/officeDocument/2006/relationships" ref="J70" r:id="rId195"/>
    <hyperlink xmlns:r="http://schemas.openxmlformats.org/officeDocument/2006/relationships" ref="B71" r:id="rId196"/>
    <hyperlink xmlns:r="http://schemas.openxmlformats.org/officeDocument/2006/relationships" ref="E71" r:id="rId197"/>
    <hyperlink xmlns:r="http://schemas.openxmlformats.org/officeDocument/2006/relationships" ref="J71" r:id="rId198"/>
    <hyperlink xmlns:r="http://schemas.openxmlformats.org/officeDocument/2006/relationships" ref="B72" r:id="rId199"/>
    <hyperlink xmlns:r="http://schemas.openxmlformats.org/officeDocument/2006/relationships" ref="E72" r:id="rId200"/>
    <hyperlink xmlns:r="http://schemas.openxmlformats.org/officeDocument/2006/relationships" ref="J72" r:id="rId201"/>
    <hyperlink xmlns:r="http://schemas.openxmlformats.org/officeDocument/2006/relationships" ref="B73" r:id="rId202"/>
    <hyperlink xmlns:r="http://schemas.openxmlformats.org/officeDocument/2006/relationships" ref="E73" r:id="rId203"/>
    <hyperlink xmlns:r="http://schemas.openxmlformats.org/officeDocument/2006/relationships" ref="J73" r:id="rId204"/>
    <hyperlink xmlns:r="http://schemas.openxmlformats.org/officeDocument/2006/relationships" ref="B74" r:id="rId205"/>
    <hyperlink xmlns:r="http://schemas.openxmlformats.org/officeDocument/2006/relationships" ref="E74" r:id="rId206"/>
    <hyperlink xmlns:r="http://schemas.openxmlformats.org/officeDocument/2006/relationships" ref="J74" r:id="rId207"/>
    <hyperlink xmlns:r="http://schemas.openxmlformats.org/officeDocument/2006/relationships" ref="B75" r:id="rId208"/>
    <hyperlink xmlns:r="http://schemas.openxmlformats.org/officeDocument/2006/relationships" ref="E75" r:id="rId209"/>
    <hyperlink xmlns:r="http://schemas.openxmlformats.org/officeDocument/2006/relationships" ref="J75" r:id="rId210"/>
    <hyperlink xmlns:r="http://schemas.openxmlformats.org/officeDocument/2006/relationships" ref="B76" r:id="rId211"/>
    <hyperlink xmlns:r="http://schemas.openxmlformats.org/officeDocument/2006/relationships" ref="E76" r:id="rId212"/>
    <hyperlink xmlns:r="http://schemas.openxmlformats.org/officeDocument/2006/relationships" ref="J76" r:id="rId213"/>
    <hyperlink xmlns:r="http://schemas.openxmlformats.org/officeDocument/2006/relationships" ref="B77" r:id="rId214"/>
    <hyperlink xmlns:r="http://schemas.openxmlformats.org/officeDocument/2006/relationships" ref="E77" r:id="rId215"/>
    <hyperlink xmlns:r="http://schemas.openxmlformats.org/officeDocument/2006/relationships" ref="J77" r:id="rId216"/>
    <hyperlink xmlns:r="http://schemas.openxmlformats.org/officeDocument/2006/relationships" ref="B78" r:id="rId217"/>
    <hyperlink xmlns:r="http://schemas.openxmlformats.org/officeDocument/2006/relationships" ref="E78" r:id="rId218"/>
    <hyperlink xmlns:r="http://schemas.openxmlformats.org/officeDocument/2006/relationships" ref="J78" r:id="rId219"/>
    <hyperlink xmlns:r="http://schemas.openxmlformats.org/officeDocument/2006/relationships" ref="B79" r:id="rId220"/>
    <hyperlink xmlns:r="http://schemas.openxmlformats.org/officeDocument/2006/relationships" ref="E79" r:id="rId221"/>
    <hyperlink xmlns:r="http://schemas.openxmlformats.org/officeDocument/2006/relationships" ref="J79" r:id="rId222"/>
    <hyperlink xmlns:r="http://schemas.openxmlformats.org/officeDocument/2006/relationships" ref="B80" r:id="rId223"/>
    <hyperlink xmlns:r="http://schemas.openxmlformats.org/officeDocument/2006/relationships" ref="E80" r:id="rId224"/>
    <hyperlink xmlns:r="http://schemas.openxmlformats.org/officeDocument/2006/relationships" ref="J80" r:id="rId225"/>
    <hyperlink xmlns:r="http://schemas.openxmlformats.org/officeDocument/2006/relationships" ref="B81" r:id="rId226"/>
    <hyperlink xmlns:r="http://schemas.openxmlformats.org/officeDocument/2006/relationships" ref="E81" r:id="rId227"/>
    <hyperlink xmlns:r="http://schemas.openxmlformats.org/officeDocument/2006/relationships" ref="J81" r:id="rId228"/>
    <hyperlink xmlns:r="http://schemas.openxmlformats.org/officeDocument/2006/relationships" ref="B82" r:id="rId229"/>
    <hyperlink xmlns:r="http://schemas.openxmlformats.org/officeDocument/2006/relationships" ref="E82" r:id="rId230"/>
    <hyperlink xmlns:r="http://schemas.openxmlformats.org/officeDocument/2006/relationships" ref="J82" r:id="rId231"/>
    <hyperlink xmlns:r="http://schemas.openxmlformats.org/officeDocument/2006/relationships" ref="B83" r:id="rId232"/>
    <hyperlink xmlns:r="http://schemas.openxmlformats.org/officeDocument/2006/relationships" ref="E83" r:id="rId233"/>
    <hyperlink xmlns:r="http://schemas.openxmlformats.org/officeDocument/2006/relationships" ref="J83" r:id="rId234"/>
    <hyperlink xmlns:r="http://schemas.openxmlformats.org/officeDocument/2006/relationships" ref="B84" r:id="rId235"/>
    <hyperlink xmlns:r="http://schemas.openxmlformats.org/officeDocument/2006/relationships" ref="E84" r:id="rId236"/>
    <hyperlink xmlns:r="http://schemas.openxmlformats.org/officeDocument/2006/relationships" ref="J84" r:id="rId237"/>
    <hyperlink xmlns:r="http://schemas.openxmlformats.org/officeDocument/2006/relationships" ref="B85" r:id="rId238"/>
    <hyperlink xmlns:r="http://schemas.openxmlformats.org/officeDocument/2006/relationships" ref="E85" r:id="rId239"/>
    <hyperlink xmlns:r="http://schemas.openxmlformats.org/officeDocument/2006/relationships" ref="J85" r:id="rId240"/>
    <hyperlink xmlns:r="http://schemas.openxmlformats.org/officeDocument/2006/relationships" ref="B86" r:id="rId241"/>
    <hyperlink xmlns:r="http://schemas.openxmlformats.org/officeDocument/2006/relationships" ref="E86" r:id="rId242"/>
    <hyperlink xmlns:r="http://schemas.openxmlformats.org/officeDocument/2006/relationships" ref="J86" r:id="rId243"/>
    <hyperlink xmlns:r="http://schemas.openxmlformats.org/officeDocument/2006/relationships" ref="B87" r:id="rId244"/>
    <hyperlink xmlns:r="http://schemas.openxmlformats.org/officeDocument/2006/relationships" ref="E87" r:id="rId245"/>
    <hyperlink xmlns:r="http://schemas.openxmlformats.org/officeDocument/2006/relationships" ref="J87" r:id="rId246"/>
    <hyperlink xmlns:r="http://schemas.openxmlformats.org/officeDocument/2006/relationships" ref="B88" r:id="rId247"/>
    <hyperlink xmlns:r="http://schemas.openxmlformats.org/officeDocument/2006/relationships" ref="E88" r:id="rId248"/>
    <hyperlink xmlns:r="http://schemas.openxmlformats.org/officeDocument/2006/relationships" ref="J88" r:id="rId249"/>
    <hyperlink xmlns:r="http://schemas.openxmlformats.org/officeDocument/2006/relationships" ref="B89" r:id="rId250"/>
    <hyperlink xmlns:r="http://schemas.openxmlformats.org/officeDocument/2006/relationships" ref="E89" r:id="rId251"/>
    <hyperlink xmlns:r="http://schemas.openxmlformats.org/officeDocument/2006/relationships" ref="J89" r:id="rId252"/>
    <hyperlink xmlns:r="http://schemas.openxmlformats.org/officeDocument/2006/relationships" ref="B90" r:id="rId253"/>
    <hyperlink xmlns:r="http://schemas.openxmlformats.org/officeDocument/2006/relationships" ref="E90" r:id="rId254"/>
    <hyperlink xmlns:r="http://schemas.openxmlformats.org/officeDocument/2006/relationships" ref="J90" r:id="rId255"/>
    <hyperlink xmlns:r="http://schemas.openxmlformats.org/officeDocument/2006/relationships" ref="B91" r:id="rId256"/>
    <hyperlink xmlns:r="http://schemas.openxmlformats.org/officeDocument/2006/relationships" ref="E91" r:id="rId257"/>
    <hyperlink xmlns:r="http://schemas.openxmlformats.org/officeDocument/2006/relationships" ref="J91" r:id="rId258"/>
    <hyperlink xmlns:r="http://schemas.openxmlformats.org/officeDocument/2006/relationships" ref="B92" r:id="rId259"/>
    <hyperlink xmlns:r="http://schemas.openxmlformats.org/officeDocument/2006/relationships" ref="E92" r:id="rId260"/>
    <hyperlink xmlns:r="http://schemas.openxmlformats.org/officeDocument/2006/relationships" ref="J92" r:id="rId261"/>
    <hyperlink xmlns:r="http://schemas.openxmlformats.org/officeDocument/2006/relationships" ref="B93" r:id="rId262"/>
    <hyperlink xmlns:r="http://schemas.openxmlformats.org/officeDocument/2006/relationships" ref="E93" r:id="rId263"/>
    <hyperlink xmlns:r="http://schemas.openxmlformats.org/officeDocument/2006/relationships" ref="J93" r:id="rId264"/>
    <hyperlink xmlns:r="http://schemas.openxmlformats.org/officeDocument/2006/relationships" ref="B94" r:id="rId265"/>
    <hyperlink xmlns:r="http://schemas.openxmlformats.org/officeDocument/2006/relationships" ref="E94" r:id="rId266"/>
    <hyperlink xmlns:r="http://schemas.openxmlformats.org/officeDocument/2006/relationships" ref="J94" r:id="rId267"/>
    <hyperlink xmlns:r="http://schemas.openxmlformats.org/officeDocument/2006/relationships" ref="B95" r:id="rId268"/>
    <hyperlink xmlns:r="http://schemas.openxmlformats.org/officeDocument/2006/relationships" ref="E95" r:id="rId269"/>
    <hyperlink xmlns:r="http://schemas.openxmlformats.org/officeDocument/2006/relationships" ref="J95" r:id="rId270"/>
    <hyperlink xmlns:r="http://schemas.openxmlformats.org/officeDocument/2006/relationships" ref="B96" r:id="rId271"/>
    <hyperlink xmlns:r="http://schemas.openxmlformats.org/officeDocument/2006/relationships" ref="E96" r:id="rId272"/>
    <hyperlink xmlns:r="http://schemas.openxmlformats.org/officeDocument/2006/relationships" ref="J96" r:id="rId273"/>
    <hyperlink xmlns:r="http://schemas.openxmlformats.org/officeDocument/2006/relationships" ref="B97" r:id="rId274"/>
    <hyperlink xmlns:r="http://schemas.openxmlformats.org/officeDocument/2006/relationships" ref="E97" r:id="rId275"/>
    <hyperlink xmlns:r="http://schemas.openxmlformats.org/officeDocument/2006/relationships" ref="J97" r:id="rId276"/>
    <hyperlink xmlns:r="http://schemas.openxmlformats.org/officeDocument/2006/relationships" ref="B98" r:id="rId277"/>
    <hyperlink xmlns:r="http://schemas.openxmlformats.org/officeDocument/2006/relationships" ref="E98" r:id="rId278"/>
    <hyperlink xmlns:r="http://schemas.openxmlformats.org/officeDocument/2006/relationships" ref="J98" r:id="rId279"/>
    <hyperlink xmlns:r="http://schemas.openxmlformats.org/officeDocument/2006/relationships" ref="B99" r:id="rId280"/>
    <hyperlink xmlns:r="http://schemas.openxmlformats.org/officeDocument/2006/relationships" ref="E99" r:id="rId281"/>
    <hyperlink xmlns:r="http://schemas.openxmlformats.org/officeDocument/2006/relationships" ref="J99" r:id="rId282"/>
    <hyperlink xmlns:r="http://schemas.openxmlformats.org/officeDocument/2006/relationships" ref="B100" r:id="rId283"/>
    <hyperlink xmlns:r="http://schemas.openxmlformats.org/officeDocument/2006/relationships" ref="E100" r:id="rId284"/>
    <hyperlink xmlns:r="http://schemas.openxmlformats.org/officeDocument/2006/relationships" ref="J100" r:id="rId285"/>
    <hyperlink xmlns:r="http://schemas.openxmlformats.org/officeDocument/2006/relationships" ref="B101" r:id="rId286"/>
    <hyperlink xmlns:r="http://schemas.openxmlformats.org/officeDocument/2006/relationships" ref="E101" r:id="rId287"/>
    <hyperlink xmlns:r="http://schemas.openxmlformats.org/officeDocument/2006/relationships" ref="J101" r:id="rId288"/>
    <hyperlink xmlns:r="http://schemas.openxmlformats.org/officeDocument/2006/relationships" ref="B102" r:id="rId289"/>
    <hyperlink xmlns:r="http://schemas.openxmlformats.org/officeDocument/2006/relationships" ref="E102" r:id="rId290"/>
    <hyperlink xmlns:r="http://schemas.openxmlformats.org/officeDocument/2006/relationships" ref="J102" r:id="rId291"/>
    <hyperlink xmlns:r="http://schemas.openxmlformats.org/officeDocument/2006/relationships" ref="B103" r:id="rId292"/>
    <hyperlink xmlns:r="http://schemas.openxmlformats.org/officeDocument/2006/relationships" ref="E103" r:id="rId293"/>
    <hyperlink xmlns:r="http://schemas.openxmlformats.org/officeDocument/2006/relationships" ref="J103" r:id="rId294"/>
    <hyperlink xmlns:r="http://schemas.openxmlformats.org/officeDocument/2006/relationships" ref="B104" r:id="rId295"/>
    <hyperlink xmlns:r="http://schemas.openxmlformats.org/officeDocument/2006/relationships" ref="E104" r:id="rId296"/>
    <hyperlink xmlns:r="http://schemas.openxmlformats.org/officeDocument/2006/relationships" ref="J104" r:id="rId297"/>
    <hyperlink xmlns:r="http://schemas.openxmlformats.org/officeDocument/2006/relationships" ref="B105" r:id="rId298"/>
    <hyperlink xmlns:r="http://schemas.openxmlformats.org/officeDocument/2006/relationships" ref="E105" r:id="rId299"/>
    <hyperlink xmlns:r="http://schemas.openxmlformats.org/officeDocument/2006/relationships" ref="J105" r:id="rId300"/>
    <hyperlink xmlns:r="http://schemas.openxmlformats.org/officeDocument/2006/relationships" ref="B106" r:id="rId301"/>
    <hyperlink xmlns:r="http://schemas.openxmlformats.org/officeDocument/2006/relationships" ref="E106" r:id="rId302"/>
    <hyperlink xmlns:r="http://schemas.openxmlformats.org/officeDocument/2006/relationships" ref="J106" r:id="rId303"/>
    <hyperlink xmlns:r="http://schemas.openxmlformats.org/officeDocument/2006/relationships" ref="B107" r:id="rId304"/>
    <hyperlink xmlns:r="http://schemas.openxmlformats.org/officeDocument/2006/relationships" ref="E107" r:id="rId305"/>
    <hyperlink xmlns:r="http://schemas.openxmlformats.org/officeDocument/2006/relationships" ref="J107" r:id="rId306"/>
    <hyperlink xmlns:r="http://schemas.openxmlformats.org/officeDocument/2006/relationships" ref="B108" r:id="rId307"/>
    <hyperlink xmlns:r="http://schemas.openxmlformats.org/officeDocument/2006/relationships" ref="E108" r:id="rId308"/>
    <hyperlink xmlns:r="http://schemas.openxmlformats.org/officeDocument/2006/relationships" ref="J108" r:id="rId309"/>
    <hyperlink xmlns:r="http://schemas.openxmlformats.org/officeDocument/2006/relationships" ref="B109" r:id="rId310"/>
    <hyperlink xmlns:r="http://schemas.openxmlformats.org/officeDocument/2006/relationships" ref="E109" r:id="rId311"/>
    <hyperlink xmlns:r="http://schemas.openxmlformats.org/officeDocument/2006/relationships" ref="J109" r:id="rId312"/>
    <hyperlink xmlns:r="http://schemas.openxmlformats.org/officeDocument/2006/relationships" ref="B110" r:id="rId313"/>
    <hyperlink xmlns:r="http://schemas.openxmlformats.org/officeDocument/2006/relationships" ref="E110" r:id="rId314"/>
    <hyperlink xmlns:r="http://schemas.openxmlformats.org/officeDocument/2006/relationships" ref="J110" r:id="rId315"/>
    <hyperlink xmlns:r="http://schemas.openxmlformats.org/officeDocument/2006/relationships" ref="B111" r:id="rId316"/>
    <hyperlink xmlns:r="http://schemas.openxmlformats.org/officeDocument/2006/relationships" ref="E111" r:id="rId317"/>
    <hyperlink xmlns:r="http://schemas.openxmlformats.org/officeDocument/2006/relationships" ref="J111" r:id="rId318"/>
    <hyperlink xmlns:r="http://schemas.openxmlformats.org/officeDocument/2006/relationships" ref="B112" r:id="rId319"/>
    <hyperlink xmlns:r="http://schemas.openxmlformats.org/officeDocument/2006/relationships" ref="E112" r:id="rId320"/>
    <hyperlink xmlns:r="http://schemas.openxmlformats.org/officeDocument/2006/relationships" ref="J112" r:id="rId321"/>
    <hyperlink xmlns:r="http://schemas.openxmlformats.org/officeDocument/2006/relationships" ref="B113" r:id="rId322"/>
    <hyperlink xmlns:r="http://schemas.openxmlformats.org/officeDocument/2006/relationships" ref="E113" r:id="rId323"/>
    <hyperlink xmlns:r="http://schemas.openxmlformats.org/officeDocument/2006/relationships" ref="J113" r:id="rId324"/>
    <hyperlink xmlns:r="http://schemas.openxmlformats.org/officeDocument/2006/relationships" ref="B114" r:id="rId325"/>
    <hyperlink xmlns:r="http://schemas.openxmlformats.org/officeDocument/2006/relationships" ref="E114" r:id="rId326"/>
    <hyperlink xmlns:r="http://schemas.openxmlformats.org/officeDocument/2006/relationships" ref="J114" r:id="rId327"/>
    <hyperlink xmlns:r="http://schemas.openxmlformats.org/officeDocument/2006/relationships" ref="B115" r:id="rId328"/>
    <hyperlink xmlns:r="http://schemas.openxmlformats.org/officeDocument/2006/relationships" ref="E115" r:id="rId329"/>
    <hyperlink xmlns:r="http://schemas.openxmlformats.org/officeDocument/2006/relationships" ref="J115" r:id="rId330"/>
    <hyperlink xmlns:r="http://schemas.openxmlformats.org/officeDocument/2006/relationships" ref="B116" r:id="rId331"/>
    <hyperlink xmlns:r="http://schemas.openxmlformats.org/officeDocument/2006/relationships" ref="E116" r:id="rId332"/>
    <hyperlink xmlns:r="http://schemas.openxmlformats.org/officeDocument/2006/relationships" ref="J116" r:id="rId333"/>
    <hyperlink xmlns:r="http://schemas.openxmlformats.org/officeDocument/2006/relationships" ref="B117" r:id="rId334"/>
    <hyperlink xmlns:r="http://schemas.openxmlformats.org/officeDocument/2006/relationships" ref="E117" r:id="rId335"/>
    <hyperlink xmlns:r="http://schemas.openxmlformats.org/officeDocument/2006/relationships" ref="J117" r:id="rId336"/>
    <hyperlink xmlns:r="http://schemas.openxmlformats.org/officeDocument/2006/relationships" ref="B118" r:id="rId337"/>
    <hyperlink xmlns:r="http://schemas.openxmlformats.org/officeDocument/2006/relationships" ref="E118" r:id="rId338"/>
    <hyperlink xmlns:r="http://schemas.openxmlformats.org/officeDocument/2006/relationships" ref="J118" r:id="rId339"/>
    <hyperlink xmlns:r="http://schemas.openxmlformats.org/officeDocument/2006/relationships" ref="B119" r:id="rId340"/>
    <hyperlink xmlns:r="http://schemas.openxmlformats.org/officeDocument/2006/relationships" ref="E119" r:id="rId341"/>
    <hyperlink xmlns:r="http://schemas.openxmlformats.org/officeDocument/2006/relationships" ref="J119" r:id="rId342"/>
    <hyperlink xmlns:r="http://schemas.openxmlformats.org/officeDocument/2006/relationships" ref="B120" r:id="rId343"/>
    <hyperlink xmlns:r="http://schemas.openxmlformats.org/officeDocument/2006/relationships" ref="E120" r:id="rId344"/>
    <hyperlink xmlns:r="http://schemas.openxmlformats.org/officeDocument/2006/relationships" ref="J120" r:id="rId345"/>
    <hyperlink xmlns:r="http://schemas.openxmlformats.org/officeDocument/2006/relationships" ref="B121" r:id="rId346"/>
    <hyperlink xmlns:r="http://schemas.openxmlformats.org/officeDocument/2006/relationships" ref="E121" r:id="rId347"/>
    <hyperlink xmlns:r="http://schemas.openxmlformats.org/officeDocument/2006/relationships" ref="J121" r:id="rId348"/>
    <hyperlink xmlns:r="http://schemas.openxmlformats.org/officeDocument/2006/relationships" ref="B122" r:id="rId349"/>
    <hyperlink xmlns:r="http://schemas.openxmlformats.org/officeDocument/2006/relationships" ref="E122" r:id="rId350"/>
    <hyperlink xmlns:r="http://schemas.openxmlformats.org/officeDocument/2006/relationships" ref="J122" r:id="rId351"/>
    <hyperlink xmlns:r="http://schemas.openxmlformats.org/officeDocument/2006/relationships" ref="B123" r:id="rId352"/>
    <hyperlink xmlns:r="http://schemas.openxmlformats.org/officeDocument/2006/relationships" ref="E123" r:id="rId353"/>
    <hyperlink xmlns:r="http://schemas.openxmlformats.org/officeDocument/2006/relationships" ref="J123" r:id="rId354"/>
    <hyperlink xmlns:r="http://schemas.openxmlformats.org/officeDocument/2006/relationships" ref="B124" r:id="rId355"/>
    <hyperlink xmlns:r="http://schemas.openxmlformats.org/officeDocument/2006/relationships" ref="E124" r:id="rId356"/>
    <hyperlink xmlns:r="http://schemas.openxmlformats.org/officeDocument/2006/relationships" ref="J124" r:id="rId357"/>
    <hyperlink xmlns:r="http://schemas.openxmlformats.org/officeDocument/2006/relationships" ref="B125" r:id="rId358"/>
    <hyperlink xmlns:r="http://schemas.openxmlformats.org/officeDocument/2006/relationships" ref="E125" r:id="rId359"/>
    <hyperlink xmlns:r="http://schemas.openxmlformats.org/officeDocument/2006/relationships" ref="J125" r:id="rId360"/>
    <hyperlink xmlns:r="http://schemas.openxmlformats.org/officeDocument/2006/relationships" ref="B126" r:id="rId361"/>
    <hyperlink xmlns:r="http://schemas.openxmlformats.org/officeDocument/2006/relationships" ref="E126" r:id="rId362"/>
    <hyperlink xmlns:r="http://schemas.openxmlformats.org/officeDocument/2006/relationships" ref="J126" r:id="rId363"/>
    <hyperlink xmlns:r="http://schemas.openxmlformats.org/officeDocument/2006/relationships" ref="B127" r:id="rId364"/>
    <hyperlink xmlns:r="http://schemas.openxmlformats.org/officeDocument/2006/relationships" ref="E127" r:id="rId365"/>
    <hyperlink xmlns:r="http://schemas.openxmlformats.org/officeDocument/2006/relationships" ref="J127" r:id="rId366"/>
    <hyperlink xmlns:r="http://schemas.openxmlformats.org/officeDocument/2006/relationships" ref="B128" r:id="rId367"/>
    <hyperlink xmlns:r="http://schemas.openxmlformats.org/officeDocument/2006/relationships" ref="E128" r:id="rId368"/>
    <hyperlink xmlns:r="http://schemas.openxmlformats.org/officeDocument/2006/relationships" ref="J128" r:id="rId369"/>
    <hyperlink xmlns:r="http://schemas.openxmlformats.org/officeDocument/2006/relationships" ref="B129" r:id="rId370"/>
    <hyperlink xmlns:r="http://schemas.openxmlformats.org/officeDocument/2006/relationships" ref="E129" r:id="rId371"/>
    <hyperlink xmlns:r="http://schemas.openxmlformats.org/officeDocument/2006/relationships" ref="J129" r:id="rId372"/>
    <hyperlink xmlns:r="http://schemas.openxmlformats.org/officeDocument/2006/relationships" ref="B130" r:id="rId373"/>
    <hyperlink xmlns:r="http://schemas.openxmlformats.org/officeDocument/2006/relationships" ref="E130" r:id="rId374"/>
    <hyperlink xmlns:r="http://schemas.openxmlformats.org/officeDocument/2006/relationships" ref="J130" r:id="rId375"/>
    <hyperlink xmlns:r="http://schemas.openxmlformats.org/officeDocument/2006/relationships" ref="B131" r:id="rId376"/>
    <hyperlink xmlns:r="http://schemas.openxmlformats.org/officeDocument/2006/relationships" ref="E131" r:id="rId377"/>
    <hyperlink xmlns:r="http://schemas.openxmlformats.org/officeDocument/2006/relationships" ref="J131" r:id="rId378"/>
    <hyperlink xmlns:r="http://schemas.openxmlformats.org/officeDocument/2006/relationships" ref="B132" r:id="rId379"/>
    <hyperlink xmlns:r="http://schemas.openxmlformats.org/officeDocument/2006/relationships" ref="E132" r:id="rId380"/>
    <hyperlink xmlns:r="http://schemas.openxmlformats.org/officeDocument/2006/relationships" ref="J132" r:id="rId381"/>
    <hyperlink xmlns:r="http://schemas.openxmlformats.org/officeDocument/2006/relationships" ref="B133" r:id="rId382"/>
    <hyperlink xmlns:r="http://schemas.openxmlformats.org/officeDocument/2006/relationships" ref="E133" r:id="rId383"/>
    <hyperlink xmlns:r="http://schemas.openxmlformats.org/officeDocument/2006/relationships" ref="J133" r:id="rId384"/>
    <hyperlink xmlns:r="http://schemas.openxmlformats.org/officeDocument/2006/relationships" ref="B134" r:id="rId385"/>
    <hyperlink xmlns:r="http://schemas.openxmlformats.org/officeDocument/2006/relationships" ref="E134" r:id="rId386"/>
    <hyperlink xmlns:r="http://schemas.openxmlformats.org/officeDocument/2006/relationships" ref="J134" r:id="rId387"/>
    <hyperlink xmlns:r="http://schemas.openxmlformats.org/officeDocument/2006/relationships" ref="B135" r:id="rId388"/>
    <hyperlink xmlns:r="http://schemas.openxmlformats.org/officeDocument/2006/relationships" ref="E135" r:id="rId389"/>
    <hyperlink xmlns:r="http://schemas.openxmlformats.org/officeDocument/2006/relationships" ref="J135" r:id="rId390"/>
    <hyperlink xmlns:r="http://schemas.openxmlformats.org/officeDocument/2006/relationships" ref="B136" r:id="rId391"/>
    <hyperlink xmlns:r="http://schemas.openxmlformats.org/officeDocument/2006/relationships" ref="E136" r:id="rId392"/>
    <hyperlink xmlns:r="http://schemas.openxmlformats.org/officeDocument/2006/relationships" ref="J136" r:id="rId393"/>
    <hyperlink xmlns:r="http://schemas.openxmlformats.org/officeDocument/2006/relationships" ref="B137" r:id="rId394"/>
    <hyperlink xmlns:r="http://schemas.openxmlformats.org/officeDocument/2006/relationships" ref="E137" r:id="rId395"/>
    <hyperlink xmlns:r="http://schemas.openxmlformats.org/officeDocument/2006/relationships" ref="J137" r:id="rId396"/>
    <hyperlink xmlns:r="http://schemas.openxmlformats.org/officeDocument/2006/relationships" ref="B138" r:id="rId397"/>
    <hyperlink xmlns:r="http://schemas.openxmlformats.org/officeDocument/2006/relationships" ref="E138" r:id="rId398"/>
    <hyperlink xmlns:r="http://schemas.openxmlformats.org/officeDocument/2006/relationships" ref="J138" r:id="rId399"/>
    <hyperlink xmlns:r="http://schemas.openxmlformats.org/officeDocument/2006/relationships" ref="B139" r:id="rId400"/>
    <hyperlink xmlns:r="http://schemas.openxmlformats.org/officeDocument/2006/relationships" ref="E139" r:id="rId401"/>
    <hyperlink xmlns:r="http://schemas.openxmlformats.org/officeDocument/2006/relationships" ref="J139" r:id="rId402"/>
    <hyperlink xmlns:r="http://schemas.openxmlformats.org/officeDocument/2006/relationships" ref="B140" r:id="rId403"/>
    <hyperlink xmlns:r="http://schemas.openxmlformats.org/officeDocument/2006/relationships" ref="E140" r:id="rId404"/>
    <hyperlink xmlns:r="http://schemas.openxmlformats.org/officeDocument/2006/relationships" ref="J140" r:id="rId405"/>
    <hyperlink xmlns:r="http://schemas.openxmlformats.org/officeDocument/2006/relationships" ref="B141" r:id="rId406"/>
    <hyperlink xmlns:r="http://schemas.openxmlformats.org/officeDocument/2006/relationships" ref="E141" r:id="rId407"/>
    <hyperlink xmlns:r="http://schemas.openxmlformats.org/officeDocument/2006/relationships" ref="J141" r:id="rId408"/>
    <hyperlink xmlns:r="http://schemas.openxmlformats.org/officeDocument/2006/relationships" ref="B142" r:id="rId409"/>
    <hyperlink xmlns:r="http://schemas.openxmlformats.org/officeDocument/2006/relationships" ref="E142" r:id="rId410"/>
    <hyperlink xmlns:r="http://schemas.openxmlformats.org/officeDocument/2006/relationships" ref="J142" r:id="rId411"/>
    <hyperlink xmlns:r="http://schemas.openxmlformats.org/officeDocument/2006/relationships" ref="B143" r:id="rId412"/>
    <hyperlink xmlns:r="http://schemas.openxmlformats.org/officeDocument/2006/relationships" ref="E143" r:id="rId413"/>
    <hyperlink xmlns:r="http://schemas.openxmlformats.org/officeDocument/2006/relationships" ref="J143" r:id="rId414"/>
    <hyperlink xmlns:r="http://schemas.openxmlformats.org/officeDocument/2006/relationships" ref="B144" r:id="rId415"/>
    <hyperlink xmlns:r="http://schemas.openxmlformats.org/officeDocument/2006/relationships" ref="E144" r:id="rId416"/>
    <hyperlink xmlns:r="http://schemas.openxmlformats.org/officeDocument/2006/relationships" ref="J144" r:id="rId417"/>
    <hyperlink xmlns:r="http://schemas.openxmlformats.org/officeDocument/2006/relationships" ref="B145" r:id="rId418"/>
    <hyperlink xmlns:r="http://schemas.openxmlformats.org/officeDocument/2006/relationships" ref="E145" r:id="rId419"/>
    <hyperlink xmlns:r="http://schemas.openxmlformats.org/officeDocument/2006/relationships" ref="J145" r:id="rId420"/>
    <hyperlink xmlns:r="http://schemas.openxmlformats.org/officeDocument/2006/relationships" ref="B146" r:id="rId421"/>
    <hyperlink xmlns:r="http://schemas.openxmlformats.org/officeDocument/2006/relationships" ref="E146" r:id="rId422"/>
    <hyperlink xmlns:r="http://schemas.openxmlformats.org/officeDocument/2006/relationships" ref="J146" r:id="rId423"/>
    <hyperlink xmlns:r="http://schemas.openxmlformats.org/officeDocument/2006/relationships" ref="B147" r:id="rId424"/>
    <hyperlink xmlns:r="http://schemas.openxmlformats.org/officeDocument/2006/relationships" ref="E147" r:id="rId425"/>
    <hyperlink xmlns:r="http://schemas.openxmlformats.org/officeDocument/2006/relationships" ref="J147" r:id="rId426"/>
    <hyperlink xmlns:r="http://schemas.openxmlformats.org/officeDocument/2006/relationships" ref="B148" r:id="rId427"/>
    <hyperlink xmlns:r="http://schemas.openxmlformats.org/officeDocument/2006/relationships" ref="E148" r:id="rId428"/>
    <hyperlink xmlns:r="http://schemas.openxmlformats.org/officeDocument/2006/relationships" ref="J148" r:id="rId429"/>
    <hyperlink xmlns:r="http://schemas.openxmlformats.org/officeDocument/2006/relationships" ref="B149" r:id="rId430"/>
    <hyperlink xmlns:r="http://schemas.openxmlformats.org/officeDocument/2006/relationships" ref="E149" r:id="rId431"/>
    <hyperlink xmlns:r="http://schemas.openxmlformats.org/officeDocument/2006/relationships" ref="J149" r:id="rId432"/>
    <hyperlink xmlns:r="http://schemas.openxmlformats.org/officeDocument/2006/relationships" ref="B150" r:id="rId433"/>
    <hyperlink xmlns:r="http://schemas.openxmlformats.org/officeDocument/2006/relationships" ref="E150" r:id="rId434"/>
    <hyperlink xmlns:r="http://schemas.openxmlformats.org/officeDocument/2006/relationships" ref="J150" r:id="rId435"/>
    <hyperlink xmlns:r="http://schemas.openxmlformats.org/officeDocument/2006/relationships" ref="B151" r:id="rId436"/>
    <hyperlink xmlns:r="http://schemas.openxmlformats.org/officeDocument/2006/relationships" ref="E151" r:id="rId437"/>
    <hyperlink xmlns:r="http://schemas.openxmlformats.org/officeDocument/2006/relationships" ref="J151" r:id="rId438"/>
    <hyperlink xmlns:r="http://schemas.openxmlformats.org/officeDocument/2006/relationships" ref="B152" r:id="rId439"/>
    <hyperlink xmlns:r="http://schemas.openxmlformats.org/officeDocument/2006/relationships" ref="E152" r:id="rId440"/>
    <hyperlink xmlns:r="http://schemas.openxmlformats.org/officeDocument/2006/relationships" ref="J152" r:id="rId441"/>
    <hyperlink xmlns:r="http://schemas.openxmlformats.org/officeDocument/2006/relationships" ref="B153" r:id="rId442"/>
    <hyperlink xmlns:r="http://schemas.openxmlformats.org/officeDocument/2006/relationships" ref="E153" r:id="rId443"/>
    <hyperlink xmlns:r="http://schemas.openxmlformats.org/officeDocument/2006/relationships" ref="J153" r:id="rId444"/>
    <hyperlink xmlns:r="http://schemas.openxmlformats.org/officeDocument/2006/relationships" ref="B154" r:id="rId445"/>
    <hyperlink xmlns:r="http://schemas.openxmlformats.org/officeDocument/2006/relationships" ref="E154" r:id="rId446"/>
    <hyperlink xmlns:r="http://schemas.openxmlformats.org/officeDocument/2006/relationships" ref="J154" r:id="rId447"/>
    <hyperlink xmlns:r="http://schemas.openxmlformats.org/officeDocument/2006/relationships" ref="B155" r:id="rId448"/>
    <hyperlink xmlns:r="http://schemas.openxmlformats.org/officeDocument/2006/relationships" ref="E155" r:id="rId449"/>
    <hyperlink xmlns:r="http://schemas.openxmlformats.org/officeDocument/2006/relationships" ref="J155" r:id="rId450"/>
    <hyperlink xmlns:r="http://schemas.openxmlformats.org/officeDocument/2006/relationships" ref="B156" r:id="rId451"/>
    <hyperlink xmlns:r="http://schemas.openxmlformats.org/officeDocument/2006/relationships" ref="E156" r:id="rId452"/>
    <hyperlink xmlns:r="http://schemas.openxmlformats.org/officeDocument/2006/relationships" ref="J156" r:id="rId453"/>
    <hyperlink xmlns:r="http://schemas.openxmlformats.org/officeDocument/2006/relationships" ref="B157" r:id="rId454"/>
    <hyperlink xmlns:r="http://schemas.openxmlformats.org/officeDocument/2006/relationships" ref="E157" r:id="rId455"/>
    <hyperlink xmlns:r="http://schemas.openxmlformats.org/officeDocument/2006/relationships" ref="J157" r:id="rId456"/>
    <hyperlink xmlns:r="http://schemas.openxmlformats.org/officeDocument/2006/relationships" ref="B158" r:id="rId457"/>
    <hyperlink xmlns:r="http://schemas.openxmlformats.org/officeDocument/2006/relationships" ref="E158" r:id="rId458"/>
    <hyperlink xmlns:r="http://schemas.openxmlformats.org/officeDocument/2006/relationships" ref="J158" r:id="rId459"/>
    <hyperlink xmlns:r="http://schemas.openxmlformats.org/officeDocument/2006/relationships" ref="B159" r:id="rId460"/>
    <hyperlink xmlns:r="http://schemas.openxmlformats.org/officeDocument/2006/relationships" ref="E159" r:id="rId461"/>
    <hyperlink xmlns:r="http://schemas.openxmlformats.org/officeDocument/2006/relationships" ref="J159" r:id="rId462"/>
    <hyperlink xmlns:r="http://schemas.openxmlformats.org/officeDocument/2006/relationships" ref="B160" r:id="rId463"/>
    <hyperlink xmlns:r="http://schemas.openxmlformats.org/officeDocument/2006/relationships" ref="E160" r:id="rId464"/>
    <hyperlink xmlns:r="http://schemas.openxmlformats.org/officeDocument/2006/relationships" ref="J160" r:id="rId465"/>
    <hyperlink xmlns:r="http://schemas.openxmlformats.org/officeDocument/2006/relationships" ref="B161" r:id="rId466"/>
    <hyperlink xmlns:r="http://schemas.openxmlformats.org/officeDocument/2006/relationships" ref="E161" r:id="rId467"/>
    <hyperlink xmlns:r="http://schemas.openxmlformats.org/officeDocument/2006/relationships" ref="J161" r:id="rId468"/>
    <hyperlink xmlns:r="http://schemas.openxmlformats.org/officeDocument/2006/relationships" ref="B162" r:id="rId469"/>
    <hyperlink xmlns:r="http://schemas.openxmlformats.org/officeDocument/2006/relationships" ref="E162" r:id="rId470"/>
    <hyperlink xmlns:r="http://schemas.openxmlformats.org/officeDocument/2006/relationships" ref="J162" r:id="rId471"/>
    <hyperlink xmlns:r="http://schemas.openxmlformats.org/officeDocument/2006/relationships" ref="B163" r:id="rId472"/>
    <hyperlink xmlns:r="http://schemas.openxmlformats.org/officeDocument/2006/relationships" ref="E163" r:id="rId473"/>
    <hyperlink xmlns:r="http://schemas.openxmlformats.org/officeDocument/2006/relationships" ref="J163" r:id="rId474"/>
    <hyperlink xmlns:r="http://schemas.openxmlformats.org/officeDocument/2006/relationships" ref="B164" r:id="rId475"/>
    <hyperlink xmlns:r="http://schemas.openxmlformats.org/officeDocument/2006/relationships" ref="E164" r:id="rId476"/>
    <hyperlink xmlns:r="http://schemas.openxmlformats.org/officeDocument/2006/relationships" ref="J164" r:id="rId477"/>
    <hyperlink xmlns:r="http://schemas.openxmlformats.org/officeDocument/2006/relationships" ref="B165" r:id="rId478"/>
    <hyperlink xmlns:r="http://schemas.openxmlformats.org/officeDocument/2006/relationships" ref="E165" r:id="rId479"/>
    <hyperlink xmlns:r="http://schemas.openxmlformats.org/officeDocument/2006/relationships" ref="J165" r:id="rId480"/>
    <hyperlink xmlns:r="http://schemas.openxmlformats.org/officeDocument/2006/relationships" ref="B166" r:id="rId481"/>
    <hyperlink xmlns:r="http://schemas.openxmlformats.org/officeDocument/2006/relationships" ref="E166" r:id="rId482"/>
    <hyperlink xmlns:r="http://schemas.openxmlformats.org/officeDocument/2006/relationships" ref="J166" r:id="rId483"/>
    <hyperlink xmlns:r="http://schemas.openxmlformats.org/officeDocument/2006/relationships" ref="B167" r:id="rId484"/>
    <hyperlink xmlns:r="http://schemas.openxmlformats.org/officeDocument/2006/relationships" ref="E167" r:id="rId485"/>
    <hyperlink xmlns:r="http://schemas.openxmlformats.org/officeDocument/2006/relationships" ref="J167" r:id="rId486"/>
    <hyperlink xmlns:r="http://schemas.openxmlformats.org/officeDocument/2006/relationships" ref="B168" r:id="rId487"/>
    <hyperlink xmlns:r="http://schemas.openxmlformats.org/officeDocument/2006/relationships" ref="E168" r:id="rId488"/>
    <hyperlink xmlns:r="http://schemas.openxmlformats.org/officeDocument/2006/relationships" ref="J168" r:id="rId489"/>
    <hyperlink xmlns:r="http://schemas.openxmlformats.org/officeDocument/2006/relationships" ref="B169" r:id="rId490"/>
    <hyperlink xmlns:r="http://schemas.openxmlformats.org/officeDocument/2006/relationships" ref="J169" r:id="rId491"/>
    <hyperlink xmlns:r="http://schemas.openxmlformats.org/officeDocument/2006/relationships" ref="B170" r:id="rId492"/>
    <hyperlink xmlns:r="http://schemas.openxmlformats.org/officeDocument/2006/relationships" ref="J170" r:id="rId493"/>
    <hyperlink xmlns:r="http://schemas.openxmlformats.org/officeDocument/2006/relationships" ref="B171" r:id="rId494"/>
    <hyperlink xmlns:r="http://schemas.openxmlformats.org/officeDocument/2006/relationships" ref="E171" r:id="rId495"/>
    <hyperlink xmlns:r="http://schemas.openxmlformats.org/officeDocument/2006/relationships" ref="J171" r:id="rId496"/>
    <hyperlink xmlns:r="http://schemas.openxmlformats.org/officeDocument/2006/relationships" ref="B172" r:id="rId497"/>
    <hyperlink xmlns:r="http://schemas.openxmlformats.org/officeDocument/2006/relationships" ref="E172" r:id="rId498"/>
    <hyperlink xmlns:r="http://schemas.openxmlformats.org/officeDocument/2006/relationships" ref="J172" r:id="rId499"/>
    <hyperlink xmlns:r="http://schemas.openxmlformats.org/officeDocument/2006/relationships" ref="B173" r:id="rId500"/>
    <hyperlink xmlns:r="http://schemas.openxmlformats.org/officeDocument/2006/relationships" ref="E173" r:id="rId501"/>
    <hyperlink xmlns:r="http://schemas.openxmlformats.org/officeDocument/2006/relationships" ref="J173" r:id="rId502"/>
    <hyperlink xmlns:r="http://schemas.openxmlformats.org/officeDocument/2006/relationships" ref="B174" r:id="rId503"/>
    <hyperlink xmlns:r="http://schemas.openxmlformats.org/officeDocument/2006/relationships" ref="E174" r:id="rId504"/>
    <hyperlink xmlns:r="http://schemas.openxmlformats.org/officeDocument/2006/relationships" ref="J174" r:id="rId505"/>
    <hyperlink xmlns:r="http://schemas.openxmlformats.org/officeDocument/2006/relationships" ref="B175" r:id="rId506"/>
    <hyperlink xmlns:r="http://schemas.openxmlformats.org/officeDocument/2006/relationships" ref="E175" r:id="rId507"/>
    <hyperlink xmlns:r="http://schemas.openxmlformats.org/officeDocument/2006/relationships" ref="J175" r:id="rId508"/>
    <hyperlink xmlns:r="http://schemas.openxmlformats.org/officeDocument/2006/relationships" ref="B176" r:id="rId509"/>
    <hyperlink xmlns:r="http://schemas.openxmlformats.org/officeDocument/2006/relationships" ref="E176" r:id="rId510"/>
    <hyperlink xmlns:r="http://schemas.openxmlformats.org/officeDocument/2006/relationships" ref="J176" r:id="rId511"/>
    <hyperlink xmlns:r="http://schemas.openxmlformats.org/officeDocument/2006/relationships" ref="B177" r:id="rId512"/>
    <hyperlink xmlns:r="http://schemas.openxmlformats.org/officeDocument/2006/relationships" ref="E177" r:id="rId513"/>
    <hyperlink xmlns:r="http://schemas.openxmlformats.org/officeDocument/2006/relationships" ref="J177" r:id="rId514"/>
    <hyperlink xmlns:r="http://schemas.openxmlformats.org/officeDocument/2006/relationships" ref="B178" r:id="rId515"/>
    <hyperlink xmlns:r="http://schemas.openxmlformats.org/officeDocument/2006/relationships" ref="E178" r:id="rId516"/>
    <hyperlink xmlns:r="http://schemas.openxmlformats.org/officeDocument/2006/relationships" ref="J178" r:id="rId517"/>
    <hyperlink xmlns:r="http://schemas.openxmlformats.org/officeDocument/2006/relationships" ref="B179" r:id="rId518"/>
    <hyperlink xmlns:r="http://schemas.openxmlformats.org/officeDocument/2006/relationships" ref="E179" r:id="rId519"/>
    <hyperlink xmlns:r="http://schemas.openxmlformats.org/officeDocument/2006/relationships" ref="J179" r:id="rId520"/>
    <hyperlink xmlns:r="http://schemas.openxmlformats.org/officeDocument/2006/relationships" ref="B180" r:id="rId521"/>
    <hyperlink xmlns:r="http://schemas.openxmlformats.org/officeDocument/2006/relationships" ref="J180" r:id="rId522"/>
    <hyperlink xmlns:r="http://schemas.openxmlformats.org/officeDocument/2006/relationships" ref="B181" r:id="rId523"/>
    <hyperlink xmlns:r="http://schemas.openxmlformats.org/officeDocument/2006/relationships" ref="E181" r:id="rId524"/>
    <hyperlink xmlns:r="http://schemas.openxmlformats.org/officeDocument/2006/relationships" ref="J181" r:id="rId525"/>
    <hyperlink xmlns:r="http://schemas.openxmlformats.org/officeDocument/2006/relationships" ref="B182" r:id="rId526"/>
    <hyperlink xmlns:r="http://schemas.openxmlformats.org/officeDocument/2006/relationships" ref="E182" r:id="rId527"/>
    <hyperlink xmlns:r="http://schemas.openxmlformats.org/officeDocument/2006/relationships" ref="J182" r:id="rId528"/>
    <hyperlink xmlns:r="http://schemas.openxmlformats.org/officeDocument/2006/relationships" ref="B183" r:id="rId529"/>
    <hyperlink xmlns:r="http://schemas.openxmlformats.org/officeDocument/2006/relationships" ref="E183" r:id="rId530"/>
    <hyperlink xmlns:r="http://schemas.openxmlformats.org/officeDocument/2006/relationships" ref="J183" r:id="rId531"/>
    <hyperlink xmlns:r="http://schemas.openxmlformats.org/officeDocument/2006/relationships" ref="B184" r:id="rId532"/>
    <hyperlink xmlns:r="http://schemas.openxmlformats.org/officeDocument/2006/relationships" ref="E184" r:id="rId533"/>
    <hyperlink xmlns:r="http://schemas.openxmlformats.org/officeDocument/2006/relationships" ref="J184" r:id="rId534"/>
    <hyperlink xmlns:r="http://schemas.openxmlformats.org/officeDocument/2006/relationships" ref="B185" r:id="rId535"/>
    <hyperlink xmlns:r="http://schemas.openxmlformats.org/officeDocument/2006/relationships" ref="E185" r:id="rId536"/>
    <hyperlink xmlns:r="http://schemas.openxmlformats.org/officeDocument/2006/relationships" ref="J185" r:id="rId537"/>
    <hyperlink xmlns:r="http://schemas.openxmlformats.org/officeDocument/2006/relationships" ref="B186" r:id="rId538"/>
    <hyperlink xmlns:r="http://schemas.openxmlformats.org/officeDocument/2006/relationships" ref="E186" r:id="rId539"/>
    <hyperlink xmlns:r="http://schemas.openxmlformats.org/officeDocument/2006/relationships" ref="J186" r:id="rId540"/>
    <hyperlink xmlns:r="http://schemas.openxmlformats.org/officeDocument/2006/relationships" ref="B187" r:id="rId541"/>
    <hyperlink xmlns:r="http://schemas.openxmlformats.org/officeDocument/2006/relationships" ref="E187" r:id="rId542"/>
    <hyperlink xmlns:r="http://schemas.openxmlformats.org/officeDocument/2006/relationships" ref="J187" r:id="rId543"/>
    <hyperlink xmlns:r="http://schemas.openxmlformats.org/officeDocument/2006/relationships" ref="B188" r:id="rId544"/>
    <hyperlink xmlns:r="http://schemas.openxmlformats.org/officeDocument/2006/relationships" ref="E188" r:id="rId545"/>
    <hyperlink xmlns:r="http://schemas.openxmlformats.org/officeDocument/2006/relationships" ref="J188" r:id="rId546"/>
    <hyperlink xmlns:r="http://schemas.openxmlformats.org/officeDocument/2006/relationships" ref="B189" r:id="rId547"/>
    <hyperlink xmlns:r="http://schemas.openxmlformats.org/officeDocument/2006/relationships" ref="E189" r:id="rId548"/>
    <hyperlink xmlns:r="http://schemas.openxmlformats.org/officeDocument/2006/relationships" ref="J189" r:id="rId549"/>
    <hyperlink xmlns:r="http://schemas.openxmlformats.org/officeDocument/2006/relationships" ref="B190" r:id="rId550"/>
    <hyperlink xmlns:r="http://schemas.openxmlformats.org/officeDocument/2006/relationships" ref="E190" r:id="rId551"/>
    <hyperlink xmlns:r="http://schemas.openxmlformats.org/officeDocument/2006/relationships" ref="J190" r:id="rId552"/>
    <hyperlink xmlns:r="http://schemas.openxmlformats.org/officeDocument/2006/relationships" ref="B191" r:id="rId553"/>
    <hyperlink xmlns:r="http://schemas.openxmlformats.org/officeDocument/2006/relationships" ref="E191" r:id="rId554"/>
    <hyperlink xmlns:r="http://schemas.openxmlformats.org/officeDocument/2006/relationships" ref="J191" r:id="rId555"/>
    <hyperlink xmlns:r="http://schemas.openxmlformats.org/officeDocument/2006/relationships" ref="B192" r:id="rId556"/>
    <hyperlink xmlns:r="http://schemas.openxmlformats.org/officeDocument/2006/relationships" ref="E192" r:id="rId557"/>
    <hyperlink xmlns:r="http://schemas.openxmlformats.org/officeDocument/2006/relationships" ref="J192" r:id="rId558"/>
    <hyperlink xmlns:r="http://schemas.openxmlformats.org/officeDocument/2006/relationships" ref="B193" r:id="rId559"/>
    <hyperlink xmlns:r="http://schemas.openxmlformats.org/officeDocument/2006/relationships" ref="E193" r:id="rId560"/>
    <hyperlink xmlns:r="http://schemas.openxmlformats.org/officeDocument/2006/relationships" ref="J193" r:id="rId561"/>
    <hyperlink xmlns:r="http://schemas.openxmlformats.org/officeDocument/2006/relationships" ref="B194" r:id="rId562"/>
    <hyperlink xmlns:r="http://schemas.openxmlformats.org/officeDocument/2006/relationships" ref="E194" r:id="rId563"/>
    <hyperlink xmlns:r="http://schemas.openxmlformats.org/officeDocument/2006/relationships" ref="J194" r:id="rId564"/>
    <hyperlink xmlns:r="http://schemas.openxmlformats.org/officeDocument/2006/relationships" ref="B195" r:id="rId565"/>
    <hyperlink xmlns:r="http://schemas.openxmlformats.org/officeDocument/2006/relationships" ref="E195" r:id="rId566"/>
    <hyperlink xmlns:r="http://schemas.openxmlformats.org/officeDocument/2006/relationships" ref="J195" r:id="rId567"/>
    <hyperlink xmlns:r="http://schemas.openxmlformats.org/officeDocument/2006/relationships" ref="B196" r:id="rId568"/>
    <hyperlink xmlns:r="http://schemas.openxmlformats.org/officeDocument/2006/relationships" ref="E196" r:id="rId569"/>
    <hyperlink xmlns:r="http://schemas.openxmlformats.org/officeDocument/2006/relationships" ref="J196" r:id="rId570"/>
    <hyperlink xmlns:r="http://schemas.openxmlformats.org/officeDocument/2006/relationships" ref="B197" r:id="rId571"/>
    <hyperlink xmlns:r="http://schemas.openxmlformats.org/officeDocument/2006/relationships" ref="E197" r:id="rId572"/>
    <hyperlink xmlns:r="http://schemas.openxmlformats.org/officeDocument/2006/relationships" ref="J197" r:id="rId573"/>
    <hyperlink xmlns:r="http://schemas.openxmlformats.org/officeDocument/2006/relationships" ref="B198" r:id="rId574"/>
    <hyperlink xmlns:r="http://schemas.openxmlformats.org/officeDocument/2006/relationships" ref="E198" r:id="rId575"/>
    <hyperlink xmlns:r="http://schemas.openxmlformats.org/officeDocument/2006/relationships" ref="J198" r:id="rId576"/>
    <hyperlink xmlns:r="http://schemas.openxmlformats.org/officeDocument/2006/relationships" ref="B199" r:id="rId577"/>
    <hyperlink xmlns:r="http://schemas.openxmlformats.org/officeDocument/2006/relationships" ref="J199" r:id="rId578"/>
    <hyperlink xmlns:r="http://schemas.openxmlformats.org/officeDocument/2006/relationships" ref="B200" r:id="rId579"/>
    <hyperlink xmlns:r="http://schemas.openxmlformats.org/officeDocument/2006/relationships" ref="J200" r:id="rId580"/>
    <hyperlink xmlns:r="http://schemas.openxmlformats.org/officeDocument/2006/relationships" ref="B201" r:id="rId581"/>
    <hyperlink xmlns:r="http://schemas.openxmlformats.org/officeDocument/2006/relationships" ref="E201" r:id="rId582"/>
    <hyperlink xmlns:r="http://schemas.openxmlformats.org/officeDocument/2006/relationships" ref="J201" r:id="rId583"/>
    <hyperlink xmlns:r="http://schemas.openxmlformats.org/officeDocument/2006/relationships" ref="B202" r:id="rId584"/>
    <hyperlink xmlns:r="http://schemas.openxmlformats.org/officeDocument/2006/relationships" ref="E202" r:id="rId585"/>
    <hyperlink xmlns:r="http://schemas.openxmlformats.org/officeDocument/2006/relationships" ref="J202" r:id="rId586"/>
    <hyperlink xmlns:r="http://schemas.openxmlformats.org/officeDocument/2006/relationships" ref="B203" r:id="rId587"/>
    <hyperlink xmlns:r="http://schemas.openxmlformats.org/officeDocument/2006/relationships" ref="E203" r:id="rId588"/>
    <hyperlink xmlns:r="http://schemas.openxmlformats.org/officeDocument/2006/relationships" ref="J203" r:id="rId589"/>
    <hyperlink xmlns:r="http://schemas.openxmlformats.org/officeDocument/2006/relationships" ref="B204" r:id="rId590"/>
    <hyperlink xmlns:r="http://schemas.openxmlformats.org/officeDocument/2006/relationships" ref="E204" r:id="rId591"/>
    <hyperlink xmlns:r="http://schemas.openxmlformats.org/officeDocument/2006/relationships" ref="J204" r:id="rId592"/>
    <hyperlink xmlns:r="http://schemas.openxmlformats.org/officeDocument/2006/relationships" ref="B205" r:id="rId593"/>
    <hyperlink xmlns:r="http://schemas.openxmlformats.org/officeDocument/2006/relationships" ref="E205" r:id="rId594"/>
    <hyperlink xmlns:r="http://schemas.openxmlformats.org/officeDocument/2006/relationships" ref="J205" r:id="rId595"/>
    <hyperlink xmlns:r="http://schemas.openxmlformats.org/officeDocument/2006/relationships" ref="B206" r:id="rId596"/>
    <hyperlink xmlns:r="http://schemas.openxmlformats.org/officeDocument/2006/relationships" ref="J206" r:id="rId597"/>
    <hyperlink xmlns:r="http://schemas.openxmlformats.org/officeDocument/2006/relationships" ref="B207" r:id="rId598"/>
    <hyperlink xmlns:r="http://schemas.openxmlformats.org/officeDocument/2006/relationships" ref="J207" r:id="rId599"/>
    <hyperlink xmlns:r="http://schemas.openxmlformats.org/officeDocument/2006/relationships" ref="B208" r:id="rId600"/>
    <hyperlink xmlns:r="http://schemas.openxmlformats.org/officeDocument/2006/relationships" ref="E208" r:id="rId601"/>
    <hyperlink xmlns:r="http://schemas.openxmlformats.org/officeDocument/2006/relationships" ref="J208" r:id="rId602"/>
    <hyperlink xmlns:r="http://schemas.openxmlformats.org/officeDocument/2006/relationships" ref="B209" r:id="rId603"/>
    <hyperlink xmlns:r="http://schemas.openxmlformats.org/officeDocument/2006/relationships" ref="J209" r:id="rId604"/>
    <hyperlink xmlns:r="http://schemas.openxmlformats.org/officeDocument/2006/relationships" ref="B210" r:id="rId605"/>
    <hyperlink xmlns:r="http://schemas.openxmlformats.org/officeDocument/2006/relationships" ref="E210" r:id="rId606"/>
    <hyperlink xmlns:r="http://schemas.openxmlformats.org/officeDocument/2006/relationships" ref="J210" r:id="rId607"/>
    <hyperlink xmlns:r="http://schemas.openxmlformats.org/officeDocument/2006/relationships" ref="B211" r:id="rId608"/>
    <hyperlink xmlns:r="http://schemas.openxmlformats.org/officeDocument/2006/relationships" ref="E211" r:id="rId609"/>
    <hyperlink xmlns:r="http://schemas.openxmlformats.org/officeDocument/2006/relationships" ref="J211" r:id="rId610"/>
    <hyperlink xmlns:r="http://schemas.openxmlformats.org/officeDocument/2006/relationships" ref="B212" r:id="rId611"/>
    <hyperlink xmlns:r="http://schemas.openxmlformats.org/officeDocument/2006/relationships" ref="E212" r:id="rId612"/>
    <hyperlink xmlns:r="http://schemas.openxmlformats.org/officeDocument/2006/relationships" ref="J212" r:id="rId613"/>
    <hyperlink xmlns:r="http://schemas.openxmlformats.org/officeDocument/2006/relationships" ref="B213" r:id="rId614"/>
    <hyperlink xmlns:r="http://schemas.openxmlformats.org/officeDocument/2006/relationships" ref="E213" r:id="rId615"/>
    <hyperlink xmlns:r="http://schemas.openxmlformats.org/officeDocument/2006/relationships" ref="J213" r:id="rId616"/>
    <hyperlink xmlns:r="http://schemas.openxmlformats.org/officeDocument/2006/relationships" ref="B214" r:id="rId617"/>
    <hyperlink xmlns:r="http://schemas.openxmlformats.org/officeDocument/2006/relationships" ref="E214" r:id="rId618"/>
    <hyperlink xmlns:r="http://schemas.openxmlformats.org/officeDocument/2006/relationships" ref="J214" r:id="rId619"/>
    <hyperlink xmlns:r="http://schemas.openxmlformats.org/officeDocument/2006/relationships" ref="B215" r:id="rId620"/>
    <hyperlink xmlns:r="http://schemas.openxmlformats.org/officeDocument/2006/relationships" ref="J215" r:id="rId621"/>
  </hyperlinks>
  <pageMargins left="0.75" right="0.75" top="1" bottom="1" header="0.5" footer="0.5"/>
  <pageSetup orientation="landscape" paperSize="8" fitToHeight="0" fitToWidth="1"/>
  <tableParts count="1">
    <tablePart xmlns:r="http://schemas.openxmlformats.org/officeDocument/2006/relationships" r:id="rId622"/>
  </tableParts>
</worksheet>
</file>

<file path=xl/worksheets/sheet12.xml><?xml version="1.0" encoding="utf-8"?>
<worksheet xmlns="http://schemas.openxmlformats.org/spreadsheetml/2006/main">
  <sheetPr>
    <outlinePr summaryBelow="1" summaryRight="0"/>
    <pageSetUpPr fitToPage="1"/>
  </sheetPr>
  <dimension ref="A1:K37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58" customWidth="1" min="4" max="4"/>
    <col collapsed="1" width="34" customWidth="1" min="5" max="5"/>
    <col hidden="1" outlineLevel="1" width="44" customWidth="1" min="6" max="6"/>
    <col hidden="1" outlineLevel="1" width="44" customWidth="1" min="7" max="7"/>
    <col hidden="1" outlineLevel="1" width="16" customWidth="1" min="8" max="8"/>
    <col hidden="1" outlineLevel="1" width="44" customWidth="1" min="9" max="9"/>
    <col hidden="1" outlineLevel="1" width="44" customWidth="1" min="10" max="10"/>
    <col hidden="1" outlineLevel="1" width="44" customWidth="1" min="11" max="11"/>
  </cols>
  <sheetData>
    <row r="1" ht="36" customHeight="1">
      <c r="A1" s="1" t="inlineStr">
        <is>
          <t>Rahul Gandhi | Evidence</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Evidence ID</t>
        </is>
      </c>
      <c r="B5" s="3" t="inlineStr">
        <is>
          <t>Claim ID</t>
        </is>
      </c>
      <c r="C5" s="3" t="inlineStr">
        <is>
          <t>Source ID</t>
        </is>
      </c>
      <c r="D5" s="3" t="inlineStr">
        <is>
          <t>Passage paraphrase</t>
        </is>
      </c>
      <c r="E5" s="3" t="inlineStr">
        <is>
          <t>URL</t>
        </is>
      </c>
      <c r="F5" s="3" t="inlineStr">
        <is>
          <t>Locator</t>
        </is>
      </c>
      <c r="G5" s="3" t="inlineStr">
        <is>
          <t>Relation</t>
        </is>
      </c>
      <c r="H5" s="3" t="inlineStr">
        <is>
          <t>Retrieval ID</t>
        </is>
      </c>
      <c r="I5" s="3" t="inlineStr">
        <is>
          <t>Reviewer</t>
        </is>
      </c>
      <c r="J5" s="3" t="inlineStr">
        <is>
          <t>Reviewed at</t>
        </is>
      </c>
      <c r="K5" s="3" t="inlineStr">
        <is>
          <t>Note</t>
        </is>
      </c>
    </row>
    <row r="6" ht="80" customHeight="1">
      <c r="A6" s="4" t="inlineStr">
        <is>
          <t>EV-0001</t>
        </is>
      </c>
      <c r="B6" s="5" t="inlineStr">
        <is>
          <t>C-OV01-01</t>
        </is>
      </c>
      <c r="C6" s="5" t="inlineStr">
        <is>
          <t>S004</t>
        </is>
      </c>
      <c r="D6" s="4" t="inlineStr">
        <is>
          <t>Born 19 June 1970 to Rajiv and Sonia Gandhi. Entered electoral politics in 2004; AICC general secretary from 24 September 2007; vice-president January 2013; president from 16 December 2017. Lists the 2022–23 and 2024 yatras.</t>
        </is>
      </c>
      <c r="E6" s="5" t="inlineStr">
        <is>
          <t>https://inc.in/leadership/past-party-presidents/shri-rahul-gandhi</t>
        </is>
      </c>
      <c r="F6" s="4" t="inlineStr">
        <is>
          <t>Family; Political journey; Presidency; Post-presidency</t>
        </is>
      </c>
      <c r="G6" s="4" t="inlineStr">
        <is>
          <t>Supports</t>
        </is>
      </c>
      <c r="H6" s="4" t="inlineStr">
        <is>
          <t>R004</t>
        </is>
      </c>
      <c r="I6" s="4" t="inlineStr">
        <is>
          <t>Codex: passage-to-statement review</t>
        </is>
      </c>
      <c r="J6" s="4" t="inlineStr">
        <is>
          <t>2026-09-24</t>
        </is>
      </c>
      <c r="K6" s="4" t="inlineStr">
        <is>
          <t>Read as combined support where a field has several sources. Attributed statements establish what was said, not the underlying allegation.</t>
        </is>
      </c>
    </row>
    <row r="7" ht="66" customHeight="1">
      <c r="A7" s="6" t="inlineStr">
        <is>
          <t>EV-0002</t>
        </is>
      </c>
      <c r="B7" s="7" t="inlineStr">
        <is>
          <t>C-OV02-01</t>
        </is>
      </c>
      <c r="C7" s="7" t="inlineStr">
        <is>
          <t>S002</t>
        </is>
      </c>
      <c r="D7" s="6" t="inlineStr">
        <is>
          <t>Rahul Gandhi is listed as the present Leader of Opposition, with tenure beginning 9 June 2024.</t>
        </is>
      </c>
      <c r="E7" s="7" t="inlineStr">
        <is>
          <t>https://sansad.in/ls/about/leader-of-opposition</t>
        </is>
      </c>
      <c r="F7" s="6" t="inlineStr">
        <is>
          <t>Present leader; lines 23–31</t>
        </is>
      </c>
      <c r="G7" s="6" t="inlineStr">
        <is>
          <t>Supports</t>
        </is>
      </c>
      <c r="H7" s="6" t="inlineStr">
        <is>
          <t>R002</t>
        </is>
      </c>
      <c r="I7" s="6" t="inlineStr">
        <is>
          <t>Codex: passage-to-statement review</t>
        </is>
      </c>
      <c r="J7" s="6" t="inlineStr">
        <is>
          <t>2026-09-24</t>
        </is>
      </c>
      <c r="K7" s="6" t="inlineStr">
        <is>
          <t>Read as combined support where a field has several sources. Attributed statements establish what was said, not the underlying allegation.</t>
        </is>
      </c>
    </row>
    <row r="8" ht="80" customHeight="1">
      <c r="A8" s="4" t="inlineStr">
        <is>
          <t>EV-0003</t>
        </is>
      </c>
      <c r="B8" s="5" t="inlineStr">
        <is>
          <t>C-OV02-01</t>
        </is>
      </c>
      <c r="C8" s="5" t="inlineStr">
        <is>
          <t>S003</t>
        </is>
      </c>
      <c r="D8" s="4" t="inlineStr">
        <is>
          <t>INC MP for Rae Bareli, fifth term, start 9 June 2024. PRS records 17 debates, 64 questions and zero private member bills for 24 June 2024–13 August 2026. Attendance is N/A because the LoP does not sign the register.</t>
        </is>
      </c>
      <c r="E8" s="5" t="inlineStr">
        <is>
          <t>https://prsindia.org/mptrack/18-lok-sabha/rahul-gandhi</t>
        </is>
      </c>
      <c r="F8" s="4" t="inlineStr">
        <is>
          <t>Profile and Parliamentary Activity; data through 13 August 2026</t>
        </is>
      </c>
      <c r="G8" s="4" t="inlineStr">
        <is>
          <t>Supports</t>
        </is>
      </c>
      <c r="H8" s="4" t="inlineStr">
        <is>
          <t>R003</t>
        </is>
      </c>
      <c r="I8" s="4" t="inlineStr">
        <is>
          <t>Codex: passage-to-statement review</t>
        </is>
      </c>
      <c r="J8" s="4" t="inlineStr">
        <is>
          <t>2026-09-24</t>
        </is>
      </c>
      <c r="K8" s="4" t="inlineStr">
        <is>
          <t>Read as combined support where a field has several sources. Attributed statements establish what was said, not the underlying allegation.</t>
        </is>
      </c>
    </row>
    <row r="9" ht="80" customHeight="1">
      <c r="A9" s="6" t="inlineStr">
        <is>
          <t>EV-0004</t>
        </is>
      </c>
      <c r="B9" s="7" t="inlineStr">
        <is>
          <t>C-OV03-01</t>
        </is>
      </c>
      <c r="C9" s="7" t="inlineStr">
        <is>
          <t>S004</t>
        </is>
      </c>
      <c r="D9" s="6" t="inlineStr">
        <is>
          <t>Born 19 June 1970 to Rajiv and Sonia Gandhi. Entered electoral politics in 2004; AICC general secretary from 24 September 2007; vice-president January 2013; president from 16 December 2017. Lists the 2022–23 and 2024 yatras.</t>
        </is>
      </c>
      <c r="E9" s="7" t="inlineStr">
        <is>
          <t>https://inc.in/leadership/past-party-presidents/shri-rahul-gandhi</t>
        </is>
      </c>
      <c r="F9" s="6" t="inlineStr">
        <is>
          <t>Family; Political journey; Presidency; Post-presidency</t>
        </is>
      </c>
      <c r="G9" s="6" t="inlineStr">
        <is>
          <t>Supports</t>
        </is>
      </c>
      <c r="H9" s="6" t="inlineStr">
        <is>
          <t>R004</t>
        </is>
      </c>
      <c r="I9" s="6" t="inlineStr">
        <is>
          <t>Codex: passage-to-statement review</t>
        </is>
      </c>
      <c r="J9" s="6" t="inlineStr">
        <is>
          <t>2026-09-24</t>
        </is>
      </c>
      <c r="K9" s="6" t="inlineStr">
        <is>
          <t>Read as combined support where a field has several sources. Attributed statements establish what was said, not the underlying allegation.</t>
        </is>
      </c>
    </row>
    <row r="10" ht="66" customHeight="1">
      <c r="A10" s="4" t="inlineStr">
        <is>
          <t>EV-0005</t>
        </is>
      </c>
      <c r="B10" s="5" t="inlineStr">
        <is>
          <t>C-OV03-01</t>
        </is>
      </c>
      <c r="C10" s="5" t="inlineStr">
        <is>
          <t>S011</t>
        </is>
      </c>
      <c r="D10" s="4" t="inlineStr">
        <is>
          <t>Lok Sabha Secretariat restored membership on 7 August 2023 after the Supreme Court stay. Disqualification operated from 23 March 2023 following the conviction.</t>
        </is>
      </c>
      <c r="E10" s="5" t="inlineStr">
        <is>
          <t>https://indianexpress.com/article/political-pulse/rahul-gandhi-returns-mp-lok-sabha-supreme-court-8880307/</t>
        </is>
      </c>
      <c r="F10" s="4" t="inlineStr">
        <is>
          <t>Opening and closing paragraphs</t>
        </is>
      </c>
      <c r="G10" s="4" t="inlineStr">
        <is>
          <t>Supports</t>
        </is>
      </c>
      <c r="H10" s="4" t="inlineStr">
        <is>
          <t>R011</t>
        </is>
      </c>
      <c r="I10" s="4" t="inlineStr">
        <is>
          <t>Codex: passage-to-statement review</t>
        </is>
      </c>
      <c r="J10" s="4" t="inlineStr">
        <is>
          <t>2026-09-24</t>
        </is>
      </c>
      <c r="K10" s="4" t="inlineStr">
        <is>
          <t>Read as combined support where a field has several sources. Attributed statements establish what was said, not the underlying allegation.</t>
        </is>
      </c>
    </row>
    <row r="11" ht="66" customHeight="1">
      <c r="A11" s="6" t="inlineStr">
        <is>
          <t>EV-0006</t>
        </is>
      </c>
      <c r="B11" s="7" t="inlineStr">
        <is>
          <t>C-OV03-01</t>
        </is>
      </c>
      <c r="C11" s="7" t="inlineStr">
        <is>
          <t>S042</t>
        </is>
      </c>
      <c r="D11" s="6" t="inlineStr">
        <is>
          <t>Wayanad term displayed 23 May 2019–5 June 2024. PRS records 51% attendance, 8 debates, 99 questions and zero private bills. Lists railway, farmers and connectivity interventions.</t>
        </is>
      </c>
      <c r="E11" s="7" t="inlineStr">
        <is>
          <t>https://prsindia.org/mptrack/17-lok-sabha/rahul-gandhi</t>
        </is>
      </c>
      <c r="F11" s="6" t="inlineStr">
        <is>
          <t>Profile; activity from 1 June 2019 to 10 February 2024</t>
        </is>
      </c>
      <c r="G11" s="6" t="inlineStr">
        <is>
          <t>Supports</t>
        </is>
      </c>
      <c r="H11" s="6" t="inlineStr">
        <is>
          <t>R042</t>
        </is>
      </c>
      <c r="I11" s="6" t="inlineStr">
        <is>
          <t>Codex: passage-to-statement review</t>
        </is>
      </c>
      <c r="J11" s="6" t="inlineStr">
        <is>
          <t>2026-09-24</t>
        </is>
      </c>
      <c r="K11" s="6" t="inlineStr">
        <is>
          <t>Read as combined support where a field has several sources. Attributed statements establish what was said, not the underlying allegation.</t>
        </is>
      </c>
    </row>
    <row r="12" ht="66" customHeight="1">
      <c r="A12" s="4" t="inlineStr">
        <is>
          <t>EV-0007</t>
        </is>
      </c>
      <c r="B12" s="5" t="inlineStr">
        <is>
          <t>C-OV03-01</t>
        </is>
      </c>
      <c r="C12" s="5" t="inlineStr">
        <is>
          <t>S043</t>
        </is>
      </c>
      <c r="D12" s="4" t="inlineStr">
        <is>
          <t>Speaker accepted resignation from Wayanad effective 18 June 2024. Gandhi retained Rae Bareli; Congress nominated Priyanka for the coming Wayanad by-election.</t>
        </is>
      </c>
      <c r="E12" s="5" t="inlineStr">
        <is>
          <t>https://www.ndtv.com/india-news/rahul-gandhi-resigns-from-wayanad-seat-retains-raebareli-5918402</t>
        </is>
      </c>
      <c r="F12" s="4" t="inlineStr">
        <is>
          <t>Lok Sabha bulletin reproduction; lines 231–241</t>
        </is>
      </c>
      <c r="G12" s="4" t="inlineStr">
        <is>
          <t>Supports</t>
        </is>
      </c>
      <c r="H12" s="4" t="inlineStr">
        <is>
          <t>R043</t>
        </is>
      </c>
      <c r="I12" s="4" t="inlineStr">
        <is>
          <t>Codex: passage-to-statement review</t>
        </is>
      </c>
      <c r="J12" s="4" t="inlineStr">
        <is>
          <t>2026-09-24</t>
        </is>
      </c>
      <c r="K12" s="4" t="inlineStr">
        <is>
          <t>Read as combined support where a field has several sources. Attributed statements establish what was said, not the underlying allegation.</t>
        </is>
      </c>
    </row>
    <row r="13" ht="80" customHeight="1">
      <c r="A13" s="6" t="inlineStr">
        <is>
          <t>EV-0008</t>
        </is>
      </c>
      <c r="B13" s="7" t="inlineStr">
        <is>
          <t>C-OV04-01</t>
        </is>
      </c>
      <c r="C13" s="7" t="inlineStr">
        <is>
          <t>S004</t>
        </is>
      </c>
      <c r="D13" s="6" t="inlineStr">
        <is>
          <t>Born 19 June 1970 to Rajiv and Sonia Gandhi. Entered electoral politics in 2004; AICC general secretary from 24 September 2007; vice-president January 2013; president from 16 December 2017. Lists the 2022–23 and 2024 yatras.</t>
        </is>
      </c>
      <c r="E13" s="7" t="inlineStr">
        <is>
          <t>https://inc.in/leadership/past-party-presidents/shri-rahul-gandhi</t>
        </is>
      </c>
      <c r="F13" s="6" t="inlineStr">
        <is>
          <t>Family; Political journey; Presidency; Post-presidency</t>
        </is>
      </c>
      <c r="G13" s="6" t="inlineStr">
        <is>
          <t>Supports</t>
        </is>
      </c>
      <c r="H13" s="6" t="inlineStr">
        <is>
          <t>R004</t>
        </is>
      </c>
      <c r="I13" s="6" t="inlineStr">
        <is>
          <t>Codex: passage-to-statement review</t>
        </is>
      </c>
      <c r="J13" s="6" t="inlineStr">
        <is>
          <t>2026-09-24</t>
        </is>
      </c>
      <c r="K13" s="6" t="inlineStr">
        <is>
          <t>Read as combined support where a field has several sources. Attributed statements establish what was said, not the underlying allegation.</t>
        </is>
      </c>
    </row>
    <row r="14" ht="80" customHeight="1">
      <c r="A14" s="4" t="inlineStr">
        <is>
          <t>EV-0009</t>
        </is>
      </c>
      <c r="B14" s="5" t="inlineStr">
        <is>
          <t>C-OV04-01</t>
        </is>
      </c>
      <c r="C14" s="5" t="inlineStr">
        <is>
          <t>S014</t>
        </is>
      </c>
      <c r="D14" s="4" t="inlineStr">
        <is>
          <t>Letter public on 3 July; resignation offered 25 May. Gandhi accepted responsibility for the 2019 defeat. Congress won 52 seats. He called for accountability and said institutional neutrality had been weakened.</t>
        </is>
      </c>
      <c r="E14" s="5" t="inlineStr">
        <is>
          <t>https://www.ndtv.com/india-news/rahul-gandhis-open-letter-full-text-at-times-i-stood-completely-alone-2063455</t>
        </is>
      </c>
      <c r="F14" s="4" t="inlineStr">
        <is>
          <t>Resignation discussion; lines 225–248</t>
        </is>
      </c>
      <c r="G14" s="4" t="inlineStr">
        <is>
          <t>Supports</t>
        </is>
      </c>
      <c r="H14" s="4" t="inlineStr">
        <is>
          <t>R014</t>
        </is>
      </c>
      <c r="I14" s="4" t="inlineStr">
        <is>
          <t>Codex: passage-to-statement review</t>
        </is>
      </c>
      <c r="J14" s="4" t="inlineStr">
        <is>
          <t>2026-09-24</t>
        </is>
      </c>
      <c r="K14" s="4" t="inlineStr">
        <is>
          <t>Read as combined support where a field has several sources. Attributed statements establish what was said, not the underlying allegation.</t>
        </is>
      </c>
    </row>
    <row r="15" ht="80" customHeight="1">
      <c r="A15" s="6" t="inlineStr">
        <is>
          <t>EV-0010</t>
        </is>
      </c>
      <c r="B15" s="7" t="inlineStr">
        <is>
          <t>C-OV05-01</t>
        </is>
      </c>
      <c r="C15" s="7" t="inlineStr">
        <is>
          <t>S005</t>
        </is>
      </c>
      <c r="D15" s="6" t="inlineStr">
        <is>
          <t>Security concerns after family assassinations affected schooling and university transfers. Graduated from Rollins in 1994. Reports Cambridge confirmation of a 1995 MPhil in Development Studies. Worked at Monitor; founded Backops.</t>
        </is>
      </c>
      <c r="E15" s="7" t="inlineStr">
        <is>
          <t>https://indianexpress.com/article/explained/explained-politics/rahul-gandhi-turns-53-what-he-was-doing-before-politics-8672843/lite/</t>
        </is>
      </c>
      <c r="F15" s="6" t="inlineStr">
        <is>
          <t>Education and After college; lines 40–61</t>
        </is>
      </c>
      <c r="G15" s="6" t="inlineStr">
        <is>
          <t>Supports</t>
        </is>
      </c>
      <c r="H15" s="6" t="inlineStr">
        <is>
          <t>R005</t>
        </is>
      </c>
      <c r="I15" s="6" t="inlineStr">
        <is>
          <t>Codex: passage-to-statement review</t>
        </is>
      </c>
      <c r="J15" s="6" t="inlineStr">
        <is>
          <t>2026-09-24</t>
        </is>
      </c>
      <c r="K15" s="6" t="inlineStr">
        <is>
          <t>Read as combined support where a field has several sources. Attributed statements establish what was said, not the underlying allegation.</t>
        </is>
      </c>
    </row>
    <row r="16" ht="80" customHeight="1">
      <c r="A16" s="4" t="inlineStr">
        <is>
          <t>EV-0011</t>
        </is>
      </c>
      <c r="B16" s="5" t="inlineStr">
        <is>
          <t>C-OV05-01</t>
        </is>
      </c>
      <c r="C16" s="5" t="inlineStr">
        <is>
          <t>S004</t>
        </is>
      </c>
      <c r="D16" s="4" t="inlineStr">
        <is>
          <t>Born 19 June 1970 to Rajiv and Sonia Gandhi. Entered electoral politics in 2004; AICC general secretary from 24 September 2007; vice-president January 2013; president from 16 December 2017. Lists the 2022–23 and 2024 yatras.</t>
        </is>
      </c>
      <c r="E16" s="5" t="inlineStr">
        <is>
          <t>https://inc.in/leadership/past-party-presidents/shri-rahul-gandhi</t>
        </is>
      </c>
      <c r="F16" s="4" t="inlineStr">
        <is>
          <t>Family; Political journey; Presidency; Post-presidency</t>
        </is>
      </c>
      <c r="G16" s="4" t="inlineStr">
        <is>
          <t>Supports</t>
        </is>
      </c>
      <c r="H16" s="4" t="inlineStr">
        <is>
          <t>R004</t>
        </is>
      </c>
      <c r="I16" s="4" t="inlineStr">
        <is>
          <t>Codex: passage-to-statement review</t>
        </is>
      </c>
      <c r="J16" s="4" t="inlineStr">
        <is>
          <t>2026-09-24</t>
        </is>
      </c>
      <c r="K16" s="4" t="inlineStr">
        <is>
          <t>Read as combined support where a field has several sources. Attributed statements establish what was said, not the underlying allegation.</t>
        </is>
      </c>
    </row>
    <row r="17" ht="80" customHeight="1">
      <c r="A17" s="6" t="inlineStr">
        <is>
          <t>EV-0012</t>
        </is>
      </c>
      <c r="B17" s="7" t="inlineStr">
        <is>
          <t>C-OV06-01</t>
        </is>
      </c>
      <c r="C17" s="7" t="inlineStr">
        <is>
          <t>S006</t>
        </is>
      </c>
      <c r="D17" s="6" t="inlineStr">
        <is>
          <t>Wayanad: Gandhi 647445, Annie Raja 283023, total counted including NOTA 1084653, total polled 1086459. Rae Bareli: Gandhi 687649, Dinesh Pratap Singh 297619, total polled 1039951.</t>
        </is>
      </c>
      <c r="E17" s="7" t="inlineStr">
        <is>
          <t>https://www.eci.gov.in/eci-backend/public/all_files/GE-2024-statistical-report/33-Constituency-Wise-Detailed-Result.pdf</t>
        </is>
      </c>
      <c r="F17" s="6" t="inlineStr">
        <is>
          <t>Printed pp.165 and 444; Wayanad and Rae Bareli</t>
        </is>
      </c>
      <c r="G17" s="6" t="inlineStr">
        <is>
          <t>Supports</t>
        </is>
      </c>
      <c r="H17" s="6" t="inlineStr">
        <is>
          <t>R006</t>
        </is>
      </c>
      <c r="I17" s="6" t="inlineStr">
        <is>
          <t>Codex: passage-to-statement review</t>
        </is>
      </c>
      <c r="J17" s="6" t="inlineStr">
        <is>
          <t>2026-09-24</t>
        </is>
      </c>
      <c r="K17" s="6" t="inlineStr">
        <is>
          <t>Read as combined support where a field has several sources. Attributed statements establish what was said, not the underlying allegation.</t>
        </is>
      </c>
    </row>
    <row r="18" ht="66" customHeight="1">
      <c r="A18" s="4" t="inlineStr">
        <is>
          <t>EV-0013</t>
        </is>
      </c>
      <c r="B18" s="5" t="inlineStr">
        <is>
          <t>C-OV06-01</t>
        </is>
      </c>
      <c r="C18" s="5" t="inlineStr">
        <is>
          <t>S007</t>
        </is>
      </c>
      <c r="D18" s="4" t="inlineStr">
        <is>
          <t>Wayanad: Gandhi 706367 versus P.P. Suneer 274597; total votes 1092197; margin 431770. Amethi: Gandhi 413394 versus Smriti Irani 468514; total votes 942453; loss margin 55120.</t>
        </is>
      </c>
      <c r="E18" s="5" t="inlineStr">
        <is>
          <t>https://adrindia.org/sites/default/files/Analysis_of_Vote_Share_Margin_Of_Victory_Lok_Sabha__2019.pdf</t>
        </is>
      </c>
      <c r="F18" s="4" t="inlineStr">
        <is>
          <t>Printed pp.26 and 69; Wayanad and Amethi</t>
        </is>
      </c>
      <c r="G18" s="4" t="inlineStr">
        <is>
          <t>Supports</t>
        </is>
      </c>
      <c r="H18" s="4" t="inlineStr">
        <is>
          <t>R007</t>
        </is>
      </c>
      <c r="I18" s="4" t="inlineStr">
        <is>
          <t>Codex: passage-to-statement review</t>
        </is>
      </c>
      <c r="J18" s="4" t="inlineStr">
        <is>
          <t>2026-09-24</t>
        </is>
      </c>
      <c r="K18" s="4" t="inlineStr">
        <is>
          <t>Read as combined support where a field has several sources. Attributed statements establish what was said, not the underlying allegation.</t>
        </is>
      </c>
    </row>
    <row r="19" ht="80" customHeight="1">
      <c r="A19" s="6" t="inlineStr">
        <is>
          <t>EV-0014</t>
        </is>
      </c>
      <c r="B19" s="7" t="inlineStr">
        <is>
          <t>C-OV06-01</t>
        </is>
      </c>
      <c r="C19" s="7" t="inlineStr">
        <is>
          <t>S008</t>
        </is>
      </c>
      <c r="D19" s="6" t="inlineStr">
        <is>
          <t>2009: Gandhi 464195, Asheesh Shukla 93997, 71.78%. 2014: Gandhi 408651, Smriti Irani 300748.</t>
        </is>
      </c>
      <c r="E19" s="7" t="inlineStr">
        <is>
          <t>https://www.moneycontrol.com/elections/lok-sabha-election/uttar-pradesh/constituencies/amethi-constituency-s24led2008p037/</t>
        </is>
      </c>
      <c r="F19" s="6" t="inlineStr">
        <is>
          <t>Past election results; lines 459–466 and 510–520</t>
        </is>
      </c>
      <c r="G19" s="6" t="inlineStr">
        <is>
          <t>Supports</t>
        </is>
      </c>
      <c r="H19" s="6" t="inlineStr">
        <is>
          <t>R008</t>
        </is>
      </c>
      <c r="I19" s="6" t="inlineStr">
        <is>
          <t>Codex: passage-to-statement review</t>
        </is>
      </c>
      <c r="J19" s="6" t="inlineStr">
        <is>
          <t>2026-09-24</t>
        </is>
      </c>
      <c r="K19" s="6" t="inlineStr">
        <is>
          <t>Read as combined support where a field has several sources. Attributed statements establish what was said, not the underlying allegation.</t>
        </is>
      </c>
    </row>
    <row r="20" ht="66" customHeight="1">
      <c r="A20" s="4" t="inlineStr">
        <is>
          <t>EV-0015</t>
        </is>
      </c>
      <c r="B20" s="5" t="inlineStr">
        <is>
          <t>C-OV06-01</t>
        </is>
      </c>
      <c r="C20" s="5" t="inlineStr">
        <is>
          <t>S009</t>
        </is>
      </c>
      <c r="D20" s="4" t="inlineStr">
        <is>
          <t>Rahul Gandhi, INC, won Amethi with 390179 votes against Chandra Parkash Mishra Matiyari, BSP, 99326.</t>
        </is>
      </c>
      <c r="E20" s="5" t="inlineStr">
        <is>
          <t>https://www.elections.in/parliamentary-constituencies/2004-election-results.html</t>
        </is>
      </c>
      <c r="F20" s="4" t="inlineStr">
        <is>
          <t>Uttar Pradesh, constituency 21 Amethi; line 545</t>
        </is>
      </c>
      <c r="G20" s="4" t="inlineStr">
        <is>
          <t>Supports</t>
        </is>
      </c>
      <c r="H20" s="4" t="inlineStr">
        <is>
          <t>R009</t>
        </is>
      </c>
      <c r="I20" s="4" t="inlineStr">
        <is>
          <t>Codex: passage-to-statement review</t>
        </is>
      </c>
      <c r="J20" s="4" t="inlineStr">
        <is>
          <t>2026-09-24</t>
        </is>
      </c>
      <c r="K20" s="4" t="inlineStr">
        <is>
          <t>Read as combined support where a field has several sources. Attributed statements establish what was said, not the underlying allegation.</t>
        </is>
      </c>
    </row>
    <row r="21" ht="80" customHeight="1">
      <c r="A21" s="6" t="inlineStr">
        <is>
          <t>EV-0016</t>
        </is>
      </c>
      <c r="B21" s="7" t="inlineStr">
        <is>
          <t>C-OV07-01</t>
        </is>
      </c>
      <c r="C21" s="7" t="inlineStr">
        <is>
          <t>S004</t>
        </is>
      </c>
      <c r="D21" s="6" t="inlineStr">
        <is>
          <t>Born 19 June 1970 to Rajiv and Sonia Gandhi. Entered electoral politics in 2004; AICC general secretary from 24 September 2007; vice-president January 2013; president from 16 December 2017. Lists the 2022–23 and 2024 yatras.</t>
        </is>
      </c>
      <c r="E21" s="7" t="inlineStr">
        <is>
          <t>https://inc.in/leadership/past-party-presidents/shri-rahul-gandhi</t>
        </is>
      </c>
      <c r="F21" s="6" t="inlineStr">
        <is>
          <t>Family; Political journey; Presidency; Post-presidency</t>
        </is>
      </c>
      <c r="G21" s="6" t="inlineStr">
        <is>
          <t>Supports</t>
        </is>
      </c>
      <c r="H21" s="6" t="inlineStr">
        <is>
          <t>R004</t>
        </is>
      </c>
      <c r="I21" s="6" t="inlineStr">
        <is>
          <t>Codex: passage-to-statement review</t>
        </is>
      </c>
      <c r="J21" s="6" t="inlineStr">
        <is>
          <t>2026-09-24</t>
        </is>
      </c>
      <c r="K21" s="6" t="inlineStr">
        <is>
          <t>Read as combined support where a field has several sources. Attributed statements establish what was said, not the underlying allegation.</t>
        </is>
      </c>
    </row>
    <row r="22" ht="66" customHeight="1">
      <c r="A22" s="4" t="inlineStr">
        <is>
          <t>EV-0017</t>
        </is>
      </c>
      <c r="B22" s="5" t="inlineStr">
        <is>
          <t>C-OV07-01</t>
        </is>
      </c>
      <c r="C22" s="5" t="inlineStr">
        <is>
          <t>S022</t>
        </is>
      </c>
      <c r="D22" s="4" t="inlineStr">
        <is>
          <t>IYC chief Rajiv Satav defended continued elections. Rahul’s reform replaced nominations in IYC/NSUI, aiming to reduce nepotism; critics alleged greater money influence.</t>
        </is>
      </c>
      <c r="E22" s="5" t="inlineStr">
        <is>
          <t>https://timesofindia.indiatimes.com/india/youth-congress-to-retain-internal-polls/articleshow/36734347.cms</t>
        </is>
      </c>
      <c r="F22" s="4" t="inlineStr">
        <is>
          <t>Internal reform and Rajiv Satav response; lines 119–133</t>
        </is>
      </c>
      <c r="G22" s="4" t="inlineStr">
        <is>
          <t>Supports</t>
        </is>
      </c>
      <c r="H22" s="4" t="inlineStr">
        <is>
          <t>R022</t>
        </is>
      </c>
      <c r="I22" s="4" t="inlineStr">
        <is>
          <t>Codex: passage-to-statement review</t>
        </is>
      </c>
      <c r="J22" s="4" t="inlineStr">
        <is>
          <t>2026-09-24</t>
        </is>
      </c>
      <c r="K22" s="4" t="inlineStr">
        <is>
          <t>Read as combined support where a field has several sources. Attributed statements establish what was said, not the underlying allegation.</t>
        </is>
      </c>
    </row>
    <row r="23" ht="66" customHeight="1">
      <c r="A23" s="6" t="inlineStr">
        <is>
          <t>EV-0018</t>
        </is>
      </c>
      <c r="B23" s="7" t="inlineStr">
        <is>
          <t>C-OV07-01</t>
        </is>
      </c>
      <c r="C23" s="7" t="inlineStr">
        <is>
          <t>S015</t>
        </is>
      </c>
      <c r="D23" s="6" t="inlineStr">
        <is>
          <t>The march begun in Kanyakumari on 7 September 2022 concluded in Srinagar on 30 January 2023. Gandhi invoked family loss and nonviolence; described security advice against walking in Kashmir.</t>
        </is>
      </c>
      <c r="E23" s="7" t="inlineStr">
        <is>
          <t>https://indianexpress.com/article/political-pulse/rahul-modi-shah-doval-srinagar-bharat-jodo-yatra-8413548/</t>
        </is>
      </c>
      <c r="F23" s="6" t="inlineStr">
        <is>
          <t>Concluding rally; lines 19–36</t>
        </is>
      </c>
      <c r="G23" s="6" t="inlineStr">
        <is>
          <t>Supports</t>
        </is>
      </c>
      <c r="H23" s="6" t="inlineStr">
        <is>
          <t>R015</t>
        </is>
      </c>
      <c r="I23" s="6" t="inlineStr">
        <is>
          <t>Codex: passage-to-statement review</t>
        </is>
      </c>
      <c r="J23" s="6" t="inlineStr">
        <is>
          <t>2026-09-24</t>
        </is>
      </c>
      <c r="K23" s="6" t="inlineStr">
        <is>
          <t>Read as combined support where a field has several sources. Attributed statements establish what was said, not the underlying allegation.</t>
        </is>
      </c>
    </row>
    <row r="24" ht="66" customHeight="1">
      <c r="A24" s="4" t="inlineStr">
        <is>
          <t>EV-0019</t>
        </is>
      </c>
      <c r="B24" s="5" t="inlineStr">
        <is>
          <t>C-OV07-01</t>
        </is>
      </c>
      <c r="C24" s="5" t="inlineStr">
        <is>
          <t>S002</t>
        </is>
      </c>
      <c r="D24" s="4" t="inlineStr">
        <is>
          <t>Rahul Gandhi is listed as the present Leader of Opposition, with tenure beginning 9 June 2024.</t>
        </is>
      </c>
      <c r="E24" s="5" t="inlineStr">
        <is>
          <t>https://sansad.in/ls/about/leader-of-opposition</t>
        </is>
      </c>
      <c r="F24" s="4" t="inlineStr">
        <is>
          <t>Present leader; lines 23–31</t>
        </is>
      </c>
      <c r="G24" s="4" t="inlineStr">
        <is>
          <t>Supports</t>
        </is>
      </c>
      <c r="H24" s="4" t="inlineStr">
        <is>
          <t>R002</t>
        </is>
      </c>
      <c r="I24" s="4" t="inlineStr">
        <is>
          <t>Codex: passage-to-statement review</t>
        </is>
      </c>
      <c r="J24" s="4" t="inlineStr">
        <is>
          <t>2026-09-24</t>
        </is>
      </c>
      <c r="K24" s="4" t="inlineStr">
        <is>
          <t>Read as combined support where a field has several sources. Attributed statements establish what was said, not the underlying allegation.</t>
        </is>
      </c>
    </row>
    <row r="25" ht="80" customHeight="1">
      <c r="A25" s="6" t="inlineStr">
        <is>
          <t>EV-0020</t>
        </is>
      </c>
      <c r="B25" s="7" t="inlineStr">
        <is>
          <t>C-OV08-01</t>
        </is>
      </c>
      <c r="C25" s="7" t="inlineStr">
        <is>
          <t>S021</t>
        </is>
      </c>
      <c r="D25" s="6" t="inlineStr">
        <is>
          <t>Kerala Youth Congress figures criticised internal elections for factional conflict and diversion of resources; some favoured returning to nominations.</t>
        </is>
      </c>
      <c r="E25" s="7" t="inlineStr">
        <is>
          <t>https://indianexpress.com/article/political-pulse/in-kerala-youth-cong-dissent-over-rahuls-internal-election-system/</t>
        </is>
      </c>
      <c r="F25" s="6" t="inlineStr">
        <is>
          <t>Kerala Youth Congress camp; lines 101–110</t>
        </is>
      </c>
      <c r="G25" s="6" t="inlineStr">
        <is>
          <t>Supports</t>
        </is>
      </c>
      <c r="H25" s="6" t="inlineStr">
        <is>
          <t>R021</t>
        </is>
      </c>
      <c r="I25" s="6" t="inlineStr">
        <is>
          <t>Codex: passage-to-statement review</t>
        </is>
      </c>
      <c r="J25" s="6" t="inlineStr">
        <is>
          <t>2026-09-24</t>
        </is>
      </c>
      <c r="K25" s="6" t="inlineStr">
        <is>
          <t>Read as combined support where a field has several sources. Attributed statements establish what was said, not the underlying allegation.</t>
        </is>
      </c>
    </row>
    <row r="26" ht="66" customHeight="1">
      <c r="A26" s="4" t="inlineStr">
        <is>
          <t>EV-0021</t>
        </is>
      </c>
      <c r="B26" s="5" t="inlineStr">
        <is>
          <t>C-OV08-01</t>
        </is>
      </c>
      <c r="C26" s="5" t="inlineStr">
        <is>
          <t>S022</t>
        </is>
      </c>
      <c r="D26" s="4" t="inlineStr">
        <is>
          <t>IYC chief Rajiv Satav defended continued elections. Rahul’s reform replaced nominations in IYC/NSUI, aiming to reduce nepotism; critics alleged greater money influence.</t>
        </is>
      </c>
      <c r="E26" s="5" t="inlineStr">
        <is>
          <t>https://timesofindia.indiatimes.com/india/youth-congress-to-retain-internal-polls/articleshow/36734347.cms</t>
        </is>
      </c>
      <c r="F26" s="4" t="inlineStr">
        <is>
          <t>Internal reform and Rajiv Satav response; lines 119–133</t>
        </is>
      </c>
      <c r="G26" s="4" t="inlineStr">
        <is>
          <t>Supports</t>
        </is>
      </c>
      <c r="H26" s="4" t="inlineStr">
        <is>
          <t>R022</t>
        </is>
      </c>
      <c r="I26" s="4" t="inlineStr">
        <is>
          <t>Codex: passage-to-statement review</t>
        </is>
      </c>
      <c r="J26" s="4" t="inlineStr">
        <is>
          <t>2026-09-24</t>
        </is>
      </c>
      <c r="K26" s="4" t="inlineStr">
        <is>
          <t>Read as combined support where a field has several sources. Attributed statements establish what was said, not the underlying allegation.</t>
        </is>
      </c>
    </row>
    <row r="27" ht="80" customHeight="1">
      <c r="A27" s="6" t="inlineStr">
        <is>
          <t>EV-0022</t>
        </is>
      </c>
      <c r="B27" s="7" t="inlineStr">
        <is>
          <t>C-OV08-01</t>
        </is>
      </c>
      <c r="C27" s="7" t="inlineStr">
        <is>
          <t>S023</t>
        </is>
      </c>
      <c r="D27" s="6" t="inlineStr">
        <is>
          <t>Reuters depicts a recovery in Gandhi’s image after two marches. Analyst Rahul Verma credits mobilisation and clearer ideological opposition. Kharge was party president while Gandhi remained its prominent campaign face.</t>
        </is>
      </c>
      <c r="E27" s="7" t="inlineStr">
        <is>
          <t>https://www.marketscreener.com/news/latest/Ridiculed-for-a-decade-India-s-Rahul-Gandhi-slows-Modi-juggernaut-46900641/</t>
        </is>
      </c>
      <c r="F27" s="6" t="inlineStr">
        <is>
          <t>Opening and analyst Rahul Verma; lines 932–946</t>
        </is>
      </c>
      <c r="G27" s="6" t="inlineStr">
        <is>
          <t>Supports</t>
        </is>
      </c>
      <c r="H27" s="6" t="inlineStr">
        <is>
          <t>R023</t>
        </is>
      </c>
      <c r="I27" s="6" t="inlineStr">
        <is>
          <t>Codex: passage-to-statement review</t>
        </is>
      </c>
      <c r="J27" s="6" t="inlineStr">
        <is>
          <t>2026-09-24</t>
        </is>
      </c>
      <c r="K27" s="6" t="inlineStr">
        <is>
          <t>Read as combined support where a field has several sources. Attributed statements establish what was said, not the underlying allegation.</t>
        </is>
      </c>
    </row>
    <row r="28" ht="66" customHeight="1">
      <c r="A28" s="4" t="inlineStr">
        <is>
          <t>EV-0023</t>
        </is>
      </c>
      <c r="B28" s="5" t="inlineStr">
        <is>
          <t>C-OV08-01</t>
        </is>
      </c>
      <c r="C28" s="5" t="inlineStr">
        <is>
          <t>S035</t>
        </is>
      </c>
      <c r="D28" s="4" t="inlineStr">
        <is>
          <t>Gandhi supported the government’s caste-enumeration decision, sought funding and a timeline, and repeated the demand to lift the reservation cap. Government criticised Congress’s earlier record.</t>
        </is>
      </c>
      <c r="E28" s="5" t="inlineStr">
        <is>
          <t>https://indianexpress.com/article/india/rahul-gandhi-caste-census-population-congress-centre-cabinet-9975117/</t>
        </is>
      </c>
      <c r="F28" s="4" t="inlineStr">
        <is>
          <t>Government decision and reactions; lines 20–40</t>
        </is>
      </c>
      <c r="G28" s="4" t="inlineStr">
        <is>
          <t>Supports</t>
        </is>
      </c>
      <c r="H28" s="4" t="inlineStr">
        <is>
          <t>R035</t>
        </is>
      </c>
      <c r="I28" s="4" t="inlineStr">
        <is>
          <t>Codex: passage-to-statement review</t>
        </is>
      </c>
      <c r="J28" s="4" t="inlineStr">
        <is>
          <t>2026-09-24</t>
        </is>
      </c>
      <c r="K28" s="4" t="inlineStr">
        <is>
          <t>Read as combined support where a field has several sources. Attributed statements establish what was said, not the underlying allegation.</t>
        </is>
      </c>
    </row>
    <row r="29" ht="66" customHeight="1">
      <c r="A29" s="6" t="inlineStr">
        <is>
          <t>EV-0024</t>
        </is>
      </c>
      <c r="B29" s="7" t="inlineStr">
        <is>
          <t>C-OV08-01</t>
        </is>
      </c>
      <c r="C29" s="7" t="inlineStr">
        <is>
          <t>S036</t>
        </is>
      </c>
      <c r="D29" s="6" t="inlineStr">
        <is>
          <t>Home Ministry reports CCPA decision to include caste enumeration in the forthcoming census. Amit Shah attributes it to the Modi government and criticises Congress.</t>
        </is>
      </c>
      <c r="E29" s="7" t="inlineStr">
        <is>
          <t>https://www.pib.gov.in/PressReleasePage.aspx?PRID=2125576</t>
        </is>
      </c>
      <c r="F29" s="6" t="inlineStr">
        <is>
          <t>Release 2125576; lines 20–25</t>
        </is>
      </c>
      <c r="G29" s="6" t="inlineStr">
        <is>
          <t>Supports</t>
        </is>
      </c>
      <c r="H29" s="6" t="inlineStr">
        <is>
          <t>R036</t>
        </is>
      </c>
      <c r="I29" s="6" t="inlineStr">
        <is>
          <t>Codex: passage-to-statement review</t>
        </is>
      </c>
      <c r="J29" s="6" t="inlineStr">
        <is>
          <t>2026-09-24</t>
        </is>
      </c>
      <c r="K29" s="6" t="inlineStr">
        <is>
          <t>Read as combined support where a field has several sources. Attributed statements establish what was said, not the underlying allegation.</t>
        </is>
      </c>
    </row>
    <row r="30" ht="66" customHeight="1">
      <c r="A30" s="4" t="inlineStr">
        <is>
          <t>EV-0025</t>
        </is>
      </c>
      <c r="B30" s="5" t="inlineStr">
        <is>
          <t>C-OV09-01</t>
        </is>
      </c>
      <c r="C30" s="5" t="inlineStr">
        <is>
          <t>S016</t>
        </is>
      </c>
      <c r="D30" s="4" t="inlineStr">
        <is>
          <t>Manifesto promises a socioeconomic caste census, raising the 50% reservation cap, minority rights protection and consultation toward a law recognising LGBTQIA+ civil unions.</t>
        </is>
      </c>
      <c r="E30" s="5" t="inlineStr">
        <is>
          <t>https://manifesto.inc.in/en/equity/</t>
        </is>
      </c>
      <c r="F30" s="4" t="inlineStr">
        <is>
          <t>Social Justice 1–2; minority rights; LGBTQIA+ 11</t>
        </is>
      </c>
      <c r="G30" s="4" t="inlineStr">
        <is>
          <t>Supports</t>
        </is>
      </c>
      <c r="H30" s="4" t="inlineStr">
        <is>
          <t>R016</t>
        </is>
      </c>
      <c r="I30" s="4" t="inlineStr">
        <is>
          <t>Codex: passage-to-statement review</t>
        </is>
      </c>
      <c r="J30" s="4" t="inlineStr">
        <is>
          <t>2026-09-24</t>
        </is>
      </c>
      <c r="K30" s="4" t="inlineStr">
        <is>
          <t>Read as combined support where a field has several sources. Attributed statements establish what was said, not the underlying allegation.</t>
        </is>
      </c>
    </row>
    <row r="31" ht="66" customHeight="1">
      <c r="A31" s="6" t="inlineStr">
        <is>
          <t>EV-0026</t>
        </is>
      </c>
      <c r="B31" s="7" t="inlineStr">
        <is>
          <t>C-OV09-01</t>
        </is>
      </c>
      <c r="C31" s="7" t="inlineStr">
        <is>
          <t>S017</t>
        </is>
      </c>
      <c r="D31" s="6" t="inlineStr">
        <is>
          <t>Proposes Rs 1 lakh yearly for each poor family, normally paid to its oldest woman; staged rollout. Promises earlier women’s seat reservation and half of central government jobs for women.</t>
        </is>
      </c>
      <c r="E31" s="7" t="inlineStr">
        <is>
          <t>https://manifesto.inc.in/en/women/</t>
        </is>
      </c>
      <c r="F31" s="6" t="inlineStr">
        <is>
          <t>Mahalakshmi 1–3; Women’s Empowerment 1–2</t>
        </is>
      </c>
      <c r="G31" s="6" t="inlineStr">
        <is>
          <t>Supports</t>
        </is>
      </c>
      <c r="H31" s="6" t="inlineStr">
        <is>
          <t>R017</t>
        </is>
      </c>
      <c r="I31" s="6" t="inlineStr">
        <is>
          <t>Codex: passage-to-statement review</t>
        </is>
      </c>
      <c r="J31" s="6" t="inlineStr">
        <is>
          <t>2026-09-24</t>
        </is>
      </c>
      <c r="K31" s="6" t="inlineStr">
        <is>
          <t>Read as combined support where a field has several sources. Attributed statements establish what was said, not the underlying allegation.</t>
        </is>
      </c>
    </row>
    <row r="32" ht="66" customHeight="1">
      <c r="A32" s="4" t="inlineStr">
        <is>
          <t>EV-0027</t>
        </is>
      </c>
      <c r="B32" s="5" t="inlineStr">
        <is>
          <t>C-OV09-01</t>
        </is>
      </c>
      <c r="C32" s="5" t="inlineStr">
        <is>
          <t>S018</t>
        </is>
      </c>
      <c r="D32" s="4" t="inlineStr">
        <is>
          <t>Promises a one-year apprenticeship paying Rs 1 lakh for diploma holders/graduates under 25; filling central vacancies; action on exam-paper leaks; education policy consultation with states.</t>
        </is>
      </c>
      <c r="E32" s="5" t="inlineStr">
        <is>
          <t>https://manifesto.inc.in/en/youth/</t>
        </is>
      </c>
      <c r="F32" s="4" t="inlineStr">
        <is>
          <t>Jobs 1–3 and Education 2, 13</t>
        </is>
      </c>
      <c r="G32" s="4" t="inlineStr">
        <is>
          <t>Supports</t>
        </is>
      </c>
      <c r="H32" s="4" t="inlineStr">
        <is>
          <t>R018</t>
        </is>
      </c>
      <c r="I32" s="4" t="inlineStr">
        <is>
          <t>Codex: passage-to-statement review</t>
        </is>
      </c>
      <c r="J32" s="4" t="inlineStr">
        <is>
          <t>2026-09-24</t>
        </is>
      </c>
      <c r="K32" s="4" t="inlineStr">
        <is>
          <t>Read as combined support where a field has several sources. Attributed statements establish what was said, not the underlying allegation.</t>
        </is>
      </c>
    </row>
    <row r="33" ht="66" customHeight="1">
      <c r="A33" s="6" t="inlineStr">
        <is>
          <t>EV-0028</t>
        </is>
      </c>
      <c r="B33" s="7" t="inlineStr">
        <is>
          <t>C-OV09-01</t>
        </is>
      </c>
      <c r="C33" s="7" t="inlineStr">
        <is>
          <t>S019</t>
        </is>
      </c>
      <c r="D33" s="6" t="inlineStr">
        <is>
          <t>Promises statutory MSP guarantees, a statutory CACP and choices of agricultural marketing channels.</t>
        </is>
      </c>
      <c r="E33" s="7" t="inlineStr">
        <is>
          <t>https://manifesto.inc.in/en/farmers/</t>
        </is>
      </c>
      <c r="F33" s="6" t="inlineStr">
        <is>
          <t>Agriculture 1–6</t>
        </is>
      </c>
      <c r="G33" s="6" t="inlineStr">
        <is>
          <t>Supports</t>
        </is>
      </c>
      <c r="H33" s="6" t="inlineStr">
        <is>
          <t>R019</t>
        </is>
      </c>
      <c r="I33" s="6" t="inlineStr">
        <is>
          <t>Codex: passage-to-statement review</t>
        </is>
      </c>
      <c r="J33" s="6" t="inlineStr">
        <is>
          <t>2026-09-24</t>
        </is>
      </c>
      <c r="K33" s="6" t="inlineStr">
        <is>
          <t>Read as combined support where a field has several sources. Attributed statements establish what was said, not the underlying allegation.</t>
        </is>
      </c>
    </row>
    <row r="34" ht="66" customHeight="1">
      <c r="A34" s="4" t="inlineStr">
        <is>
          <t>EV-0029</t>
        </is>
      </c>
      <c r="B34" s="5" t="inlineStr">
        <is>
          <t>C-OV09-01</t>
        </is>
      </c>
      <c r="C34" s="5" t="inlineStr">
        <is>
          <t>S033</t>
        </is>
      </c>
      <c r="D34" s="4" t="inlineStr">
        <is>
          <t>Gandhi supported the women’s reservation bill, asked for an OBC women’s quota and immediate implementation without census/delimitation delay.</t>
        </is>
      </c>
      <c r="E34" s="5" t="inlineStr">
        <is>
          <t>https://indianexpress.com/article/india/lok-sabha-rahul-gandhi-women-reservation-bill-obc-quota-8948629/</t>
        </is>
      </c>
      <c r="F34" s="4" t="inlineStr">
        <is>
          <t>Lok Sabha speech of 20 September; lines 73–90</t>
        </is>
      </c>
      <c r="G34" s="4" t="inlineStr">
        <is>
          <t>Supports</t>
        </is>
      </c>
      <c r="H34" s="4" t="inlineStr">
        <is>
          <t>R033</t>
        </is>
      </c>
      <c r="I34" s="4" t="inlineStr">
        <is>
          <t>Codex: passage-to-statement review</t>
        </is>
      </c>
      <c r="J34" s="4" t="inlineStr">
        <is>
          <t>2026-09-24</t>
        </is>
      </c>
      <c r="K34" s="4" t="inlineStr">
        <is>
          <t>Read as combined support where a field has several sources. Attributed statements establish what was said, not the underlying allegation.</t>
        </is>
      </c>
    </row>
    <row r="35" ht="66" customHeight="1">
      <c r="A35" s="6" t="inlineStr">
        <is>
          <t>EV-0030</t>
        </is>
      </c>
      <c r="B35" s="7" t="inlineStr">
        <is>
          <t>C-OV09-01</t>
        </is>
      </c>
      <c r="C35" s="7" t="inlineStr">
        <is>
          <t>S028</t>
        </is>
      </c>
      <c r="D35" s="6" t="inlineStr">
        <is>
          <t>Gandhi campaigned on a Rs 72000 transfer under NYAY if Congress came to power. He criticised GST’s effect on poor people and promised protection of tribal land.</t>
        </is>
      </c>
      <c r="E35" s="7" t="inlineStr">
        <is>
          <t>https://www.ndtv.com/india-news/rs-72-000-will-be-given-to-beneficiaries-under-nyay-scheme-rahul-gandhi-2031993</t>
        </is>
      </c>
      <c r="F35" s="6" t="inlineStr">
        <is>
          <t>Simdega speech; lines 231–242</t>
        </is>
      </c>
      <c r="G35" s="6" t="inlineStr">
        <is>
          <t>Supports</t>
        </is>
      </c>
      <c r="H35" s="6" t="inlineStr">
        <is>
          <t>R028</t>
        </is>
      </c>
      <c r="I35" s="6" t="inlineStr">
        <is>
          <t>Codex: passage-to-statement review</t>
        </is>
      </c>
      <c r="J35" s="6" t="inlineStr">
        <is>
          <t>2026-09-24</t>
        </is>
      </c>
      <c r="K35" s="6" t="inlineStr">
        <is>
          <t>Read as combined support where a field has several sources. Attributed statements establish what was said, not the underlying allegation.</t>
        </is>
      </c>
    </row>
    <row r="36" ht="66" customHeight="1">
      <c r="A36" s="4" t="inlineStr">
        <is>
          <t>EV-0031</t>
        </is>
      </c>
      <c r="B36" s="5" t="inlineStr">
        <is>
          <t>C-OV10-01</t>
        </is>
      </c>
      <c r="C36" s="5" t="inlineStr">
        <is>
          <t>S034</t>
        </is>
      </c>
      <c r="D36" s="4" t="inlineStr">
        <is>
          <t>Congress won 28 of 403 UP seats in 2012. Gandhi accepted campaign responsibility and said organisation was weak; contemporary coverage compared him with Akhilesh Yadav.</t>
        </is>
      </c>
      <c r="E36" s="5" t="inlineStr">
        <is>
          <t>https://www.ndtv.com/assembly/i-take-responsibility-says-rahul-gandhi-about-up-results-470319</t>
        </is>
      </c>
      <c r="F36" s="4" t="inlineStr">
        <is>
          <t>Result and campaign; lines 284–294</t>
        </is>
      </c>
      <c r="G36" s="4" t="inlineStr">
        <is>
          <t>Supports</t>
        </is>
      </c>
      <c r="H36" s="4" t="inlineStr">
        <is>
          <t>R034</t>
        </is>
      </c>
      <c r="I36" s="4" t="inlineStr">
        <is>
          <t>Codex: passage-to-statement review</t>
        </is>
      </c>
      <c r="J36" s="4" t="inlineStr">
        <is>
          <t>2026-09-24</t>
        </is>
      </c>
      <c r="K36" s="4" t="inlineStr">
        <is>
          <t>Read as combined support where a field has several sources. Attributed statements establish what was said, not the underlying allegation.</t>
        </is>
      </c>
    </row>
    <row r="37" ht="80" customHeight="1">
      <c r="A37" s="6" t="inlineStr">
        <is>
          <t>EV-0032</t>
        </is>
      </c>
      <c r="B37" s="7" t="inlineStr">
        <is>
          <t>C-OV10-01</t>
        </is>
      </c>
      <c r="C37" s="7" t="inlineStr">
        <is>
          <t>S014</t>
        </is>
      </c>
      <c r="D37" s="6" t="inlineStr">
        <is>
          <t>Letter public on 3 July; resignation offered 25 May. Gandhi accepted responsibility for the 2019 defeat. Congress won 52 seats. He called for accountability and said institutional neutrality had been weakened.</t>
        </is>
      </c>
      <c r="E37" s="7" t="inlineStr">
        <is>
          <t>https://www.ndtv.com/india-news/rahul-gandhis-open-letter-full-text-at-times-i-stood-completely-alone-2063455</t>
        </is>
      </c>
      <c r="F37" s="6" t="inlineStr">
        <is>
          <t>Resignation discussion; lines 225–248</t>
        </is>
      </c>
      <c r="G37" s="6" t="inlineStr">
        <is>
          <t>Supports</t>
        </is>
      </c>
      <c r="H37" s="6" t="inlineStr">
        <is>
          <t>R014</t>
        </is>
      </c>
      <c r="I37" s="6" t="inlineStr">
        <is>
          <t>Codex: passage-to-statement review</t>
        </is>
      </c>
      <c r="J37" s="6" t="inlineStr">
        <is>
          <t>2026-09-24</t>
        </is>
      </c>
      <c r="K37" s="6" t="inlineStr">
        <is>
          <t>Read as combined support where a field has several sources. Attributed statements establish what was said, not the underlying allegation.</t>
        </is>
      </c>
    </row>
    <row r="38" ht="66" customHeight="1">
      <c r="A38" s="4" t="inlineStr">
        <is>
          <t>EV-0033</t>
        </is>
      </c>
      <c r="B38" s="5" t="inlineStr">
        <is>
          <t>C-OV10-01</t>
        </is>
      </c>
      <c r="C38" s="5" t="inlineStr">
        <is>
          <t>S007</t>
        </is>
      </c>
      <c r="D38" s="4" t="inlineStr">
        <is>
          <t>Wayanad: Gandhi 706367 versus P.P. Suneer 274597; total votes 1092197; margin 431770. Amethi: Gandhi 413394 versus Smriti Irani 468514; total votes 942453; loss margin 55120.</t>
        </is>
      </c>
      <c r="E38" s="5" t="inlineStr">
        <is>
          <t>https://adrindia.org/sites/default/files/Analysis_of_Vote_Share_Margin_Of_Victory_Lok_Sabha__2019.pdf</t>
        </is>
      </c>
      <c r="F38" s="4" t="inlineStr">
        <is>
          <t>Printed pp.26 and 69; Wayanad and Amethi</t>
        </is>
      </c>
      <c r="G38" s="4" t="inlineStr">
        <is>
          <t>Supports</t>
        </is>
      </c>
      <c r="H38" s="4" t="inlineStr">
        <is>
          <t>R007</t>
        </is>
      </c>
      <c r="I38" s="4" t="inlineStr">
        <is>
          <t>Codex: passage-to-statement review</t>
        </is>
      </c>
      <c r="J38" s="4" t="inlineStr">
        <is>
          <t>2026-09-24</t>
        </is>
      </c>
      <c r="K38" s="4" t="inlineStr">
        <is>
          <t>Read as combined support where a field has several sources. Attributed statements establish what was said, not the underlying allegation.</t>
        </is>
      </c>
    </row>
    <row r="39" ht="80" customHeight="1">
      <c r="A39" s="6" t="inlineStr">
        <is>
          <t>EV-0034</t>
        </is>
      </c>
      <c r="B39" s="7" t="inlineStr">
        <is>
          <t>C-OV10-01</t>
        </is>
      </c>
      <c r="C39" s="7" t="inlineStr">
        <is>
          <t>S026</t>
        </is>
      </c>
      <c r="D39" s="6" t="inlineStr">
        <is>
          <t>Congress won 6 of 61 seats contested in Bihar in 2025. Interviewed losing candidates criticised organisation, nominations, war rooms, alliance coordination and the voter-rights campaign.</t>
        </is>
      </c>
      <c r="E39" s="7" t="inlineStr">
        <is>
          <t>https://indianexpress.com/article/political-pulse/congress-camps-bihar-post-mortem-rahul-yatra-fiasco-allavaru-problem-weak-structure-10375553/</t>
        </is>
      </c>
      <c r="F39" s="6" t="inlineStr">
        <is>
          <t>Opening; interviews with ten losing candidates; lines 17–52</t>
        </is>
      </c>
      <c r="G39" s="6" t="inlineStr">
        <is>
          <t>Supports</t>
        </is>
      </c>
      <c r="H39" s="6" t="inlineStr">
        <is>
          <t>R026</t>
        </is>
      </c>
      <c r="I39" s="6" t="inlineStr">
        <is>
          <t>Codex: passage-to-statement review</t>
        </is>
      </c>
      <c r="J39" s="6" t="inlineStr">
        <is>
          <t>2026-09-24</t>
        </is>
      </c>
      <c r="K39" s="6" t="inlineStr">
        <is>
          <t>Read as combined support where a field has several sources. Attributed statements establish what was said, not the underlying allegation.</t>
        </is>
      </c>
    </row>
    <row r="40" ht="80" customHeight="1">
      <c r="A40" s="4" t="inlineStr">
        <is>
          <t>EV-0035</t>
        </is>
      </c>
      <c r="B40" s="5" t="inlineStr">
        <is>
          <t>C-OV11-01</t>
        </is>
      </c>
      <c r="C40" s="5" t="inlineStr">
        <is>
          <t>S010</t>
        </is>
      </c>
      <c r="D40" s="4" t="inlineStr">
        <is>
          <t>The Court stayed the conviction pending appeal, noting lack of reasons for the maximum two-year sentence and effects on voters. It also criticised the remarks and reserved the merits for the appellate court.</t>
        </is>
      </c>
      <c r="E40" s="5" t="inlineStr">
        <is>
          <t>https://api.sci.gov.in/supremecourt/2023/27941/27941_2023_4_55_45901_Order_04-Aug-2023.pdf</t>
        </is>
      </c>
      <c r="F40" s="4" t="inlineStr">
        <is>
          <t>Order paragraphs 4–11; pp.2–4</t>
        </is>
      </c>
      <c r="G40" s="4" t="inlineStr">
        <is>
          <t>Supports</t>
        </is>
      </c>
      <c r="H40" s="4" t="inlineStr">
        <is>
          <t>R010</t>
        </is>
      </c>
      <c r="I40" s="4" t="inlineStr">
        <is>
          <t>Codex: passage-to-statement review</t>
        </is>
      </c>
      <c r="J40" s="4" t="inlineStr">
        <is>
          <t>2026-09-24</t>
        </is>
      </c>
      <c r="K40" s="4" t="inlineStr">
        <is>
          <t>Read as combined support where a field has several sources. Attributed statements establish what was said, not the underlying allegation.</t>
        </is>
      </c>
    </row>
    <row r="41" ht="80" customHeight="1">
      <c r="A41" s="6" t="inlineStr">
        <is>
          <t>EV-0036</t>
        </is>
      </c>
      <c r="B41" s="7" t="inlineStr">
        <is>
          <t>C-OV11-01</t>
        </is>
      </c>
      <c r="C41" s="7" t="inlineStr">
        <is>
          <t>S012</t>
        </is>
      </c>
      <c r="D41" s="6" t="inlineStr">
        <is>
          <t>ED challenged refusal to take cognisance. Gandhis disputed the private-complaint basis in replies filed 18 September. ED alleges a conspiracy involving AJL assets; Young Indian acquired recovery rights over an AICC loan.</t>
        </is>
      </c>
      <c r="E41" s="7" t="inlineStr">
        <is>
          <t>https://indianexpress.com/article/legal-news/national-herald-case-gandhis-oppose-ed-plea-private-complaint-10889668/</t>
        </is>
      </c>
      <c r="F41" s="6" t="inlineStr">
        <is>
          <t>Case status, reply and The case; lines 59–88</t>
        </is>
      </c>
      <c r="G41" s="6" t="inlineStr">
        <is>
          <t>Supports</t>
        </is>
      </c>
      <c r="H41" s="6" t="inlineStr">
        <is>
          <t>R012</t>
        </is>
      </c>
      <c r="I41" s="6" t="inlineStr">
        <is>
          <t>Codex: passage-to-statement review</t>
        </is>
      </c>
      <c r="J41" s="6" t="inlineStr">
        <is>
          <t>2026-09-24</t>
        </is>
      </c>
      <c r="K41" s="6" t="inlineStr">
        <is>
          <t>Read as combined support where a field has several sources. Attributed statements establish what was said, not the underlying allegation.</t>
        </is>
      </c>
    </row>
    <row r="42" ht="94" customHeight="1">
      <c r="A42" s="4" t="inlineStr">
        <is>
          <t>EV-0037</t>
        </is>
      </c>
      <c r="B42" s="5" t="inlineStr">
        <is>
          <t>C-OV11-01</t>
        </is>
      </c>
      <c r="C42" s="5" t="inlineStr">
        <is>
          <t>S013</t>
        </is>
      </c>
      <c r="D42" s="4" t="inlineStr">
        <is>
          <t>ED prosecution complaint filed 15 April 2025; trial court refused cognisance 16 December 2025; ED challenged on 17 December. High Court hearing on 22 September 2026 was adjourned to 12 October. Gandhis contest jurisdiction.</t>
        </is>
      </c>
      <c r="E42" s="5" t="inlineStr">
        <is>
          <t>https://www.barandbench.com/news/only-case-where-ed-proceeded-on-private-complaint-sonia-and-rahul-gandhi-to-delhi-high-court-on-national-herald-case</t>
        </is>
      </c>
      <c r="F42" s="4" t="inlineStr">
        <is>
          <t>Paragraphs describing complaint, orders and adjournment; lines 48–73</t>
        </is>
      </c>
      <c r="G42" s="4" t="inlineStr">
        <is>
          <t>Supports</t>
        </is>
      </c>
      <c r="H42" s="4" t="inlineStr">
        <is>
          <t>R013</t>
        </is>
      </c>
      <c r="I42" s="4" t="inlineStr">
        <is>
          <t>Codex: passage-to-statement review</t>
        </is>
      </c>
      <c r="J42" s="4" t="inlineStr">
        <is>
          <t>2026-09-24</t>
        </is>
      </c>
      <c r="K42" s="4" t="inlineStr">
        <is>
          <t>Read as combined support where a field has several sources. Attributed statements establish what was said, not the underlying allegation.</t>
        </is>
      </c>
    </row>
    <row r="43" ht="80" customHeight="1">
      <c r="A43" s="6" t="inlineStr">
        <is>
          <t>EV-0038</t>
        </is>
      </c>
      <c r="B43" s="7" t="inlineStr">
        <is>
          <t>C-OV12-01</t>
        </is>
      </c>
      <c r="C43" s="7" t="inlineStr">
        <is>
          <t>S004</t>
        </is>
      </c>
      <c r="D43" s="6" t="inlineStr">
        <is>
          <t>Born 19 June 1970 to Rajiv and Sonia Gandhi. Entered electoral politics in 2004; AICC general secretary from 24 September 2007; vice-president January 2013; president from 16 December 2017. Lists the 2022–23 and 2024 yatras.</t>
        </is>
      </c>
      <c r="E43" s="7" t="inlineStr">
        <is>
          <t>https://inc.in/leadership/past-party-presidents/shri-rahul-gandhi</t>
        </is>
      </c>
      <c r="F43" s="6" t="inlineStr">
        <is>
          <t>Family; Political journey; Presidency; Post-presidency</t>
        </is>
      </c>
      <c r="G43" s="6" t="inlineStr">
        <is>
          <t>Supports</t>
        </is>
      </c>
      <c r="H43" s="6" t="inlineStr">
        <is>
          <t>R004</t>
        </is>
      </c>
      <c r="I43" s="6" t="inlineStr">
        <is>
          <t>Codex: passage-to-statement review</t>
        </is>
      </c>
      <c r="J43" s="6" t="inlineStr">
        <is>
          <t>2026-09-24</t>
        </is>
      </c>
      <c r="K43" s="6" t="inlineStr">
        <is>
          <t>Read as combined support where a field has several sources. Attributed statements establish what was said, not the underlying allegation.</t>
        </is>
      </c>
    </row>
    <row r="44" ht="80" customHeight="1">
      <c r="A44" s="4" t="inlineStr">
        <is>
          <t>EV-0039</t>
        </is>
      </c>
      <c r="B44" s="5" t="inlineStr">
        <is>
          <t>C-OV12-01</t>
        </is>
      </c>
      <c r="C44" s="5" t="inlineStr">
        <is>
          <t>S005</t>
        </is>
      </c>
      <c r="D44" s="4" t="inlineStr">
        <is>
          <t>Security concerns after family assassinations affected schooling and university transfers. Graduated from Rollins in 1994. Reports Cambridge confirmation of a 1995 MPhil in Development Studies. Worked at Monitor; founded Backops.</t>
        </is>
      </c>
      <c r="E44" s="5" t="inlineStr">
        <is>
          <t>https://indianexpress.com/article/explained/explained-politics/rahul-gandhi-turns-53-what-he-was-doing-before-politics-8672843/lite/</t>
        </is>
      </c>
      <c r="F44" s="4" t="inlineStr">
        <is>
          <t>Education and After college; lines 40–61</t>
        </is>
      </c>
      <c r="G44" s="4" t="inlineStr">
        <is>
          <t>Supports</t>
        </is>
      </c>
      <c r="H44" s="4" t="inlineStr">
        <is>
          <t>R005</t>
        </is>
      </c>
      <c r="I44" s="4" t="inlineStr">
        <is>
          <t>Codex: passage-to-statement review</t>
        </is>
      </c>
      <c r="J44" s="4" t="inlineStr">
        <is>
          <t>2026-09-24</t>
        </is>
      </c>
      <c r="K44" s="4" t="inlineStr">
        <is>
          <t>Read as combined support where a field has several sources. Attributed statements establish what was said, not the underlying allegation.</t>
        </is>
      </c>
    </row>
    <row r="45" ht="66" customHeight="1">
      <c r="A45" s="6" t="inlineStr">
        <is>
          <t>EV-0040</t>
        </is>
      </c>
      <c r="B45" s="7" t="inlineStr">
        <is>
          <t>C-OV12-01</t>
        </is>
      </c>
      <c r="C45" s="7" t="inlineStr">
        <is>
          <t>S025</t>
        </is>
      </c>
      <c r="D45" s="6" t="inlineStr">
        <is>
          <t>Laul interprets discussion of Gandhi walking in a T-shirt in cold weather through local masculine ideals of physical endurance and leadership.</t>
        </is>
      </c>
      <c r="E45" s="7" t="inlineStr">
        <is>
          <t>https://m.thewire.in/article/politics/rahul-gandhi-t-shirt</t>
        </is>
      </c>
      <c r="F45" s="6" t="inlineStr">
        <is>
          <t>Opening argument; lines 47–65</t>
        </is>
      </c>
      <c r="G45" s="6" t="inlineStr">
        <is>
          <t>Supports</t>
        </is>
      </c>
      <c r="H45" s="6" t="inlineStr">
        <is>
          <t>R025</t>
        </is>
      </c>
      <c r="I45" s="6" t="inlineStr">
        <is>
          <t>Codex: passage-to-statement review</t>
        </is>
      </c>
      <c r="J45" s="6" t="inlineStr">
        <is>
          <t>2026-09-24</t>
        </is>
      </c>
      <c r="K45" s="6" t="inlineStr">
        <is>
          <t>Read as combined support where a field has several sources. Attributed statements establish what was said, not the underlying allegation.</t>
        </is>
      </c>
    </row>
    <row r="46" ht="80" customHeight="1">
      <c r="A46" s="4" t="inlineStr">
        <is>
          <t>EV-0041</t>
        </is>
      </c>
      <c r="B46" s="5" t="inlineStr">
        <is>
          <t>C-OV13-01</t>
        </is>
      </c>
      <c r="C46" s="5" t="inlineStr">
        <is>
          <t>S023</t>
        </is>
      </c>
      <c r="D46" s="4" t="inlineStr">
        <is>
          <t>Reuters depicts a recovery in Gandhi’s image after two marches. Analyst Rahul Verma credits mobilisation and clearer ideological opposition. Kharge was party president while Gandhi remained its prominent campaign face.</t>
        </is>
      </c>
      <c r="E46" s="5" t="inlineStr">
        <is>
          <t>https://www.marketscreener.com/news/latest/Ridiculed-for-a-decade-India-s-Rahul-Gandhi-slows-Modi-juggernaut-46900641/</t>
        </is>
      </c>
      <c r="F46" s="4" t="inlineStr">
        <is>
          <t>Opening and analyst Rahul Verma; lines 932–946</t>
        </is>
      </c>
      <c r="G46" s="4" t="inlineStr">
        <is>
          <t>Supports</t>
        </is>
      </c>
      <c r="H46" s="4" t="inlineStr">
        <is>
          <t>R023</t>
        </is>
      </c>
      <c r="I46" s="4" t="inlineStr">
        <is>
          <t>Codex: passage-to-statement review</t>
        </is>
      </c>
      <c r="J46" s="4" t="inlineStr">
        <is>
          <t>2026-09-24</t>
        </is>
      </c>
      <c r="K46" s="4" t="inlineStr">
        <is>
          <t>Read as combined support where a field has several sources. Attributed statements establish what was said, not the underlying allegation.</t>
        </is>
      </c>
    </row>
    <row r="47" ht="80" customHeight="1">
      <c r="A47" s="6" t="inlineStr">
        <is>
          <t>EV-0042</t>
        </is>
      </c>
      <c r="B47" s="7" t="inlineStr">
        <is>
          <t>C-OV13-01</t>
        </is>
      </c>
      <c r="C47" s="7" t="inlineStr">
        <is>
          <t>S024</t>
        </is>
      </c>
      <c r="D47" s="6" t="inlineStr">
        <is>
          <t>Authors distinguish the coalition era through 2014 from BJP dominance thereafter. The 2024 result weakened rather than ended BJP centrality; INDIA still lacked unified leadership, programme and organisation.</t>
        </is>
      </c>
      <c r="E47" s="7" t="inlineStr">
        <is>
          <t>https://carnegieendowment.org/research/2024/09/india-election-bjp-party-politics</t>
        </is>
      </c>
      <c r="F47" s="6" t="inlineStr">
        <is>
          <t>Evolution of party systems; 2024 interpretation; lines 61–104</t>
        </is>
      </c>
      <c r="G47" s="6" t="inlineStr">
        <is>
          <t>Supports</t>
        </is>
      </c>
      <c r="H47" s="6" t="inlineStr">
        <is>
          <t>R024</t>
        </is>
      </c>
      <c r="I47" s="6" t="inlineStr">
        <is>
          <t>Codex: passage-to-statement review</t>
        </is>
      </c>
      <c r="J47" s="6" t="inlineStr">
        <is>
          <t>2026-09-24</t>
        </is>
      </c>
      <c r="K47" s="6" t="inlineStr">
        <is>
          <t>Read as combined support where a field has several sources. Attributed statements establish what was said, not the underlying allegation.</t>
        </is>
      </c>
    </row>
    <row r="48" ht="80" customHeight="1">
      <c r="A48" s="4" t="inlineStr">
        <is>
          <t>EV-0043</t>
        </is>
      </c>
      <c r="B48" s="5" t="inlineStr">
        <is>
          <t>C-OV13-01</t>
        </is>
      </c>
      <c r="C48" s="5" t="inlineStr">
        <is>
          <t>S026</t>
        </is>
      </c>
      <c r="D48" s="4" t="inlineStr">
        <is>
          <t>Congress won 6 of 61 seats contested in Bihar in 2025. Interviewed losing candidates criticised organisation, nominations, war rooms, alliance coordination and the voter-rights campaign.</t>
        </is>
      </c>
      <c r="E48" s="5" t="inlineStr">
        <is>
          <t>https://indianexpress.com/article/political-pulse/congress-camps-bihar-post-mortem-rahul-yatra-fiasco-allavaru-problem-weak-structure-10375553/</t>
        </is>
      </c>
      <c r="F48" s="4" t="inlineStr">
        <is>
          <t>Opening; interviews with ten losing candidates; lines 17–52</t>
        </is>
      </c>
      <c r="G48" s="4" t="inlineStr">
        <is>
          <t>Supports</t>
        </is>
      </c>
      <c r="H48" s="4" t="inlineStr">
        <is>
          <t>R026</t>
        </is>
      </c>
      <c r="I48" s="4" t="inlineStr">
        <is>
          <t>Codex: passage-to-statement review</t>
        </is>
      </c>
      <c r="J48" s="4" t="inlineStr">
        <is>
          <t>2026-09-24</t>
        </is>
      </c>
      <c r="K48" s="4" t="inlineStr">
        <is>
          <t>Read as combined support where a field has several sources. Attributed statements establish what was said, not the underlying allegation.</t>
        </is>
      </c>
    </row>
    <row r="49" ht="80" customHeight="1">
      <c r="A49" s="6" t="inlineStr">
        <is>
          <t>EV-0044</t>
        </is>
      </c>
      <c r="B49" s="7" t="inlineStr">
        <is>
          <t>C-T01-01</t>
        </is>
      </c>
      <c r="C49" s="7" t="inlineStr">
        <is>
          <t>S004</t>
        </is>
      </c>
      <c r="D49" s="6" t="inlineStr">
        <is>
          <t>Born 19 June 1970 to Rajiv and Sonia Gandhi. Entered electoral politics in 2004; AICC general secretary from 24 September 2007; vice-president January 2013; president from 16 December 2017. Lists the 2022–23 and 2024 yatras.</t>
        </is>
      </c>
      <c r="E49" s="7" t="inlineStr">
        <is>
          <t>https://inc.in/leadership/past-party-presidents/shri-rahul-gandhi</t>
        </is>
      </c>
      <c r="F49" s="6" t="inlineStr">
        <is>
          <t>Family; Political journey; Presidency; Post-presidency</t>
        </is>
      </c>
      <c r="G49" s="6" t="inlineStr">
        <is>
          <t>Supports</t>
        </is>
      </c>
      <c r="H49" s="6" t="inlineStr">
        <is>
          <t>R004</t>
        </is>
      </c>
      <c r="I49" s="6" t="inlineStr">
        <is>
          <t>Codex: passage-to-statement review</t>
        </is>
      </c>
      <c r="J49" s="6" t="inlineStr">
        <is>
          <t>2026-09-24</t>
        </is>
      </c>
      <c r="K49" s="6" t="inlineStr">
        <is>
          <t>Read as combined support where a field has several sources. Attributed statements establish what was said, not the underlying allegation.</t>
        </is>
      </c>
    </row>
    <row r="50" ht="80" customHeight="1">
      <c r="A50" s="4" t="inlineStr">
        <is>
          <t>EV-0045</t>
        </is>
      </c>
      <c r="B50" s="5" t="inlineStr">
        <is>
          <t>C-T01-02</t>
        </is>
      </c>
      <c r="C50" s="5" t="inlineStr">
        <is>
          <t>S004</t>
        </is>
      </c>
      <c r="D50" s="4" t="inlineStr">
        <is>
          <t>Born 19 June 1970 to Rajiv and Sonia Gandhi. Entered electoral politics in 2004; AICC general secretary from 24 September 2007; vice-president January 2013; president from 16 December 2017. Lists the 2022–23 and 2024 yatras.</t>
        </is>
      </c>
      <c r="E50" s="5" t="inlineStr">
        <is>
          <t>https://inc.in/leadership/past-party-presidents/shri-rahul-gandhi</t>
        </is>
      </c>
      <c r="F50" s="4" t="inlineStr">
        <is>
          <t>Family; Political journey; Presidency; Post-presidency</t>
        </is>
      </c>
      <c r="G50" s="4" t="inlineStr">
        <is>
          <t>Supports</t>
        </is>
      </c>
      <c r="H50" s="4" t="inlineStr">
        <is>
          <t>R004</t>
        </is>
      </c>
      <c r="I50" s="4" t="inlineStr">
        <is>
          <t>Codex: passage-to-statement review</t>
        </is>
      </c>
      <c r="J50" s="4" t="inlineStr">
        <is>
          <t>2026-09-24</t>
        </is>
      </c>
      <c r="K50" s="4" t="inlineStr">
        <is>
          <t>Read as combined support where a field has several sources. Attributed statements establish what was said, not the underlying allegation.</t>
        </is>
      </c>
    </row>
    <row r="51" ht="80" customHeight="1">
      <c r="A51" s="6" t="inlineStr">
        <is>
          <t>EV-0046</t>
        </is>
      </c>
      <c r="B51" s="7" t="inlineStr">
        <is>
          <t>C-T02-01</t>
        </is>
      </c>
      <c r="C51" s="7" t="inlineStr">
        <is>
          <t>S005</t>
        </is>
      </c>
      <c r="D51" s="6" t="inlineStr">
        <is>
          <t>Security concerns after family assassinations affected schooling and university transfers. Graduated from Rollins in 1994. Reports Cambridge confirmation of a 1995 MPhil in Development Studies. Worked at Monitor; founded Backops.</t>
        </is>
      </c>
      <c r="E51" s="7" t="inlineStr">
        <is>
          <t>https://indianexpress.com/article/explained/explained-politics/rahul-gandhi-turns-53-what-he-was-doing-before-politics-8672843/lite/</t>
        </is>
      </c>
      <c r="F51" s="6" t="inlineStr">
        <is>
          <t>Education and After college; lines 40–61</t>
        </is>
      </c>
      <c r="G51" s="6" t="inlineStr">
        <is>
          <t>Supports</t>
        </is>
      </c>
      <c r="H51" s="6" t="inlineStr">
        <is>
          <t>R005</t>
        </is>
      </c>
      <c r="I51" s="6" t="inlineStr">
        <is>
          <t>Codex: passage-to-statement review</t>
        </is>
      </c>
      <c r="J51" s="6" t="inlineStr">
        <is>
          <t>2026-09-24</t>
        </is>
      </c>
      <c r="K51" s="6" t="inlineStr">
        <is>
          <t>Read as combined support where a field has several sources. Attributed statements establish what was said, not the underlying allegation.</t>
        </is>
      </c>
    </row>
    <row r="52" ht="80" customHeight="1">
      <c r="A52" s="4" t="inlineStr">
        <is>
          <t>EV-0047</t>
        </is>
      </c>
      <c r="B52" s="5" t="inlineStr">
        <is>
          <t>C-T03-01</t>
        </is>
      </c>
      <c r="C52" s="5" t="inlineStr">
        <is>
          <t>S005</t>
        </is>
      </c>
      <c r="D52" s="4" t="inlineStr">
        <is>
          <t>Security concerns after family assassinations affected schooling and university transfers. Graduated from Rollins in 1994. Reports Cambridge confirmation of a 1995 MPhil in Development Studies. Worked at Monitor; founded Backops.</t>
        </is>
      </c>
      <c r="E52" s="5" t="inlineStr">
        <is>
          <t>https://indianexpress.com/article/explained/explained-politics/rahul-gandhi-turns-53-what-he-was-doing-before-politics-8672843/lite/</t>
        </is>
      </c>
      <c r="F52" s="4" t="inlineStr">
        <is>
          <t>Education and After college; lines 40–61</t>
        </is>
      </c>
      <c r="G52" s="4" t="inlineStr">
        <is>
          <t>Supports</t>
        </is>
      </c>
      <c r="H52" s="4" t="inlineStr">
        <is>
          <t>R005</t>
        </is>
      </c>
      <c r="I52" s="4" t="inlineStr">
        <is>
          <t>Codex: passage-to-statement review</t>
        </is>
      </c>
      <c r="J52" s="4" t="inlineStr">
        <is>
          <t>2026-09-24</t>
        </is>
      </c>
      <c r="K52" s="4" t="inlineStr">
        <is>
          <t>Read as combined support where a field has several sources. Attributed statements establish what was said, not the underlying allegation.</t>
        </is>
      </c>
    </row>
    <row r="53" ht="66" customHeight="1">
      <c r="A53" s="6" t="inlineStr">
        <is>
          <t>EV-0048</t>
        </is>
      </c>
      <c r="B53" s="7" t="inlineStr">
        <is>
          <t>C-T04-01</t>
        </is>
      </c>
      <c r="C53" s="7" t="inlineStr">
        <is>
          <t>S009</t>
        </is>
      </c>
      <c r="D53" s="6" t="inlineStr">
        <is>
          <t>Rahul Gandhi, INC, won Amethi with 390179 votes against Chandra Parkash Mishra Matiyari, BSP, 99326.</t>
        </is>
      </c>
      <c r="E53" s="7" t="inlineStr">
        <is>
          <t>https://www.elections.in/parliamentary-constituencies/2004-election-results.html</t>
        </is>
      </c>
      <c r="F53" s="6" t="inlineStr">
        <is>
          <t>Uttar Pradesh, constituency 21 Amethi; line 545</t>
        </is>
      </c>
      <c r="G53" s="6" t="inlineStr">
        <is>
          <t>Supports</t>
        </is>
      </c>
      <c r="H53" s="6" t="inlineStr">
        <is>
          <t>R009</t>
        </is>
      </c>
      <c r="I53" s="6" t="inlineStr">
        <is>
          <t>Codex: passage-to-statement review</t>
        </is>
      </c>
      <c r="J53" s="6" t="inlineStr">
        <is>
          <t>2026-09-24</t>
        </is>
      </c>
      <c r="K53" s="6" t="inlineStr">
        <is>
          <t>Read as combined support where a field has several sources. Attributed statements establish what was said, not the underlying allegation.</t>
        </is>
      </c>
    </row>
    <row r="54" ht="80" customHeight="1">
      <c r="A54" s="4" t="inlineStr">
        <is>
          <t>EV-0049</t>
        </is>
      </c>
      <c r="B54" s="5" t="inlineStr">
        <is>
          <t>C-T04-01</t>
        </is>
      </c>
      <c r="C54" s="5" t="inlineStr">
        <is>
          <t>S004</t>
        </is>
      </c>
      <c r="D54" s="4" t="inlineStr">
        <is>
          <t>Born 19 June 1970 to Rajiv and Sonia Gandhi. Entered electoral politics in 2004; AICC general secretary from 24 September 2007; vice-president January 2013; president from 16 December 2017. Lists the 2022–23 and 2024 yatras.</t>
        </is>
      </c>
      <c r="E54" s="5" t="inlineStr">
        <is>
          <t>https://inc.in/leadership/past-party-presidents/shri-rahul-gandhi</t>
        </is>
      </c>
      <c r="F54" s="4" t="inlineStr">
        <is>
          <t>Family; Political journey; Presidency; Post-presidency</t>
        </is>
      </c>
      <c r="G54" s="4" t="inlineStr">
        <is>
          <t>Supports</t>
        </is>
      </c>
      <c r="H54" s="4" t="inlineStr">
        <is>
          <t>R004</t>
        </is>
      </c>
      <c r="I54" s="4" t="inlineStr">
        <is>
          <t>Codex: passage-to-statement review</t>
        </is>
      </c>
      <c r="J54" s="4" t="inlineStr">
        <is>
          <t>2026-09-24</t>
        </is>
      </c>
      <c r="K54" s="4" t="inlineStr">
        <is>
          <t>Read as combined support where a field has several sources. Attributed statements establish what was said, not the underlying allegation.</t>
        </is>
      </c>
    </row>
    <row r="55" ht="80" customHeight="1">
      <c r="A55" s="6" t="inlineStr">
        <is>
          <t>EV-0050</t>
        </is>
      </c>
      <c r="B55" s="7" t="inlineStr">
        <is>
          <t>C-T05-01</t>
        </is>
      </c>
      <c r="C55" s="7" t="inlineStr">
        <is>
          <t>S004</t>
        </is>
      </c>
      <c r="D55" s="6" t="inlineStr">
        <is>
          <t>Born 19 June 1970 to Rajiv and Sonia Gandhi. Entered electoral politics in 2004; AICC general secretary from 24 September 2007; vice-president January 2013; president from 16 December 2017. Lists the 2022–23 and 2024 yatras.</t>
        </is>
      </c>
      <c r="E55" s="7" t="inlineStr">
        <is>
          <t>https://inc.in/leadership/past-party-presidents/shri-rahul-gandhi</t>
        </is>
      </c>
      <c r="F55" s="6" t="inlineStr">
        <is>
          <t>Family; Political journey; Presidency; Post-presidency</t>
        </is>
      </c>
      <c r="G55" s="6" t="inlineStr">
        <is>
          <t>Supports</t>
        </is>
      </c>
      <c r="H55" s="6" t="inlineStr">
        <is>
          <t>R004</t>
        </is>
      </c>
      <c r="I55" s="6" t="inlineStr">
        <is>
          <t>Codex: passage-to-statement review</t>
        </is>
      </c>
      <c r="J55" s="6" t="inlineStr">
        <is>
          <t>2026-09-24</t>
        </is>
      </c>
      <c r="K55" s="6" t="inlineStr">
        <is>
          <t>Read as combined support where a field has several sources. Attributed statements establish what was said, not the underlying allegation.</t>
        </is>
      </c>
    </row>
    <row r="56" ht="80" customHeight="1">
      <c r="A56" s="4" t="inlineStr">
        <is>
          <t>EV-0051</t>
        </is>
      </c>
      <c r="B56" s="5" t="inlineStr">
        <is>
          <t>C-T05-02</t>
        </is>
      </c>
      <c r="C56" s="5" t="inlineStr">
        <is>
          <t>S004</t>
        </is>
      </c>
      <c r="D56" s="4" t="inlineStr">
        <is>
          <t>Born 19 June 1970 to Rajiv and Sonia Gandhi. Entered electoral politics in 2004; AICC general secretary from 24 September 2007; vice-president January 2013; president from 16 December 2017. Lists the 2022–23 and 2024 yatras.</t>
        </is>
      </c>
      <c r="E56" s="5" t="inlineStr">
        <is>
          <t>https://inc.in/leadership/past-party-presidents/shri-rahul-gandhi</t>
        </is>
      </c>
      <c r="F56" s="4" t="inlineStr">
        <is>
          <t>Family; Political journey; Presidency; Post-presidency</t>
        </is>
      </c>
      <c r="G56" s="4" t="inlineStr">
        <is>
          <t>Supports</t>
        </is>
      </c>
      <c r="H56" s="4" t="inlineStr">
        <is>
          <t>R004</t>
        </is>
      </c>
      <c r="I56" s="4" t="inlineStr">
        <is>
          <t>Codex: passage-to-statement review</t>
        </is>
      </c>
      <c r="J56" s="4" t="inlineStr">
        <is>
          <t>2026-09-24</t>
        </is>
      </c>
      <c r="K56" s="4" t="inlineStr">
        <is>
          <t>Read as combined support where a field has several sources. Attributed statements establish what was said, not the underlying allegation.</t>
        </is>
      </c>
    </row>
    <row r="57" ht="80" customHeight="1">
      <c r="A57" s="6" t="inlineStr">
        <is>
          <t>EV-0052</t>
        </is>
      </c>
      <c r="B57" s="7" t="inlineStr">
        <is>
          <t>C-T06-01</t>
        </is>
      </c>
      <c r="C57" s="7" t="inlineStr">
        <is>
          <t>S008</t>
        </is>
      </c>
      <c r="D57" s="6" t="inlineStr">
        <is>
          <t>2009: Gandhi 464195, Asheesh Shukla 93997, 71.78%. 2014: Gandhi 408651, Smriti Irani 300748.</t>
        </is>
      </c>
      <c r="E57" s="7" t="inlineStr">
        <is>
          <t>https://www.moneycontrol.com/elections/lok-sabha-election/uttar-pradesh/constituencies/amethi-constituency-s24led2008p037/</t>
        </is>
      </c>
      <c r="F57" s="6" t="inlineStr">
        <is>
          <t>Past election results; lines 459–466 and 510–520</t>
        </is>
      </c>
      <c r="G57" s="6" t="inlineStr">
        <is>
          <t>Supports</t>
        </is>
      </c>
      <c r="H57" s="6" t="inlineStr">
        <is>
          <t>R008</t>
        </is>
      </c>
      <c r="I57" s="6" t="inlineStr">
        <is>
          <t>Codex: passage-to-statement review</t>
        </is>
      </c>
      <c r="J57" s="6" t="inlineStr">
        <is>
          <t>2026-09-24</t>
        </is>
      </c>
      <c r="K57" s="6" t="inlineStr">
        <is>
          <t>Read as combined support where a field has several sources. Attributed statements establish what was said, not the underlying allegation.</t>
        </is>
      </c>
    </row>
    <row r="58" ht="80" customHeight="1">
      <c r="A58" s="4" t="inlineStr">
        <is>
          <t>EV-0053</t>
        </is>
      </c>
      <c r="B58" s="5" t="inlineStr">
        <is>
          <t>C-T07-01</t>
        </is>
      </c>
      <c r="C58" s="5" t="inlineStr">
        <is>
          <t>S004</t>
        </is>
      </c>
      <c r="D58" s="4" t="inlineStr">
        <is>
          <t>Born 19 June 1970 to Rajiv and Sonia Gandhi. Entered electoral politics in 2004; AICC general secretary from 24 September 2007; vice-president January 2013; president from 16 December 2017. Lists the 2022–23 and 2024 yatras.</t>
        </is>
      </c>
      <c r="E58" s="5" t="inlineStr">
        <is>
          <t>https://inc.in/leadership/past-party-presidents/shri-rahul-gandhi</t>
        </is>
      </c>
      <c r="F58" s="4" t="inlineStr">
        <is>
          <t>Family; Political journey; Presidency; Post-presidency</t>
        </is>
      </c>
      <c r="G58" s="4" t="inlineStr">
        <is>
          <t>Supports</t>
        </is>
      </c>
      <c r="H58" s="4" t="inlineStr">
        <is>
          <t>R004</t>
        </is>
      </c>
      <c r="I58" s="4" t="inlineStr">
        <is>
          <t>Codex: passage-to-statement review</t>
        </is>
      </c>
      <c r="J58" s="4" t="inlineStr">
        <is>
          <t>2026-09-24</t>
        </is>
      </c>
      <c r="K58" s="4" t="inlineStr">
        <is>
          <t>Read as combined support where a field has several sources. Attributed statements establish what was said, not the underlying allegation.</t>
        </is>
      </c>
    </row>
    <row r="59" ht="80" customHeight="1">
      <c r="A59" s="6" t="inlineStr">
        <is>
          <t>EV-0054</t>
        </is>
      </c>
      <c r="B59" s="7" t="inlineStr">
        <is>
          <t>C-T07-02</t>
        </is>
      </c>
      <c r="C59" s="7" t="inlineStr">
        <is>
          <t>S004</t>
        </is>
      </c>
      <c r="D59" s="6" t="inlineStr">
        <is>
          <t>Born 19 June 1970 to Rajiv and Sonia Gandhi. Entered electoral politics in 2004; AICC general secretary from 24 September 2007; vice-president January 2013; president from 16 December 2017. Lists the 2022–23 and 2024 yatras.</t>
        </is>
      </c>
      <c r="E59" s="7" t="inlineStr">
        <is>
          <t>https://inc.in/leadership/past-party-presidents/shri-rahul-gandhi</t>
        </is>
      </c>
      <c r="F59" s="6" t="inlineStr">
        <is>
          <t>Family; Political journey; Presidency; Post-presidency</t>
        </is>
      </c>
      <c r="G59" s="6" t="inlineStr">
        <is>
          <t>Supports</t>
        </is>
      </c>
      <c r="H59" s="6" t="inlineStr">
        <is>
          <t>R004</t>
        </is>
      </c>
      <c r="I59" s="6" t="inlineStr">
        <is>
          <t>Codex: passage-to-statement review</t>
        </is>
      </c>
      <c r="J59" s="6" t="inlineStr">
        <is>
          <t>2026-09-24</t>
        </is>
      </c>
      <c r="K59" s="6" t="inlineStr">
        <is>
          <t>Read as combined support where a field has several sources. Attributed statements establish what was said, not the underlying allegation.</t>
        </is>
      </c>
    </row>
    <row r="60" ht="66" customHeight="1">
      <c r="A60" s="4" t="inlineStr">
        <is>
          <t>EV-0055</t>
        </is>
      </c>
      <c r="B60" s="5" t="inlineStr">
        <is>
          <t>C-T08-01</t>
        </is>
      </c>
      <c r="C60" s="5" t="inlineStr">
        <is>
          <t>S034</t>
        </is>
      </c>
      <c r="D60" s="4" t="inlineStr">
        <is>
          <t>Congress won 28 of 403 UP seats in 2012. Gandhi accepted campaign responsibility and said organisation was weak; contemporary coverage compared him with Akhilesh Yadav.</t>
        </is>
      </c>
      <c r="E60" s="5" t="inlineStr">
        <is>
          <t>https://www.ndtv.com/assembly/i-take-responsibility-says-rahul-gandhi-about-up-results-470319</t>
        </is>
      </c>
      <c r="F60" s="4" t="inlineStr">
        <is>
          <t>Result and campaign; lines 284–294</t>
        </is>
      </c>
      <c r="G60" s="4" t="inlineStr">
        <is>
          <t>Supports</t>
        </is>
      </c>
      <c r="H60" s="4" t="inlineStr">
        <is>
          <t>R034</t>
        </is>
      </c>
      <c r="I60" s="4" t="inlineStr">
        <is>
          <t>Codex: passage-to-statement review</t>
        </is>
      </c>
      <c r="J60" s="4" t="inlineStr">
        <is>
          <t>2026-09-24</t>
        </is>
      </c>
      <c r="K60" s="4" t="inlineStr">
        <is>
          <t>Read as combined support where a field has several sources. Attributed statements establish what was said, not the underlying allegation.</t>
        </is>
      </c>
    </row>
    <row r="61" ht="80" customHeight="1">
      <c r="A61" s="6" t="inlineStr">
        <is>
          <t>EV-0056</t>
        </is>
      </c>
      <c r="B61" s="7" t="inlineStr">
        <is>
          <t>C-T09-01</t>
        </is>
      </c>
      <c r="C61" s="7" t="inlineStr">
        <is>
          <t>S004</t>
        </is>
      </c>
      <c r="D61" s="6" t="inlineStr">
        <is>
          <t>Born 19 June 1970 to Rajiv and Sonia Gandhi. Entered electoral politics in 2004; AICC general secretary from 24 September 2007; vice-president January 2013; president from 16 December 2017. Lists the 2022–23 and 2024 yatras.</t>
        </is>
      </c>
      <c r="E61" s="7" t="inlineStr">
        <is>
          <t>https://inc.in/leadership/past-party-presidents/shri-rahul-gandhi</t>
        </is>
      </c>
      <c r="F61" s="6" t="inlineStr">
        <is>
          <t>Family; Political journey; Presidency; Post-presidency</t>
        </is>
      </c>
      <c r="G61" s="6" t="inlineStr">
        <is>
          <t>Supports</t>
        </is>
      </c>
      <c r="H61" s="6" t="inlineStr">
        <is>
          <t>R004</t>
        </is>
      </c>
      <c r="I61" s="6" t="inlineStr">
        <is>
          <t>Codex: passage-to-statement review</t>
        </is>
      </c>
      <c r="J61" s="6" t="inlineStr">
        <is>
          <t>2026-09-24</t>
        </is>
      </c>
      <c r="K61" s="6" t="inlineStr">
        <is>
          <t>Read as combined support where a field has several sources. Attributed statements establish what was said, not the underlying allegation.</t>
        </is>
      </c>
    </row>
    <row r="62" ht="80" customHeight="1">
      <c r="A62" s="4" t="inlineStr">
        <is>
          <t>EV-0057</t>
        </is>
      </c>
      <c r="B62" s="5" t="inlineStr">
        <is>
          <t>C-T10-01</t>
        </is>
      </c>
      <c r="C62" s="5" t="inlineStr">
        <is>
          <t>S038</t>
        </is>
      </c>
      <c r="D62" s="4" t="inlineStr">
        <is>
          <t>Gandhi publicly repudiated the proposed ordinance protecting convicted legislators; BJP critics said this undermined Prime Minister Manmohan Singh. Gandhi framed his objection as opposition to compromise on corruption.</t>
        </is>
      </c>
      <c r="E62" s="5" t="inlineStr">
        <is>
          <t>https://www.ndtv.com/india-news/rahul-gandhi-calls-ordinance-on-convicted-lawmakers-nonsense-huge-embarrassment-for-pm-535906</t>
        </is>
      </c>
      <c r="F62" s="4" t="inlineStr">
        <is>
          <t>Press Club remarks and responses; lines 225–233</t>
        </is>
      </c>
      <c r="G62" s="4" t="inlineStr">
        <is>
          <t>Supports</t>
        </is>
      </c>
      <c r="H62" s="4" t="inlineStr">
        <is>
          <t>R038</t>
        </is>
      </c>
      <c r="I62" s="4" t="inlineStr">
        <is>
          <t>Codex: passage-to-statement review</t>
        </is>
      </c>
      <c r="J62" s="4" t="inlineStr">
        <is>
          <t>2026-09-24</t>
        </is>
      </c>
      <c r="K62" s="4" t="inlineStr">
        <is>
          <t>Read as combined support where a field has several sources. Attributed statements establish what was said, not the underlying allegation.</t>
        </is>
      </c>
    </row>
    <row r="63" ht="80" customHeight="1">
      <c r="A63" s="6" t="inlineStr">
        <is>
          <t>EV-0058</t>
        </is>
      </c>
      <c r="B63" s="7" t="inlineStr">
        <is>
          <t>C-T10-01</t>
        </is>
      </c>
      <c r="C63" s="7" t="inlineStr">
        <is>
          <t>S039</t>
        </is>
      </c>
      <c r="D63" s="6" t="inlineStr">
        <is>
          <t>Cabinet withdrew the proposed ordinance and related bill after Gandhi’s public criticism.</t>
        </is>
      </c>
      <c r="E63" s="7" t="inlineStr">
        <is>
          <t>https://www.business-standard.com/article/politics/govt-bows-before-rahul-withdraws-ordinance-plan-113100200706_1.html</t>
        </is>
      </c>
      <c r="F63" s="6" t="inlineStr">
        <is>
          <t>Cabinet decision reported 2 October</t>
        </is>
      </c>
      <c r="G63" s="6" t="inlineStr">
        <is>
          <t>Supports</t>
        </is>
      </c>
      <c r="H63" s="6" t="inlineStr">
        <is>
          <t>R039</t>
        </is>
      </c>
      <c r="I63" s="6" t="inlineStr">
        <is>
          <t>Codex: passage-to-statement review</t>
        </is>
      </c>
      <c r="J63" s="6" t="inlineStr">
        <is>
          <t>2026-09-24</t>
        </is>
      </c>
      <c r="K63" s="6" t="inlineStr">
        <is>
          <t>Read as combined support where a field has several sources. Attributed statements establish what was said, not the underlying allegation.</t>
        </is>
      </c>
    </row>
    <row r="64" ht="80" customHeight="1">
      <c r="A64" s="4" t="inlineStr">
        <is>
          <t>EV-0059</t>
        </is>
      </c>
      <c r="B64" s="5" t="inlineStr">
        <is>
          <t>C-T11-01</t>
        </is>
      </c>
      <c r="C64" s="5" t="inlineStr">
        <is>
          <t>S008</t>
        </is>
      </c>
      <c r="D64" s="4" t="inlineStr">
        <is>
          <t>2009: Gandhi 464195, Asheesh Shukla 93997, 71.78%. 2014: Gandhi 408651, Smriti Irani 300748.</t>
        </is>
      </c>
      <c r="E64" s="5" t="inlineStr">
        <is>
          <t>https://www.moneycontrol.com/elections/lok-sabha-election/uttar-pradesh/constituencies/amethi-constituency-s24led2008p037/</t>
        </is>
      </c>
      <c r="F64" s="4" t="inlineStr">
        <is>
          <t>Past election results; lines 459–466 and 510–520</t>
        </is>
      </c>
      <c r="G64" s="4" t="inlineStr">
        <is>
          <t>Supports</t>
        </is>
      </c>
      <c r="H64" s="4" t="inlineStr">
        <is>
          <t>R008</t>
        </is>
      </c>
      <c r="I64" s="4" t="inlineStr">
        <is>
          <t>Codex: passage-to-statement review</t>
        </is>
      </c>
      <c r="J64" s="4" t="inlineStr">
        <is>
          <t>2026-09-24</t>
        </is>
      </c>
      <c r="K64" s="4" t="inlineStr">
        <is>
          <t>Read as combined support where a field has several sources. Attributed statements establish what was said, not the underlying allegation.</t>
        </is>
      </c>
    </row>
    <row r="65" ht="80" customHeight="1">
      <c r="A65" s="6" t="inlineStr">
        <is>
          <t>EV-0060</t>
        </is>
      </c>
      <c r="B65" s="7" t="inlineStr">
        <is>
          <t>C-T11-01</t>
        </is>
      </c>
      <c r="C65" s="7" t="inlineStr">
        <is>
          <t>S024</t>
        </is>
      </c>
      <c r="D65" s="6" t="inlineStr">
        <is>
          <t>Authors distinguish the coalition era through 2014 from BJP dominance thereafter. The 2024 result weakened rather than ended BJP centrality; INDIA still lacked unified leadership, programme and organisation.</t>
        </is>
      </c>
      <c r="E65" s="7" t="inlineStr">
        <is>
          <t>https://carnegieendowment.org/research/2024/09/india-election-bjp-party-politics</t>
        </is>
      </c>
      <c r="F65" s="6" t="inlineStr">
        <is>
          <t>Evolution of party systems; 2024 interpretation; lines 61–104</t>
        </is>
      </c>
      <c r="G65" s="6" t="inlineStr">
        <is>
          <t>Supports</t>
        </is>
      </c>
      <c r="H65" s="6" t="inlineStr">
        <is>
          <t>R024</t>
        </is>
      </c>
      <c r="I65" s="6" t="inlineStr">
        <is>
          <t>Codex: passage-to-statement review</t>
        </is>
      </c>
      <c r="J65" s="6" t="inlineStr">
        <is>
          <t>2026-09-24</t>
        </is>
      </c>
      <c r="K65" s="6" t="inlineStr">
        <is>
          <t>Read as combined support where a field has several sources. Attributed statements establish what was said, not the underlying allegation.</t>
        </is>
      </c>
    </row>
    <row r="66" ht="94" customHeight="1">
      <c r="A66" s="4" t="inlineStr">
        <is>
          <t>EV-0061</t>
        </is>
      </c>
      <c r="B66" s="5" t="inlineStr">
        <is>
          <t>C-T12-01</t>
        </is>
      </c>
      <c r="C66" s="5" t="inlineStr">
        <is>
          <t>S037</t>
        </is>
      </c>
      <c r="D66" s="4" t="inlineStr">
        <is>
          <t>Gandhi opposed the land-acquisition amendments inside and outside Parliament; NDA allies Shiv Sena and Akali Dal also raised reservations.</t>
        </is>
      </c>
      <c r="E66" s="5" t="inlineStr">
        <is>
          <t>https://economictimes.indiatimes.com/news/politics-and-nation/rahul-gandhi-vows-to-oppose-land-bill-inside-and-outside-parliament/articleshow/47249971.cms</t>
        </is>
      </c>
      <c r="F66" s="4" t="inlineStr">
        <is>
          <t>Parliamentary debate report</t>
        </is>
      </c>
      <c r="G66" s="4" t="inlineStr">
        <is>
          <t>Supports</t>
        </is>
      </c>
      <c r="H66" s="4" t="inlineStr">
        <is>
          <t>R037</t>
        </is>
      </c>
      <c r="I66" s="4" t="inlineStr">
        <is>
          <t>Codex: passage-to-statement review</t>
        </is>
      </c>
      <c r="J66" s="4" t="inlineStr">
        <is>
          <t>2026-09-24</t>
        </is>
      </c>
      <c r="K66" s="4" t="inlineStr">
        <is>
          <t>Read as combined support where a field has several sources. Attributed statements establish what was said, not the underlying allegation.</t>
        </is>
      </c>
    </row>
    <row r="67" ht="80" customHeight="1">
      <c r="A67" s="6" t="inlineStr">
        <is>
          <t>EV-0062</t>
        </is>
      </c>
      <c r="B67" s="7" t="inlineStr">
        <is>
          <t>C-T13-01</t>
        </is>
      </c>
      <c r="C67" s="7" t="inlineStr">
        <is>
          <t>S004</t>
        </is>
      </c>
      <c r="D67" s="6" t="inlineStr">
        <is>
          <t>Born 19 June 1970 to Rajiv and Sonia Gandhi. Entered electoral politics in 2004; AICC general secretary from 24 September 2007; vice-president January 2013; president from 16 December 2017. Lists the 2022–23 and 2024 yatras.</t>
        </is>
      </c>
      <c r="E67" s="7" t="inlineStr">
        <is>
          <t>https://inc.in/leadership/past-party-presidents/shri-rahul-gandhi</t>
        </is>
      </c>
      <c r="F67" s="6" t="inlineStr">
        <is>
          <t>Family; Political journey; Presidency; Post-presidency</t>
        </is>
      </c>
      <c r="G67" s="6" t="inlineStr">
        <is>
          <t>Supports</t>
        </is>
      </c>
      <c r="H67" s="6" t="inlineStr">
        <is>
          <t>R004</t>
        </is>
      </c>
      <c r="I67" s="6" t="inlineStr">
        <is>
          <t>Codex: passage-to-statement review</t>
        </is>
      </c>
      <c r="J67" s="6" t="inlineStr">
        <is>
          <t>2026-09-24</t>
        </is>
      </c>
      <c r="K67" s="6" t="inlineStr">
        <is>
          <t>Read as combined support where a field has several sources. Attributed statements establish what was said, not the underlying allegation.</t>
        </is>
      </c>
    </row>
    <row r="68" ht="80" customHeight="1">
      <c r="A68" s="4" t="inlineStr">
        <is>
          <t>EV-0063</t>
        </is>
      </c>
      <c r="B68" s="5" t="inlineStr">
        <is>
          <t>C-T13-02</t>
        </is>
      </c>
      <c r="C68" s="5" t="inlineStr">
        <is>
          <t>S004</t>
        </is>
      </c>
      <c r="D68" s="4" t="inlineStr">
        <is>
          <t>Born 19 June 1970 to Rajiv and Sonia Gandhi. Entered electoral politics in 2004; AICC general secretary from 24 September 2007; vice-president January 2013; president from 16 December 2017. Lists the 2022–23 and 2024 yatras.</t>
        </is>
      </c>
      <c r="E68" s="5" t="inlineStr">
        <is>
          <t>https://inc.in/leadership/past-party-presidents/shri-rahul-gandhi</t>
        </is>
      </c>
      <c r="F68" s="4" t="inlineStr">
        <is>
          <t>Family; Political journey; Presidency; Post-presidency</t>
        </is>
      </c>
      <c r="G68" s="4" t="inlineStr">
        <is>
          <t>Supports</t>
        </is>
      </c>
      <c r="H68" s="4" t="inlineStr">
        <is>
          <t>R004</t>
        </is>
      </c>
      <c r="I68" s="4" t="inlineStr">
        <is>
          <t>Codex: passage-to-statement review</t>
        </is>
      </c>
      <c r="J68" s="4" t="inlineStr">
        <is>
          <t>2026-09-24</t>
        </is>
      </c>
      <c r="K68" s="4" t="inlineStr">
        <is>
          <t>Read as combined support where a field has several sources. Attributed statements establish what was said, not the underlying allegation.</t>
        </is>
      </c>
    </row>
    <row r="69" ht="80" customHeight="1">
      <c r="A69" s="6" t="inlineStr">
        <is>
          <t>EV-0064</t>
        </is>
      </c>
      <c r="B69" s="7" t="inlineStr">
        <is>
          <t>C-T14-01</t>
        </is>
      </c>
      <c r="C69" s="7" t="inlineStr">
        <is>
          <t>S040</t>
        </is>
      </c>
      <c r="D69" s="6" t="inlineStr">
        <is>
          <t>Reports BJP setbacks and Congress gains in Rajasthan, Madhya Pradesh and Chhattisgarh under Gandhi’s presidency; also Congress losses in Mizoram and failure in Telangana.</t>
        </is>
      </c>
      <c r="E69" s="7" t="inlineStr">
        <is>
          <t>https://www.ndtv.com/india-news/election-results-2018-live-rajasthan-madhya-pradesh-telangana-chhattisgarh-mizoram-1960481</t>
        </is>
      </c>
      <c r="F69" s="6" t="inlineStr">
        <is>
          <t>Lead; lines 230–233</t>
        </is>
      </c>
      <c r="G69" s="6" t="inlineStr">
        <is>
          <t>Supports</t>
        </is>
      </c>
      <c r="H69" s="6" t="inlineStr">
        <is>
          <t>R040</t>
        </is>
      </c>
      <c r="I69" s="6" t="inlineStr">
        <is>
          <t>Codex: passage-to-statement review</t>
        </is>
      </c>
      <c r="J69" s="6" t="inlineStr">
        <is>
          <t>2026-09-24</t>
        </is>
      </c>
      <c r="K69" s="6" t="inlineStr">
        <is>
          <t>Read as combined support where a field has several sources. Attributed statements establish what was said, not the underlying allegation.</t>
        </is>
      </c>
    </row>
    <row r="70" ht="66" customHeight="1">
      <c r="A70" s="4" t="inlineStr">
        <is>
          <t>EV-0065</t>
        </is>
      </c>
      <c r="B70" s="5" t="inlineStr">
        <is>
          <t>C-T15-01</t>
        </is>
      </c>
      <c r="C70" s="5" t="inlineStr">
        <is>
          <t>S007</t>
        </is>
      </c>
      <c r="D70" s="4" t="inlineStr">
        <is>
          <t>Wayanad: Gandhi 706367 versus P.P. Suneer 274597; total votes 1092197; margin 431770. Amethi: Gandhi 413394 versus Smriti Irani 468514; total votes 942453; loss margin 55120.</t>
        </is>
      </c>
      <c r="E70" s="5" t="inlineStr">
        <is>
          <t>https://adrindia.org/sites/default/files/Analysis_of_Vote_Share_Margin_Of_Victory_Lok_Sabha__2019.pdf</t>
        </is>
      </c>
      <c r="F70" s="4" t="inlineStr">
        <is>
          <t>Printed pp.26 and 69; Wayanad and Amethi</t>
        </is>
      </c>
      <c r="G70" s="4" t="inlineStr">
        <is>
          <t>Supports</t>
        </is>
      </c>
      <c r="H70" s="4" t="inlineStr">
        <is>
          <t>R007</t>
        </is>
      </c>
      <c r="I70" s="4" t="inlineStr">
        <is>
          <t>Codex: passage-to-statement review</t>
        </is>
      </c>
      <c r="J70" s="4" t="inlineStr">
        <is>
          <t>2026-09-24</t>
        </is>
      </c>
      <c r="K70" s="4" t="inlineStr">
        <is>
          <t>Read as combined support where a field has several sources. Attributed statements establish what was said, not the underlying allegation.</t>
        </is>
      </c>
    </row>
    <row r="71" ht="80" customHeight="1">
      <c r="A71" s="6" t="inlineStr">
        <is>
          <t>EV-0066</t>
        </is>
      </c>
      <c r="B71" s="7" t="inlineStr">
        <is>
          <t>C-T15-01</t>
        </is>
      </c>
      <c r="C71" s="7" t="inlineStr">
        <is>
          <t>S014</t>
        </is>
      </c>
      <c r="D71" s="6" t="inlineStr">
        <is>
          <t>Letter public on 3 July; resignation offered 25 May. Gandhi accepted responsibility for the 2019 defeat. Congress won 52 seats. He called for accountability and said institutional neutrality had been weakened.</t>
        </is>
      </c>
      <c r="E71" s="7" t="inlineStr">
        <is>
          <t>https://www.ndtv.com/india-news/rahul-gandhis-open-letter-full-text-at-times-i-stood-completely-alone-2063455</t>
        </is>
      </c>
      <c r="F71" s="6" t="inlineStr">
        <is>
          <t>Resignation discussion; lines 225–248</t>
        </is>
      </c>
      <c r="G71" s="6" t="inlineStr">
        <is>
          <t>Supports</t>
        </is>
      </c>
      <c r="H71" s="6" t="inlineStr">
        <is>
          <t>R014</t>
        </is>
      </c>
      <c r="I71" s="6" t="inlineStr">
        <is>
          <t>Codex: passage-to-statement review</t>
        </is>
      </c>
      <c r="J71" s="6" t="inlineStr">
        <is>
          <t>2026-09-24</t>
        </is>
      </c>
      <c r="K71" s="6" t="inlineStr">
        <is>
          <t>Read as combined support where a field has several sources. Attributed statements establish what was said, not the underlying allegation.</t>
        </is>
      </c>
    </row>
    <row r="72" ht="80" customHeight="1">
      <c r="A72" s="4" t="inlineStr">
        <is>
          <t>EV-0067</t>
        </is>
      </c>
      <c r="B72" s="5" t="inlineStr">
        <is>
          <t>C-T16-01</t>
        </is>
      </c>
      <c r="C72" s="5" t="inlineStr">
        <is>
          <t>S014</t>
        </is>
      </c>
      <c r="D72" s="4" t="inlineStr">
        <is>
          <t>Letter public on 3 July; resignation offered 25 May. Gandhi accepted responsibility for the 2019 defeat. Congress won 52 seats. He called for accountability and said institutional neutrality had been weakened.</t>
        </is>
      </c>
      <c r="E72" s="5" t="inlineStr">
        <is>
          <t>https://www.ndtv.com/india-news/rahul-gandhis-open-letter-full-text-at-times-i-stood-completely-alone-2063455</t>
        </is>
      </c>
      <c r="F72" s="4" t="inlineStr">
        <is>
          <t>Resignation discussion; lines 225–248</t>
        </is>
      </c>
      <c r="G72" s="4" t="inlineStr">
        <is>
          <t>Supports</t>
        </is>
      </c>
      <c r="H72" s="4" t="inlineStr">
        <is>
          <t>R014</t>
        </is>
      </c>
      <c r="I72" s="4" t="inlineStr">
        <is>
          <t>Codex: passage-to-statement review</t>
        </is>
      </c>
      <c r="J72" s="4" t="inlineStr">
        <is>
          <t>2026-09-24</t>
        </is>
      </c>
      <c r="K72" s="4" t="inlineStr">
        <is>
          <t>Read as combined support where a field has several sources. Attributed statements establish what was said, not the underlying allegation.</t>
        </is>
      </c>
    </row>
    <row r="73" ht="80" customHeight="1">
      <c r="A73" s="6" t="inlineStr">
        <is>
          <t>EV-0068</t>
        </is>
      </c>
      <c r="B73" s="7" t="inlineStr">
        <is>
          <t>C-T16-02</t>
        </is>
      </c>
      <c r="C73" s="7" t="inlineStr">
        <is>
          <t>S014</t>
        </is>
      </c>
      <c r="D73" s="6" t="inlineStr">
        <is>
          <t>Letter public on 3 July; resignation offered 25 May. Gandhi accepted responsibility for the 2019 defeat. Congress won 52 seats. He called for accountability and said institutional neutrality had been weakened.</t>
        </is>
      </c>
      <c r="E73" s="7" t="inlineStr">
        <is>
          <t>https://www.ndtv.com/india-news/rahul-gandhis-open-letter-full-text-at-times-i-stood-completely-alone-2063455</t>
        </is>
      </c>
      <c r="F73" s="6" t="inlineStr">
        <is>
          <t>Resignation discussion; lines 225–248</t>
        </is>
      </c>
      <c r="G73" s="6" t="inlineStr">
        <is>
          <t>Supports</t>
        </is>
      </c>
      <c r="H73" s="6" t="inlineStr">
        <is>
          <t>R014</t>
        </is>
      </c>
      <c r="I73" s="6" t="inlineStr">
        <is>
          <t>Codex: passage-to-statement review</t>
        </is>
      </c>
      <c r="J73" s="6" t="inlineStr">
        <is>
          <t>2026-09-24</t>
        </is>
      </c>
      <c r="K73" s="6" t="inlineStr">
        <is>
          <t>Read as combined support where a field has several sources. Attributed statements establish what was said, not the underlying allegation.</t>
        </is>
      </c>
    </row>
    <row r="74" ht="80" customHeight="1">
      <c r="A74" s="4" t="inlineStr">
        <is>
          <t>EV-0069</t>
        </is>
      </c>
      <c r="B74" s="5" t="inlineStr">
        <is>
          <t>C-T17-01</t>
        </is>
      </c>
      <c r="C74" s="5" t="inlineStr">
        <is>
          <t>S029</t>
        </is>
      </c>
      <c r="D74" s="4" t="inlineStr">
        <is>
          <t>Court closed Meenakshi Lekhi’s contempt petition after Gandhi’s unconditional apology for falsely attributing his campaign slogan to the Court; cautioned him about future statements.</t>
        </is>
      </c>
      <c r="E74" s="5" t="inlineStr">
        <is>
          <t>https://indianexpress.com/article/india/rafale-case-sc-closes-defamation-case-against-rahul-gandhi-says-he-needs-to-be-more-careful/</t>
        </is>
      </c>
      <c r="F74" s="4" t="inlineStr">
        <is>
          <t>Disposition and response; lines 61–78</t>
        </is>
      </c>
      <c r="G74" s="4" t="inlineStr">
        <is>
          <t>Supports</t>
        </is>
      </c>
      <c r="H74" s="4" t="inlineStr">
        <is>
          <t>R029</t>
        </is>
      </c>
      <c r="I74" s="4" t="inlineStr">
        <is>
          <t>Codex: passage-to-statement review</t>
        </is>
      </c>
      <c r="J74" s="4" t="inlineStr">
        <is>
          <t>2026-09-24</t>
        </is>
      </c>
      <c r="K74" s="4" t="inlineStr">
        <is>
          <t>Read as combined support where a field has several sources. Attributed statements establish what was said, not the underlying allegation.</t>
        </is>
      </c>
    </row>
    <row r="75" ht="80" customHeight="1">
      <c r="A75" s="6" t="inlineStr">
        <is>
          <t>EV-0070</t>
        </is>
      </c>
      <c r="B75" s="7" t="inlineStr">
        <is>
          <t>C-T17-02</t>
        </is>
      </c>
      <c r="C75" s="7" t="inlineStr">
        <is>
          <t>S029</t>
        </is>
      </c>
      <c r="D75" s="6" t="inlineStr">
        <is>
          <t>Court closed Meenakshi Lekhi’s contempt petition after Gandhi’s unconditional apology for falsely attributing his campaign slogan to the Court; cautioned him about future statements.</t>
        </is>
      </c>
      <c r="E75" s="7" t="inlineStr">
        <is>
          <t>https://indianexpress.com/article/india/rafale-case-sc-closes-defamation-case-against-rahul-gandhi-says-he-needs-to-be-more-careful/</t>
        </is>
      </c>
      <c r="F75" s="6" t="inlineStr">
        <is>
          <t>Disposition and response; lines 61–78</t>
        </is>
      </c>
      <c r="G75" s="6" t="inlineStr">
        <is>
          <t>Supports</t>
        </is>
      </c>
      <c r="H75" s="6" t="inlineStr">
        <is>
          <t>R029</t>
        </is>
      </c>
      <c r="I75" s="6" t="inlineStr">
        <is>
          <t>Codex: passage-to-statement review</t>
        </is>
      </c>
      <c r="J75" s="6" t="inlineStr">
        <is>
          <t>2026-09-24</t>
        </is>
      </c>
      <c r="K75" s="6" t="inlineStr">
        <is>
          <t>Read as combined support where a field has several sources. Attributed statements establish what was said, not the underlying allegation.</t>
        </is>
      </c>
    </row>
    <row r="76" ht="66" customHeight="1">
      <c r="A76" s="4" t="inlineStr">
        <is>
          <t>EV-0071</t>
        </is>
      </c>
      <c r="B76" s="5" t="inlineStr">
        <is>
          <t>C-T18-01</t>
        </is>
      </c>
      <c r="C76" s="5" t="inlineStr">
        <is>
          <t>S015</t>
        </is>
      </c>
      <c r="D76" s="4" t="inlineStr">
        <is>
          <t>The march begun in Kanyakumari on 7 September 2022 concluded in Srinagar on 30 January 2023. Gandhi invoked family loss and nonviolence; described security advice against walking in Kashmir.</t>
        </is>
      </c>
      <c r="E76" s="5" t="inlineStr">
        <is>
          <t>https://indianexpress.com/article/political-pulse/rahul-modi-shah-doval-srinagar-bharat-jodo-yatra-8413548/</t>
        </is>
      </c>
      <c r="F76" s="4" t="inlineStr">
        <is>
          <t>Concluding rally; lines 19–36</t>
        </is>
      </c>
      <c r="G76" s="4" t="inlineStr">
        <is>
          <t>Supports</t>
        </is>
      </c>
      <c r="H76" s="4" t="inlineStr">
        <is>
          <t>R015</t>
        </is>
      </c>
      <c r="I76" s="4" t="inlineStr">
        <is>
          <t>Codex: passage-to-statement review</t>
        </is>
      </c>
      <c r="J76" s="4" t="inlineStr">
        <is>
          <t>2026-09-24</t>
        </is>
      </c>
      <c r="K76" s="4" t="inlineStr">
        <is>
          <t>Read as combined support where a field has several sources. Attributed statements establish what was said, not the underlying allegation.</t>
        </is>
      </c>
    </row>
    <row r="77" ht="80" customHeight="1">
      <c r="A77" s="6" t="inlineStr">
        <is>
          <t>EV-0072</t>
        </is>
      </c>
      <c r="B77" s="7" t="inlineStr">
        <is>
          <t>C-T19-01</t>
        </is>
      </c>
      <c r="C77" s="7" t="inlineStr">
        <is>
          <t>S010</t>
        </is>
      </c>
      <c r="D77" s="6" t="inlineStr">
        <is>
          <t>The Court stayed the conviction pending appeal, noting lack of reasons for the maximum two-year sentence and effects on voters. It also criticised the remarks and reserved the merits for the appellate court.</t>
        </is>
      </c>
      <c r="E77" s="7" t="inlineStr">
        <is>
          <t>https://api.sci.gov.in/supremecourt/2023/27941/27941_2023_4_55_45901_Order_04-Aug-2023.pdf</t>
        </is>
      </c>
      <c r="F77" s="6" t="inlineStr">
        <is>
          <t>Order paragraphs 4–11; pp.2–4</t>
        </is>
      </c>
      <c r="G77" s="6" t="inlineStr">
        <is>
          <t>Supports</t>
        </is>
      </c>
      <c r="H77" s="6" t="inlineStr">
        <is>
          <t>R010</t>
        </is>
      </c>
      <c r="I77" s="6" t="inlineStr">
        <is>
          <t>Codex: passage-to-statement review</t>
        </is>
      </c>
      <c r="J77" s="6" t="inlineStr">
        <is>
          <t>2026-09-24</t>
        </is>
      </c>
      <c r="K77" s="6" t="inlineStr">
        <is>
          <t>Read as combined support where a field has several sources. Attributed statements establish what was said, not the underlying allegation.</t>
        </is>
      </c>
    </row>
    <row r="78" ht="66" customHeight="1">
      <c r="A78" s="4" t="inlineStr">
        <is>
          <t>EV-0073</t>
        </is>
      </c>
      <c r="B78" s="5" t="inlineStr">
        <is>
          <t>C-T19-01</t>
        </is>
      </c>
      <c r="C78" s="5" t="inlineStr">
        <is>
          <t>S011</t>
        </is>
      </c>
      <c r="D78" s="4" t="inlineStr">
        <is>
          <t>Lok Sabha Secretariat restored membership on 7 August 2023 after the Supreme Court stay. Disqualification operated from 23 March 2023 following the conviction.</t>
        </is>
      </c>
      <c r="E78" s="5" t="inlineStr">
        <is>
          <t>https://indianexpress.com/article/political-pulse/rahul-gandhi-returns-mp-lok-sabha-supreme-court-8880307/</t>
        </is>
      </c>
      <c r="F78" s="4" t="inlineStr">
        <is>
          <t>Opening and closing paragraphs</t>
        </is>
      </c>
      <c r="G78" s="4" t="inlineStr">
        <is>
          <t>Supports</t>
        </is>
      </c>
      <c r="H78" s="4" t="inlineStr">
        <is>
          <t>R011</t>
        </is>
      </c>
      <c r="I78" s="4" t="inlineStr">
        <is>
          <t>Codex: passage-to-statement review</t>
        </is>
      </c>
      <c r="J78" s="4" t="inlineStr">
        <is>
          <t>2026-09-24</t>
        </is>
      </c>
      <c r="K78" s="4" t="inlineStr">
        <is>
          <t>Read as combined support where a field has several sources. Attributed statements establish what was said, not the underlying allegation.</t>
        </is>
      </c>
    </row>
    <row r="79" ht="80" customHeight="1">
      <c r="A79" s="6" t="inlineStr">
        <is>
          <t>EV-0074</t>
        </is>
      </c>
      <c r="B79" s="7" t="inlineStr">
        <is>
          <t>C-T20-01</t>
        </is>
      </c>
      <c r="C79" s="7" t="inlineStr">
        <is>
          <t>S004</t>
        </is>
      </c>
      <c r="D79" s="6" t="inlineStr">
        <is>
          <t>Born 19 June 1970 to Rajiv and Sonia Gandhi. Entered electoral politics in 2004; AICC general secretary from 24 September 2007; vice-president January 2013; president from 16 December 2017. Lists the 2022–23 and 2024 yatras.</t>
        </is>
      </c>
      <c r="E79" s="7" t="inlineStr">
        <is>
          <t>https://inc.in/leadership/past-party-presidents/shri-rahul-gandhi</t>
        </is>
      </c>
      <c r="F79" s="6" t="inlineStr">
        <is>
          <t>Family; Political journey; Presidency; Post-presidency</t>
        </is>
      </c>
      <c r="G79" s="6" t="inlineStr">
        <is>
          <t>Supports</t>
        </is>
      </c>
      <c r="H79" s="6" t="inlineStr">
        <is>
          <t>R004</t>
        </is>
      </c>
      <c r="I79" s="6" t="inlineStr">
        <is>
          <t>Codex: passage-to-statement review</t>
        </is>
      </c>
      <c r="J79" s="6" t="inlineStr">
        <is>
          <t>2026-09-24</t>
        </is>
      </c>
      <c r="K79" s="6" t="inlineStr">
        <is>
          <t>Read as combined support where a field has several sources. Attributed statements establish what was said, not the underlying allegation.</t>
        </is>
      </c>
    </row>
    <row r="80" ht="80" customHeight="1">
      <c r="A80" s="4" t="inlineStr">
        <is>
          <t>EV-0075</t>
        </is>
      </c>
      <c r="B80" s="5" t="inlineStr">
        <is>
          <t>C-T21-01</t>
        </is>
      </c>
      <c r="C80" s="5" t="inlineStr">
        <is>
          <t>S006</t>
        </is>
      </c>
      <c r="D80" s="4" t="inlineStr">
        <is>
          <t>Wayanad: Gandhi 647445, Annie Raja 283023, total counted including NOTA 1084653, total polled 1086459. Rae Bareli: Gandhi 687649, Dinesh Pratap Singh 297619, total polled 1039951.</t>
        </is>
      </c>
      <c r="E80" s="5" t="inlineStr">
        <is>
          <t>https://www.eci.gov.in/eci-backend/public/all_files/GE-2024-statistical-report/33-Constituency-Wise-Detailed-Result.pdf</t>
        </is>
      </c>
      <c r="F80" s="4" t="inlineStr">
        <is>
          <t>Printed pp.165 and 444; Wayanad and Rae Bareli</t>
        </is>
      </c>
      <c r="G80" s="4" t="inlineStr">
        <is>
          <t>Supports</t>
        </is>
      </c>
      <c r="H80" s="4" t="inlineStr">
        <is>
          <t>R006</t>
        </is>
      </c>
      <c r="I80" s="4" t="inlineStr">
        <is>
          <t>Codex: passage-to-statement review</t>
        </is>
      </c>
      <c r="J80" s="4" t="inlineStr">
        <is>
          <t>2026-09-24</t>
        </is>
      </c>
      <c r="K80" s="4" t="inlineStr">
        <is>
          <t>Read as combined support where a field has several sources. Attributed statements establish what was said, not the underlying allegation.</t>
        </is>
      </c>
    </row>
    <row r="81" ht="66" customHeight="1">
      <c r="A81" s="6" t="inlineStr">
        <is>
          <t>EV-0076</t>
        </is>
      </c>
      <c r="B81" s="7" t="inlineStr">
        <is>
          <t>C-T21-01</t>
        </is>
      </c>
      <c r="C81" s="7" t="inlineStr">
        <is>
          <t>S043</t>
        </is>
      </c>
      <c r="D81" s="6" t="inlineStr">
        <is>
          <t>Speaker accepted resignation from Wayanad effective 18 June 2024. Gandhi retained Rae Bareli; Congress nominated Priyanka for the coming Wayanad by-election.</t>
        </is>
      </c>
      <c r="E81" s="7" t="inlineStr">
        <is>
          <t>https://www.ndtv.com/india-news/rahul-gandhi-resigns-from-wayanad-seat-retains-raebareli-5918402</t>
        </is>
      </c>
      <c r="F81" s="6" t="inlineStr">
        <is>
          <t>Lok Sabha bulletin reproduction; lines 231–241</t>
        </is>
      </c>
      <c r="G81" s="6" t="inlineStr">
        <is>
          <t>Supports</t>
        </is>
      </c>
      <c r="H81" s="6" t="inlineStr">
        <is>
          <t>R043</t>
        </is>
      </c>
      <c r="I81" s="6" t="inlineStr">
        <is>
          <t>Codex: passage-to-statement review</t>
        </is>
      </c>
      <c r="J81" s="6" t="inlineStr">
        <is>
          <t>2026-09-24</t>
        </is>
      </c>
      <c r="K81" s="6" t="inlineStr">
        <is>
          <t>Read as combined support where a field has several sources. Attributed statements establish what was said, not the underlying allegation.</t>
        </is>
      </c>
    </row>
    <row r="82" ht="66" customHeight="1">
      <c r="A82" s="4" t="inlineStr">
        <is>
          <t>EV-0077</t>
        </is>
      </c>
      <c r="B82" s="5" t="inlineStr">
        <is>
          <t>C-T22-01</t>
        </is>
      </c>
      <c r="C82" s="5" t="inlineStr">
        <is>
          <t>S002</t>
        </is>
      </c>
      <c r="D82" s="4" t="inlineStr">
        <is>
          <t>Rahul Gandhi is listed as the present Leader of Opposition, with tenure beginning 9 June 2024.</t>
        </is>
      </c>
      <c r="E82" s="5" t="inlineStr">
        <is>
          <t>https://sansad.in/ls/about/leader-of-opposition</t>
        </is>
      </c>
      <c r="F82" s="4" t="inlineStr">
        <is>
          <t>Present leader; lines 23–31</t>
        </is>
      </c>
      <c r="G82" s="4" t="inlineStr">
        <is>
          <t>Supports</t>
        </is>
      </c>
      <c r="H82" s="4" t="inlineStr">
        <is>
          <t>R002</t>
        </is>
      </c>
      <c r="I82" s="4" t="inlineStr">
        <is>
          <t>Codex: passage-to-statement review</t>
        </is>
      </c>
      <c r="J82" s="4" t="inlineStr">
        <is>
          <t>2026-09-24</t>
        </is>
      </c>
      <c r="K82" s="4" t="inlineStr">
        <is>
          <t>Read as combined support where a field has several sources. Attributed statements establish what was said, not the underlying allegation.</t>
        </is>
      </c>
    </row>
    <row r="83" ht="66" customHeight="1">
      <c r="A83" s="6" t="inlineStr">
        <is>
          <t>EV-0078</t>
        </is>
      </c>
      <c r="B83" s="7" t="inlineStr">
        <is>
          <t>C-T22-02</t>
        </is>
      </c>
      <c r="C83" s="7" t="inlineStr">
        <is>
          <t>S002</t>
        </is>
      </c>
      <c r="D83" s="6" t="inlineStr">
        <is>
          <t>Rahul Gandhi is listed as the present Leader of Opposition, with tenure beginning 9 June 2024.</t>
        </is>
      </c>
      <c r="E83" s="7" t="inlineStr">
        <is>
          <t>https://sansad.in/ls/about/leader-of-opposition</t>
        </is>
      </c>
      <c r="F83" s="6" t="inlineStr">
        <is>
          <t>Present leader; lines 23–31</t>
        </is>
      </c>
      <c r="G83" s="6" t="inlineStr">
        <is>
          <t>Supports</t>
        </is>
      </c>
      <c r="H83" s="6" t="inlineStr">
        <is>
          <t>R002</t>
        </is>
      </c>
      <c r="I83" s="6" t="inlineStr">
        <is>
          <t>Codex: passage-to-statement review</t>
        </is>
      </c>
      <c r="J83" s="6" t="inlineStr">
        <is>
          <t>2026-09-24</t>
        </is>
      </c>
      <c r="K83" s="6" t="inlineStr">
        <is>
          <t>Read as combined support where a field has several sources. Attributed statements establish what was said, not the underlying allegation.</t>
        </is>
      </c>
    </row>
    <row r="84" ht="66" customHeight="1">
      <c r="A84" s="4" t="inlineStr">
        <is>
          <t>EV-0079</t>
        </is>
      </c>
      <c r="B84" s="5" t="inlineStr">
        <is>
          <t>C-T23-01</t>
        </is>
      </c>
      <c r="C84" s="5" t="inlineStr">
        <is>
          <t>S035</t>
        </is>
      </c>
      <c r="D84" s="4" t="inlineStr">
        <is>
          <t>Gandhi supported the government’s caste-enumeration decision, sought funding and a timeline, and repeated the demand to lift the reservation cap. Government criticised Congress’s earlier record.</t>
        </is>
      </c>
      <c r="E84" s="5" t="inlineStr">
        <is>
          <t>https://indianexpress.com/article/india/rahul-gandhi-caste-census-population-congress-centre-cabinet-9975117/</t>
        </is>
      </c>
      <c r="F84" s="4" t="inlineStr">
        <is>
          <t>Government decision and reactions; lines 20–40</t>
        </is>
      </c>
      <c r="G84" s="4" t="inlineStr">
        <is>
          <t>Supports</t>
        </is>
      </c>
      <c r="H84" s="4" t="inlineStr">
        <is>
          <t>R035</t>
        </is>
      </c>
      <c r="I84" s="4" t="inlineStr">
        <is>
          <t>Codex: passage-to-statement review</t>
        </is>
      </c>
      <c r="J84" s="4" t="inlineStr">
        <is>
          <t>2026-09-24</t>
        </is>
      </c>
      <c r="K84" s="4" t="inlineStr">
        <is>
          <t>Read as combined support where a field has several sources. Attributed statements establish what was said, not the underlying allegation.</t>
        </is>
      </c>
    </row>
    <row r="85" ht="66" customHeight="1">
      <c r="A85" s="6" t="inlineStr">
        <is>
          <t>EV-0080</t>
        </is>
      </c>
      <c r="B85" s="7" t="inlineStr">
        <is>
          <t>C-T23-01</t>
        </is>
      </c>
      <c r="C85" s="7" t="inlineStr">
        <is>
          <t>S036</t>
        </is>
      </c>
      <c r="D85" s="6" t="inlineStr">
        <is>
          <t>Home Ministry reports CCPA decision to include caste enumeration in the forthcoming census. Amit Shah attributes it to the Modi government and criticises Congress.</t>
        </is>
      </c>
      <c r="E85" s="7" t="inlineStr">
        <is>
          <t>https://www.pib.gov.in/PressReleasePage.aspx?PRID=2125576</t>
        </is>
      </c>
      <c r="F85" s="6" t="inlineStr">
        <is>
          <t>Release 2125576; lines 20–25</t>
        </is>
      </c>
      <c r="G85" s="6" t="inlineStr">
        <is>
          <t>Supports</t>
        </is>
      </c>
      <c r="H85" s="6" t="inlineStr">
        <is>
          <t>R036</t>
        </is>
      </c>
      <c r="I85" s="6" t="inlineStr">
        <is>
          <t>Codex: passage-to-statement review</t>
        </is>
      </c>
      <c r="J85" s="6" t="inlineStr">
        <is>
          <t>2026-09-24</t>
        </is>
      </c>
      <c r="K85" s="6" t="inlineStr">
        <is>
          <t>Read as combined support where a field has several sources. Attributed statements establish what was said, not the underlying allegation.</t>
        </is>
      </c>
    </row>
    <row r="86" ht="66" customHeight="1">
      <c r="A86" s="4" t="inlineStr">
        <is>
          <t>EV-0081</t>
        </is>
      </c>
      <c r="B86" s="5" t="inlineStr">
        <is>
          <t>C-T23-02</t>
        </is>
      </c>
      <c r="C86" s="5" t="inlineStr">
        <is>
          <t>S035</t>
        </is>
      </c>
      <c r="D86" s="4" t="inlineStr">
        <is>
          <t>Gandhi supported the government’s caste-enumeration decision, sought funding and a timeline, and repeated the demand to lift the reservation cap. Government criticised Congress’s earlier record.</t>
        </is>
      </c>
      <c r="E86" s="5" t="inlineStr">
        <is>
          <t>https://indianexpress.com/article/india/rahul-gandhi-caste-census-population-congress-centre-cabinet-9975117/</t>
        </is>
      </c>
      <c r="F86" s="4" t="inlineStr">
        <is>
          <t>Government decision and reactions; lines 20–40</t>
        </is>
      </c>
      <c r="G86" s="4" t="inlineStr">
        <is>
          <t>Supports</t>
        </is>
      </c>
      <c r="H86" s="4" t="inlineStr">
        <is>
          <t>R035</t>
        </is>
      </c>
      <c r="I86" s="4" t="inlineStr">
        <is>
          <t>Codex: passage-to-statement review</t>
        </is>
      </c>
      <c r="J86" s="4" t="inlineStr">
        <is>
          <t>2026-09-24</t>
        </is>
      </c>
      <c r="K86" s="4" t="inlineStr">
        <is>
          <t>Read as combined support where a field has several sources. Attributed statements establish what was said, not the underlying allegation.</t>
        </is>
      </c>
    </row>
    <row r="87" ht="66" customHeight="1">
      <c r="A87" s="6" t="inlineStr">
        <is>
          <t>EV-0082</t>
        </is>
      </c>
      <c r="B87" s="7" t="inlineStr">
        <is>
          <t>C-T23-02</t>
        </is>
      </c>
      <c r="C87" s="7" t="inlineStr">
        <is>
          <t>S036</t>
        </is>
      </c>
      <c r="D87" s="6" t="inlineStr">
        <is>
          <t>Home Ministry reports CCPA decision to include caste enumeration in the forthcoming census. Amit Shah attributes it to the Modi government and criticises Congress.</t>
        </is>
      </c>
      <c r="E87" s="7" t="inlineStr">
        <is>
          <t>https://www.pib.gov.in/PressReleasePage.aspx?PRID=2125576</t>
        </is>
      </c>
      <c r="F87" s="6" t="inlineStr">
        <is>
          <t>Release 2125576; lines 20–25</t>
        </is>
      </c>
      <c r="G87" s="6" t="inlineStr">
        <is>
          <t>Supports</t>
        </is>
      </c>
      <c r="H87" s="6" t="inlineStr">
        <is>
          <t>R036</t>
        </is>
      </c>
      <c r="I87" s="6" t="inlineStr">
        <is>
          <t>Codex: passage-to-statement review</t>
        </is>
      </c>
      <c r="J87" s="6" t="inlineStr">
        <is>
          <t>2026-09-24</t>
        </is>
      </c>
      <c r="K87" s="6" t="inlineStr">
        <is>
          <t>Read as combined support where a field has several sources. Attributed statements establish what was said, not the underlying allegation.</t>
        </is>
      </c>
    </row>
    <row r="88" ht="80" customHeight="1">
      <c r="A88" s="4" t="inlineStr">
        <is>
          <t>EV-0083</t>
        </is>
      </c>
      <c r="B88" s="5" t="inlineStr">
        <is>
          <t>C-T24-01</t>
        </is>
      </c>
      <c r="C88" s="5" t="inlineStr">
        <is>
          <t>S026</t>
        </is>
      </c>
      <c r="D88" s="4" t="inlineStr">
        <is>
          <t>Congress won 6 of 61 seats contested in Bihar in 2025. Interviewed losing candidates criticised organisation, nominations, war rooms, alliance coordination and the voter-rights campaign.</t>
        </is>
      </c>
      <c r="E88" s="5" t="inlineStr">
        <is>
          <t>https://indianexpress.com/article/political-pulse/congress-camps-bihar-post-mortem-rahul-yatra-fiasco-allavaru-problem-weak-structure-10375553/</t>
        </is>
      </c>
      <c r="F88" s="4" t="inlineStr">
        <is>
          <t>Opening; interviews with ten losing candidates; lines 17–52</t>
        </is>
      </c>
      <c r="G88" s="4" t="inlineStr">
        <is>
          <t>Supports</t>
        </is>
      </c>
      <c r="H88" s="4" t="inlineStr">
        <is>
          <t>R026</t>
        </is>
      </c>
      <c r="I88" s="4" t="inlineStr">
        <is>
          <t>Codex: passage-to-statement review</t>
        </is>
      </c>
      <c r="J88" s="4" t="inlineStr">
        <is>
          <t>2026-09-24</t>
        </is>
      </c>
      <c r="K88" s="4" t="inlineStr">
        <is>
          <t>Read as combined support where a field has several sources. Attributed statements establish what was said, not the underlying allegation.</t>
        </is>
      </c>
    </row>
    <row r="89" ht="80" customHeight="1">
      <c r="A89" s="6" t="inlineStr">
        <is>
          <t>EV-0084</t>
        </is>
      </c>
      <c r="B89" s="7" t="inlineStr">
        <is>
          <t>C-T24-01</t>
        </is>
      </c>
      <c r="C89" s="7" t="inlineStr">
        <is>
          <t>S027</t>
        </is>
      </c>
      <c r="D89" s="6" t="inlineStr">
        <is>
          <t>Unnamed meeting participants said Gandhi accepted shared responsibility while questioning whether organisation alone explained allied parties’ losses. Congress publicly alleged roll-revision malpractice.</t>
        </is>
      </c>
      <c r="E89" s="7" t="inlineStr">
        <is>
          <t>https://indianexpress.com/article/political-pulse/rahul-equallyresponsible-bihar-loss-poll-review-10390484/</t>
        </is>
      </c>
      <c r="F89" s="6" t="inlineStr">
        <is>
          <t>Review meeting; lines 18–27</t>
        </is>
      </c>
      <c r="G89" s="6" t="inlineStr">
        <is>
          <t>Supports</t>
        </is>
      </c>
      <c r="H89" s="6" t="inlineStr">
        <is>
          <t>R027</t>
        </is>
      </c>
      <c r="I89" s="6" t="inlineStr">
        <is>
          <t>Codex: passage-to-statement review</t>
        </is>
      </c>
      <c r="J89" s="6" t="inlineStr">
        <is>
          <t>2026-09-24</t>
        </is>
      </c>
      <c r="K89" s="6" t="inlineStr">
        <is>
          <t>Read as combined support where a field has several sources. Attributed statements establish what was said, not the underlying allegation.</t>
        </is>
      </c>
    </row>
    <row r="90" ht="94" customHeight="1">
      <c r="A90" s="4" t="inlineStr">
        <is>
          <t>EV-0085</t>
        </is>
      </c>
      <c r="B90" s="5" t="inlineStr">
        <is>
          <t>C-T25-01</t>
        </is>
      </c>
      <c r="C90" s="5" t="inlineStr">
        <is>
          <t>S013</t>
        </is>
      </c>
      <c r="D90" s="4" t="inlineStr">
        <is>
          <t>ED prosecution complaint filed 15 April 2025; trial court refused cognisance 16 December 2025; ED challenged on 17 December. High Court hearing on 22 September 2026 was adjourned to 12 October. Gandhis contest jurisdiction.</t>
        </is>
      </c>
      <c r="E90" s="5" t="inlineStr">
        <is>
          <t>https://www.barandbench.com/news/only-case-where-ed-proceeded-on-private-complaint-sonia-and-rahul-gandhi-to-delhi-high-court-on-national-herald-case</t>
        </is>
      </c>
      <c r="F90" s="4" t="inlineStr">
        <is>
          <t>Paragraphs describing complaint, orders and adjournment; lines 48–73</t>
        </is>
      </c>
      <c r="G90" s="4" t="inlineStr">
        <is>
          <t>Supports</t>
        </is>
      </c>
      <c r="H90" s="4" t="inlineStr">
        <is>
          <t>R013</t>
        </is>
      </c>
      <c r="I90" s="4" t="inlineStr">
        <is>
          <t>Codex: passage-to-statement review</t>
        </is>
      </c>
      <c r="J90" s="4" t="inlineStr">
        <is>
          <t>2026-09-24</t>
        </is>
      </c>
      <c r="K90" s="4" t="inlineStr">
        <is>
          <t>Read as combined support where a field has several sources. Attributed statements establish what was said, not the underlying allegation.</t>
        </is>
      </c>
    </row>
    <row r="91" ht="94" customHeight="1">
      <c r="A91" s="6" t="inlineStr">
        <is>
          <t>EV-0086</t>
        </is>
      </c>
      <c r="B91" s="7" t="inlineStr">
        <is>
          <t>C-T25-01</t>
        </is>
      </c>
      <c r="C91" s="7" t="inlineStr">
        <is>
          <t>S030</t>
        </is>
      </c>
      <c r="D91" s="6" t="inlineStr">
        <is>
          <t>Gandhi alleged widespread election rigging and demanded accountability. ECI said internal notes were routine scrutiny and final decisions were unanimous and legally grounded.</t>
        </is>
      </c>
      <c r="E91" s="7" t="inlineStr">
        <is>
          <t>https://timesofindia.indiatimes.com/india/rahul-gandhi-press-conference-on-ec-gyanesh-kumar-resignation-sir-congress-vote-chori-election-bjp/articleshow/134457370.cms</t>
        </is>
      </c>
      <c r="F91" s="6" t="inlineStr">
        <is>
          <t>Press conference and ECI response; lines 150–156,183</t>
        </is>
      </c>
      <c r="G91" s="6" t="inlineStr">
        <is>
          <t>Supports</t>
        </is>
      </c>
      <c r="H91" s="6" t="inlineStr">
        <is>
          <t>R030</t>
        </is>
      </c>
      <c r="I91" s="6" t="inlineStr">
        <is>
          <t>Codex: passage-to-statement review</t>
        </is>
      </c>
      <c r="J91" s="6" t="inlineStr">
        <is>
          <t>2026-09-24</t>
        </is>
      </c>
      <c r="K91" s="6" t="inlineStr">
        <is>
          <t>Read as combined support where a field has several sources. Attributed statements establish what was said, not the underlying allegation.</t>
        </is>
      </c>
    </row>
    <row r="92" ht="66" customHeight="1">
      <c r="A92" s="4" t="inlineStr">
        <is>
          <t>EV-0087</t>
        </is>
      </c>
      <c r="B92" s="5" t="inlineStr">
        <is>
          <t>C-EL01-01</t>
        </is>
      </c>
      <c r="C92" s="5" t="inlineStr">
        <is>
          <t>S009</t>
        </is>
      </c>
      <c r="D92" s="4" t="inlineStr">
        <is>
          <t>Rahul Gandhi, INC, won Amethi with 390179 votes against Chandra Parkash Mishra Matiyari, BSP, 99326.</t>
        </is>
      </c>
      <c r="E92" s="5" t="inlineStr">
        <is>
          <t>https://www.elections.in/parliamentary-constituencies/2004-election-results.html</t>
        </is>
      </c>
      <c r="F92" s="4" t="inlineStr">
        <is>
          <t>Uttar Pradesh, constituency 21 Amethi; line 545</t>
        </is>
      </c>
      <c r="G92" s="4" t="inlineStr">
        <is>
          <t>Supports</t>
        </is>
      </c>
      <c r="H92" s="4" t="inlineStr">
        <is>
          <t>R009</t>
        </is>
      </c>
      <c r="I92" s="4" t="inlineStr">
        <is>
          <t>Codex: passage-to-statement review</t>
        </is>
      </c>
      <c r="J92" s="4" t="inlineStr">
        <is>
          <t>2026-09-24</t>
        </is>
      </c>
      <c r="K92" s="4" t="inlineStr">
        <is>
          <t>Read as combined support where a field has several sources. Attributed statements establish what was said, not the underlying allegation.</t>
        </is>
      </c>
    </row>
    <row r="93" ht="66" customHeight="1">
      <c r="A93" s="6" t="inlineStr">
        <is>
          <t>EV-0088</t>
        </is>
      </c>
      <c r="B93" s="7" t="inlineStr">
        <is>
          <t>C-EL01-02</t>
        </is>
      </c>
      <c r="C93" s="7" t="inlineStr">
        <is>
          <t>S009</t>
        </is>
      </c>
      <c r="D93" s="6" t="inlineStr">
        <is>
          <t>Rahul Gandhi, INC, won Amethi with 390179 votes against Chandra Parkash Mishra Matiyari, BSP, 99326.</t>
        </is>
      </c>
      <c r="E93" s="7" t="inlineStr">
        <is>
          <t>https://www.elections.in/parliamentary-constituencies/2004-election-results.html</t>
        </is>
      </c>
      <c r="F93" s="6" t="inlineStr">
        <is>
          <t>Uttar Pradesh, constituency 21 Amethi; line 545</t>
        </is>
      </c>
      <c r="G93" s="6" t="inlineStr">
        <is>
          <t>Supports</t>
        </is>
      </c>
      <c r="H93" s="6" t="inlineStr">
        <is>
          <t>R009</t>
        </is>
      </c>
      <c r="I93" s="6" t="inlineStr">
        <is>
          <t>Codex: passage-to-statement review</t>
        </is>
      </c>
      <c r="J93" s="6" t="inlineStr">
        <is>
          <t>2026-09-24</t>
        </is>
      </c>
      <c r="K93" s="6" t="inlineStr">
        <is>
          <t>Read as combined support where a field has several sources. Attributed statements establish what was said, not the underlying allegation.</t>
        </is>
      </c>
    </row>
    <row r="94" ht="66" customHeight="1">
      <c r="A94" s="4" t="inlineStr">
        <is>
          <t>EV-0089</t>
        </is>
      </c>
      <c r="B94" s="5" t="inlineStr">
        <is>
          <t>C-EL01-03</t>
        </is>
      </c>
      <c r="C94" s="5" t="inlineStr">
        <is>
          <t>S009</t>
        </is>
      </c>
      <c r="D94" s="4" t="inlineStr">
        <is>
          <t>Rahul Gandhi, INC, won Amethi with 390179 votes against Chandra Parkash Mishra Matiyari, BSP, 99326.</t>
        </is>
      </c>
      <c r="E94" s="5" t="inlineStr">
        <is>
          <t>https://www.elections.in/parliamentary-constituencies/2004-election-results.html</t>
        </is>
      </c>
      <c r="F94" s="4" t="inlineStr">
        <is>
          <t>Uttar Pradesh, constituency 21 Amethi; line 545</t>
        </is>
      </c>
      <c r="G94" s="4" t="inlineStr">
        <is>
          <t>Supports</t>
        </is>
      </c>
      <c r="H94" s="4" t="inlineStr">
        <is>
          <t>R009</t>
        </is>
      </c>
      <c r="I94" s="4" t="inlineStr">
        <is>
          <t>Codex: passage-to-statement review</t>
        </is>
      </c>
      <c r="J94" s="4" t="inlineStr">
        <is>
          <t>2026-09-24</t>
        </is>
      </c>
      <c r="K94" s="4" t="inlineStr">
        <is>
          <t>Read as combined support where a field has several sources. Attributed statements establish what was said, not the underlying allegation.</t>
        </is>
      </c>
    </row>
    <row r="95" ht="66" customHeight="1">
      <c r="A95" s="6" t="inlineStr">
        <is>
          <t>EV-0090</t>
        </is>
      </c>
      <c r="B95" s="7" t="inlineStr">
        <is>
          <t>C-EL01-04</t>
        </is>
      </c>
      <c r="C95" s="7" t="inlineStr">
        <is>
          <t>S009</t>
        </is>
      </c>
      <c r="D95" s="6" t="inlineStr">
        <is>
          <t>Rahul Gandhi, INC, won Amethi with 390179 votes against Chandra Parkash Mishra Matiyari, BSP, 99326.</t>
        </is>
      </c>
      <c r="E95" s="7" t="inlineStr">
        <is>
          <t>https://www.elections.in/parliamentary-constituencies/2004-election-results.html</t>
        </is>
      </c>
      <c r="F95" s="6" t="inlineStr">
        <is>
          <t>Uttar Pradesh, constituency 21 Amethi; line 545</t>
        </is>
      </c>
      <c r="G95" s="6" t="inlineStr">
        <is>
          <t>Supports</t>
        </is>
      </c>
      <c r="H95" s="6" t="inlineStr">
        <is>
          <t>R009</t>
        </is>
      </c>
      <c r="I95" s="6" t="inlineStr">
        <is>
          <t>Codex: passage-to-statement review</t>
        </is>
      </c>
      <c r="J95" s="6" t="inlineStr">
        <is>
          <t>2026-09-24</t>
        </is>
      </c>
      <c r="K95" s="6" t="inlineStr">
        <is>
          <t>Read as combined support where a field has several sources. Attributed statements establish what was said, not the underlying allegation.</t>
        </is>
      </c>
    </row>
    <row r="96" ht="66" customHeight="1">
      <c r="A96" s="4" t="inlineStr">
        <is>
          <t>EV-0091</t>
        </is>
      </c>
      <c r="B96" s="5" t="inlineStr">
        <is>
          <t>C-EL01-05</t>
        </is>
      </c>
      <c r="C96" s="5" t="inlineStr">
        <is>
          <t>S009</t>
        </is>
      </c>
      <c r="D96" s="4" t="inlineStr">
        <is>
          <t>Rahul Gandhi, INC, won Amethi with 390179 votes against Chandra Parkash Mishra Matiyari, BSP, 99326.</t>
        </is>
      </c>
      <c r="E96" s="5" t="inlineStr">
        <is>
          <t>https://www.elections.in/parliamentary-constituencies/2004-election-results.html</t>
        </is>
      </c>
      <c r="F96" s="4" t="inlineStr">
        <is>
          <t>Uttar Pradesh, constituency 21 Amethi; line 545</t>
        </is>
      </c>
      <c r="G96" s="4" t="inlineStr">
        <is>
          <t>Supports</t>
        </is>
      </c>
      <c r="H96" s="4" t="inlineStr">
        <is>
          <t>R009</t>
        </is>
      </c>
      <c r="I96" s="4" t="inlineStr">
        <is>
          <t>Codex: passage-to-statement review</t>
        </is>
      </c>
      <c r="J96" s="4" t="inlineStr">
        <is>
          <t>2026-09-24</t>
        </is>
      </c>
      <c r="K96" s="4" t="inlineStr">
        <is>
          <t>Read as combined support where a field has several sources. Attributed statements establish what was said, not the underlying allegation.</t>
        </is>
      </c>
    </row>
    <row r="97" ht="80" customHeight="1">
      <c r="A97" s="6" t="inlineStr">
        <is>
          <t>EV-0092</t>
        </is>
      </c>
      <c r="B97" s="7" t="inlineStr">
        <is>
          <t>C-EL02-01</t>
        </is>
      </c>
      <c r="C97" s="7" t="inlineStr">
        <is>
          <t>S008</t>
        </is>
      </c>
      <c r="D97" s="6" t="inlineStr">
        <is>
          <t>2009: Gandhi 464195, Asheesh Shukla 93997, 71.78%. 2014: Gandhi 408651, Smriti Irani 300748.</t>
        </is>
      </c>
      <c r="E97" s="7" t="inlineStr">
        <is>
          <t>https://www.moneycontrol.com/elections/lok-sabha-election/uttar-pradesh/constituencies/amethi-constituency-s24led2008p037/</t>
        </is>
      </c>
      <c r="F97" s="6" t="inlineStr">
        <is>
          <t>Past election results; lines 459–466 and 510–520</t>
        </is>
      </c>
      <c r="G97" s="6" t="inlineStr">
        <is>
          <t>Supports</t>
        </is>
      </c>
      <c r="H97" s="6" t="inlineStr">
        <is>
          <t>R008</t>
        </is>
      </c>
      <c r="I97" s="6" t="inlineStr">
        <is>
          <t>Codex: passage-to-statement review</t>
        </is>
      </c>
      <c r="J97" s="6" t="inlineStr">
        <is>
          <t>2026-09-24</t>
        </is>
      </c>
      <c r="K97" s="6" t="inlineStr">
        <is>
          <t>Read as combined support where a field has several sources. Attributed statements establish what was said, not the underlying allegation.</t>
        </is>
      </c>
    </row>
    <row r="98" ht="80" customHeight="1">
      <c r="A98" s="4" t="inlineStr">
        <is>
          <t>EV-0093</t>
        </is>
      </c>
      <c r="B98" s="5" t="inlineStr">
        <is>
          <t>C-EL02-02</t>
        </is>
      </c>
      <c r="C98" s="5" t="inlineStr">
        <is>
          <t>S008</t>
        </is>
      </c>
      <c r="D98" s="4" t="inlineStr">
        <is>
          <t>2009: Gandhi 464195, Asheesh Shukla 93997, 71.78%. 2014: Gandhi 408651, Smriti Irani 300748.</t>
        </is>
      </c>
      <c r="E98" s="5" t="inlineStr">
        <is>
          <t>https://www.moneycontrol.com/elections/lok-sabha-election/uttar-pradesh/constituencies/amethi-constituency-s24led2008p037/</t>
        </is>
      </c>
      <c r="F98" s="4" t="inlineStr">
        <is>
          <t>Past election results; lines 459–466 and 510–520</t>
        </is>
      </c>
      <c r="G98" s="4" t="inlineStr">
        <is>
          <t>Supports</t>
        </is>
      </c>
      <c r="H98" s="4" t="inlineStr">
        <is>
          <t>R008</t>
        </is>
      </c>
      <c r="I98" s="4" t="inlineStr">
        <is>
          <t>Codex: passage-to-statement review</t>
        </is>
      </c>
      <c r="J98" s="4" t="inlineStr">
        <is>
          <t>2026-09-24</t>
        </is>
      </c>
      <c r="K98" s="4" t="inlineStr">
        <is>
          <t>Read as combined support where a field has several sources. Attributed statements establish what was said, not the underlying allegation.</t>
        </is>
      </c>
    </row>
    <row r="99" ht="80" customHeight="1">
      <c r="A99" s="6" t="inlineStr">
        <is>
          <t>EV-0094</t>
        </is>
      </c>
      <c r="B99" s="7" t="inlineStr">
        <is>
          <t>C-EL02-03</t>
        </is>
      </c>
      <c r="C99" s="7" t="inlineStr">
        <is>
          <t>S008</t>
        </is>
      </c>
      <c r="D99" s="6" t="inlineStr">
        <is>
          <t>2009: Gandhi 464195, Asheesh Shukla 93997, 71.78%. 2014: Gandhi 408651, Smriti Irani 300748.</t>
        </is>
      </c>
      <c r="E99" s="7" t="inlineStr">
        <is>
          <t>https://www.moneycontrol.com/elections/lok-sabha-election/uttar-pradesh/constituencies/amethi-constituency-s24led2008p037/</t>
        </is>
      </c>
      <c r="F99" s="6" t="inlineStr">
        <is>
          <t>Past election results; lines 459–466 and 510–520</t>
        </is>
      </c>
      <c r="G99" s="6" t="inlineStr">
        <is>
          <t>Supports</t>
        </is>
      </c>
      <c r="H99" s="6" t="inlineStr">
        <is>
          <t>R008</t>
        </is>
      </c>
      <c r="I99" s="6" t="inlineStr">
        <is>
          <t>Codex: passage-to-statement review</t>
        </is>
      </c>
      <c r="J99" s="6" t="inlineStr">
        <is>
          <t>2026-09-24</t>
        </is>
      </c>
      <c r="K99" s="6" t="inlineStr">
        <is>
          <t>Read as combined support where a field has several sources. Attributed statements establish what was said, not the underlying allegation.</t>
        </is>
      </c>
    </row>
    <row r="100" ht="80" customHeight="1">
      <c r="A100" s="4" t="inlineStr">
        <is>
          <t>EV-0095</t>
        </is>
      </c>
      <c r="B100" s="5" t="inlineStr">
        <is>
          <t>C-EL02-04</t>
        </is>
      </c>
      <c r="C100" s="5" t="inlineStr">
        <is>
          <t>S008</t>
        </is>
      </c>
      <c r="D100" s="4" t="inlineStr">
        <is>
          <t>2009: Gandhi 464195, Asheesh Shukla 93997, 71.78%. 2014: Gandhi 408651, Smriti Irani 300748.</t>
        </is>
      </c>
      <c r="E100" s="5" t="inlineStr">
        <is>
          <t>https://www.moneycontrol.com/elections/lok-sabha-election/uttar-pradesh/constituencies/amethi-constituency-s24led2008p037/</t>
        </is>
      </c>
      <c r="F100" s="4" t="inlineStr">
        <is>
          <t>Past election results; lines 459–466 and 510–520</t>
        </is>
      </c>
      <c r="G100" s="4" t="inlineStr">
        <is>
          <t>Supports</t>
        </is>
      </c>
      <c r="H100" s="4" t="inlineStr">
        <is>
          <t>R008</t>
        </is>
      </c>
      <c r="I100" s="4" t="inlineStr">
        <is>
          <t>Codex: passage-to-statement review</t>
        </is>
      </c>
      <c r="J100" s="4" t="inlineStr">
        <is>
          <t>2026-09-24</t>
        </is>
      </c>
      <c r="K100" s="4" t="inlineStr">
        <is>
          <t>Read as combined support where a field has several sources. Attributed statements establish what was said, not the underlying allegation.</t>
        </is>
      </c>
    </row>
    <row r="101" ht="80" customHeight="1">
      <c r="A101" s="6" t="inlineStr">
        <is>
          <t>EV-0096</t>
        </is>
      </c>
      <c r="B101" s="7" t="inlineStr">
        <is>
          <t>C-EL02-05</t>
        </is>
      </c>
      <c r="C101" s="7" t="inlineStr">
        <is>
          <t>S008</t>
        </is>
      </c>
      <c r="D101" s="6" t="inlineStr">
        <is>
          <t>2009: Gandhi 464195, Asheesh Shukla 93997, 71.78%. 2014: Gandhi 408651, Smriti Irani 300748.</t>
        </is>
      </c>
      <c r="E101" s="7" t="inlineStr">
        <is>
          <t>https://www.moneycontrol.com/elections/lok-sabha-election/uttar-pradesh/constituencies/amethi-constituency-s24led2008p037/</t>
        </is>
      </c>
      <c r="F101" s="6" t="inlineStr">
        <is>
          <t>Past election results; lines 459–466 and 510–520</t>
        </is>
      </c>
      <c r="G101" s="6" t="inlineStr">
        <is>
          <t>Supports</t>
        </is>
      </c>
      <c r="H101" s="6" t="inlineStr">
        <is>
          <t>R008</t>
        </is>
      </c>
      <c r="I101" s="6" t="inlineStr">
        <is>
          <t>Codex: passage-to-statement review</t>
        </is>
      </c>
      <c r="J101" s="6" t="inlineStr">
        <is>
          <t>2026-09-24</t>
        </is>
      </c>
      <c r="K101" s="6" t="inlineStr">
        <is>
          <t>Read as combined support where a field has several sources. Attributed statements establish what was said, not the underlying allegation.</t>
        </is>
      </c>
    </row>
    <row r="102" ht="80" customHeight="1">
      <c r="A102" s="4" t="inlineStr">
        <is>
          <t>EV-0097</t>
        </is>
      </c>
      <c r="B102" s="5" t="inlineStr">
        <is>
          <t>C-EL02-06</t>
        </is>
      </c>
      <c r="C102" s="5" t="inlineStr">
        <is>
          <t>S008</t>
        </is>
      </c>
      <c r="D102" s="4" t="inlineStr">
        <is>
          <t>2009: Gandhi 464195, Asheesh Shukla 93997, 71.78%. 2014: Gandhi 408651, Smriti Irani 300748.</t>
        </is>
      </c>
      <c r="E102" s="5" t="inlineStr">
        <is>
          <t>https://www.moneycontrol.com/elections/lok-sabha-election/uttar-pradesh/constituencies/amethi-constituency-s24led2008p037/</t>
        </is>
      </c>
      <c r="F102" s="4" t="inlineStr">
        <is>
          <t>Past election results; lines 459–466 and 510–520</t>
        </is>
      </c>
      <c r="G102" s="4" t="inlineStr">
        <is>
          <t>Supports</t>
        </is>
      </c>
      <c r="H102" s="4" t="inlineStr">
        <is>
          <t>R008</t>
        </is>
      </c>
      <c r="I102" s="4" t="inlineStr">
        <is>
          <t>Codex: passage-to-statement review</t>
        </is>
      </c>
      <c r="J102" s="4" t="inlineStr">
        <is>
          <t>2026-09-24</t>
        </is>
      </c>
      <c r="K102" s="4" t="inlineStr">
        <is>
          <t>Read as combined support where a field has several sources. Attributed statements establish what was said, not the underlying allegation.</t>
        </is>
      </c>
    </row>
    <row r="103" ht="80" customHeight="1">
      <c r="A103" s="6" t="inlineStr">
        <is>
          <t>EV-0098</t>
        </is>
      </c>
      <c r="B103" s="7" t="inlineStr">
        <is>
          <t>C-EL03-01</t>
        </is>
      </c>
      <c r="C103" s="7" t="inlineStr">
        <is>
          <t>S008</t>
        </is>
      </c>
      <c r="D103" s="6" t="inlineStr">
        <is>
          <t>2009: Gandhi 464195, Asheesh Shukla 93997, 71.78%. 2014: Gandhi 408651, Smriti Irani 300748.</t>
        </is>
      </c>
      <c r="E103" s="7" t="inlineStr">
        <is>
          <t>https://www.moneycontrol.com/elections/lok-sabha-election/uttar-pradesh/constituencies/amethi-constituency-s24led2008p037/</t>
        </is>
      </c>
      <c r="F103" s="6" t="inlineStr">
        <is>
          <t>Past election results; lines 459–466 and 510–520</t>
        </is>
      </c>
      <c r="G103" s="6" t="inlineStr">
        <is>
          <t>Supports</t>
        </is>
      </c>
      <c r="H103" s="6" t="inlineStr">
        <is>
          <t>R008</t>
        </is>
      </c>
      <c r="I103" s="6" t="inlineStr">
        <is>
          <t>Codex: passage-to-statement review</t>
        </is>
      </c>
      <c r="J103" s="6" t="inlineStr">
        <is>
          <t>2026-09-24</t>
        </is>
      </c>
      <c r="K103" s="6" t="inlineStr">
        <is>
          <t>Read as combined support where a field has several sources. Attributed statements establish what was said, not the underlying allegation.</t>
        </is>
      </c>
    </row>
    <row r="104" ht="80" customHeight="1">
      <c r="A104" s="4" t="inlineStr">
        <is>
          <t>EV-0099</t>
        </is>
      </c>
      <c r="B104" s="5" t="inlineStr">
        <is>
          <t>C-EL03-02</t>
        </is>
      </c>
      <c r="C104" s="5" t="inlineStr">
        <is>
          <t>S008</t>
        </is>
      </c>
      <c r="D104" s="4" t="inlineStr">
        <is>
          <t>2009: Gandhi 464195, Asheesh Shukla 93997, 71.78%. 2014: Gandhi 408651, Smriti Irani 300748.</t>
        </is>
      </c>
      <c r="E104" s="5" t="inlineStr">
        <is>
          <t>https://www.moneycontrol.com/elections/lok-sabha-election/uttar-pradesh/constituencies/amethi-constituency-s24led2008p037/</t>
        </is>
      </c>
      <c r="F104" s="4" t="inlineStr">
        <is>
          <t>Past election results; lines 459–466 and 510–520</t>
        </is>
      </c>
      <c r="G104" s="4" t="inlineStr">
        <is>
          <t>Supports</t>
        </is>
      </c>
      <c r="H104" s="4" t="inlineStr">
        <is>
          <t>R008</t>
        </is>
      </c>
      <c r="I104" s="4" t="inlineStr">
        <is>
          <t>Codex: passage-to-statement review</t>
        </is>
      </c>
      <c r="J104" s="4" t="inlineStr">
        <is>
          <t>2026-09-24</t>
        </is>
      </c>
      <c r="K104" s="4" t="inlineStr">
        <is>
          <t>Read as combined support where a field has several sources. Attributed statements establish what was said, not the underlying allegation.</t>
        </is>
      </c>
    </row>
    <row r="105" ht="80" customHeight="1">
      <c r="A105" s="6" t="inlineStr">
        <is>
          <t>EV-0100</t>
        </is>
      </c>
      <c r="B105" s="7" t="inlineStr">
        <is>
          <t>C-EL03-03</t>
        </is>
      </c>
      <c r="C105" s="7" t="inlineStr">
        <is>
          <t>S008</t>
        </is>
      </c>
      <c r="D105" s="6" t="inlineStr">
        <is>
          <t>2009: Gandhi 464195, Asheesh Shukla 93997, 71.78%. 2014: Gandhi 408651, Smriti Irani 300748.</t>
        </is>
      </c>
      <c r="E105" s="7" t="inlineStr">
        <is>
          <t>https://www.moneycontrol.com/elections/lok-sabha-election/uttar-pradesh/constituencies/amethi-constituency-s24led2008p037/</t>
        </is>
      </c>
      <c r="F105" s="6" t="inlineStr">
        <is>
          <t>Past election results; lines 459–466 and 510–520</t>
        </is>
      </c>
      <c r="G105" s="6" t="inlineStr">
        <is>
          <t>Supports</t>
        </is>
      </c>
      <c r="H105" s="6" t="inlineStr">
        <is>
          <t>R008</t>
        </is>
      </c>
      <c r="I105" s="6" t="inlineStr">
        <is>
          <t>Codex: passage-to-statement review</t>
        </is>
      </c>
      <c r="J105" s="6" t="inlineStr">
        <is>
          <t>2026-09-24</t>
        </is>
      </c>
      <c r="K105" s="6" t="inlineStr">
        <is>
          <t>Read as combined support where a field has several sources. Attributed statements establish what was said, not the underlying allegation.</t>
        </is>
      </c>
    </row>
    <row r="106" ht="80" customHeight="1">
      <c r="A106" s="4" t="inlineStr">
        <is>
          <t>EV-0101</t>
        </is>
      </c>
      <c r="B106" s="5" t="inlineStr">
        <is>
          <t>C-EL03-04</t>
        </is>
      </c>
      <c r="C106" s="5" t="inlineStr">
        <is>
          <t>S008</t>
        </is>
      </c>
      <c r="D106" s="4" t="inlineStr">
        <is>
          <t>2009: Gandhi 464195, Asheesh Shukla 93997, 71.78%. 2014: Gandhi 408651, Smriti Irani 300748.</t>
        </is>
      </c>
      <c r="E106" s="5" t="inlineStr">
        <is>
          <t>https://www.moneycontrol.com/elections/lok-sabha-election/uttar-pradesh/constituencies/amethi-constituency-s24led2008p037/</t>
        </is>
      </c>
      <c r="F106" s="4" t="inlineStr">
        <is>
          <t>Past election results; lines 459–466 and 510–520</t>
        </is>
      </c>
      <c r="G106" s="4" t="inlineStr">
        <is>
          <t>Supports</t>
        </is>
      </c>
      <c r="H106" s="4" t="inlineStr">
        <is>
          <t>R008</t>
        </is>
      </c>
      <c r="I106" s="4" t="inlineStr">
        <is>
          <t>Codex: passage-to-statement review</t>
        </is>
      </c>
      <c r="J106" s="4" t="inlineStr">
        <is>
          <t>2026-09-24</t>
        </is>
      </c>
      <c r="K106" s="4" t="inlineStr">
        <is>
          <t>Read as combined support where a field has several sources. Attributed statements establish what was said, not the underlying allegation.</t>
        </is>
      </c>
    </row>
    <row r="107" ht="80" customHeight="1">
      <c r="A107" s="6" t="inlineStr">
        <is>
          <t>EV-0102</t>
        </is>
      </c>
      <c r="B107" s="7" t="inlineStr">
        <is>
          <t>C-EL03-05</t>
        </is>
      </c>
      <c r="C107" s="7" t="inlineStr">
        <is>
          <t>S008</t>
        </is>
      </c>
      <c r="D107" s="6" t="inlineStr">
        <is>
          <t>2009: Gandhi 464195, Asheesh Shukla 93997, 71.78%. 2014: Gandhi 408651, Smriti Irani 300748.</t>
        </is>
      </c>
      <c r="E107" s="7" t="inlineStr">
        <is>
          <t>https://www.moneycontrol.com/elections/lok-sabha-election/uttar-pradesh/constituencies/amethi-constituency-s24led2008p037/</t>
        </is>
      </c>
      <c r="F107" s="6" t="inlineStr">
        <is>
          <t>Past election results; lines 459–466 and 510–520</t>
        </is>
      </c>
      <c r="G107" s="6" t="inlineStr">
        <is>
          <t>Supports</t>
        </is>
      </c>
      <c r="H107" s="6" t="inlineStr">
        <is>
          <t>R008</t>
        </is>
      </c>
      <c r="I107" s="6" t="inlineStr">
        <is>
          <t>Codex: passage-to-statement review</t>
        </is>
      </c>
      <c r="J107" s="6" t="inlineStr">
        <is>
          <t>2026-09-24</t>
        </is>
      </c>
      <c r="K107" s="6" t="inlineStr">
        <is>
          <t>Read as combined support where a field has several sources. Attributed statements establish what was said, not the underlying allegation.</t>
        </is>
      </c>
    </row>
    <row r="108" ht="66" customHeight="1">
      <c r="A108" s="4" t="inlineStr">
        <is>
          <t>EV-0103</t>
        </is>
      </c>
      <c r="B108" s="5" t="inlineStr">
        <is>
          <t>C-EL04-01</t>
        </is>
      </c>
      <c r="C108" s="5" t="inlineStr">
        <is>
          <t>S007</t>
        </is>
      </c>
      <c r="D108" s="4" t="inlineStr">
        <is>
          <t>Wayanad: Gandhi 706367 versus P.P. Suneer 274597; total votes 1092197; margin 431770. Amethi: Gandhi 413394 versus Smriti Irani 468514; total votes 942453; loss margin 55120.</t>
        </is>
      </c>
      <c r="E108" s="5" t="inlineStr">
        <is>
          <t>https://adrindia.org/sites/default/files/Analysis_of_Vote_Share_Margin_Of_Victory_Lok_Sabha__2019.pdf</t>
        </is>
      </c>
      <c r="F108" s="4" t="inlineStr">
        <is>
          <t>Printed pp.26 and 69; Wayanad and Amethi</t>
        </is>
      </c>
      <c r="G108" s="4" t="inlineStr">
        <is>
          <t>Supports</t>
        </is>
      </c>
      <c r="H108" s="4" t="inlineStr">
        <is>
          <t>R007</t>
        </is>
      </c>
      <c r="I108" s="4" t="inlineStr">
        <is>
          <t>Codex: passage-to-statement review</t>
        </is>
      </c>
      <c r="J108" s="4" t="inlineStr">
        <is>
          <t>2026-09-24</t>
        </is>
      </c>
      <c r="K108" s="4" t="inlineStr">
        <is>
          <t>Read as combined support where a field has several sources. Attributed statements establish what was said, not the underlying allegation.</t>
        </is>
      </c>
    </row>
    <row r="109" ht="66" customHeight="1">
      <c r="A109" s="6" t="inlineStr">
        <is>
          <t>EV-0104</t>
        </is>
      </c>
      <c r="B109" s="7" t="inlineStr">
        <is>
          <t>C-EL04-02</t>
        </is>
      </c>
      <c r="C109" s="7" t="inlineStr">
        <is>
          <t>S007</t>
        </is>
      </c>
      <c r="D109" s="6" t="inlineStr">
        <is>
          <t>Wayanad: Gandhi 706367 versus P.P. Suneer 274597; total votes 1092197; margin 431770. Amethi: Gandhi 413394 versus Smriti Irani 468514; total votes 942453; loss margin 55120.</t>
        </is>
      </c>
      <c r="E109" s="7" t="inlineStr">
        <is>
          <t>https://adrindia.org/sites/default/files/Analysis_of_Vote_Share_Margin_Of_Victory_Lok_Sabha__2019.pdf</t>
        </is>
      </c>
      <c r="F109" s="6" t="inlineStr">
        <is>
          <t>Printed pp.26 and 69; Wayanad and Amethi</t>
        </is>
      </c>
      <c r="G109" s="6" t="inlineStr">
        <is>
          <t>Supports</t>
        </is>
      </c>
      <c r="H109" s="6" t="inlineStr">
        <is>
          <t>R007</t>
        </is>
      </c>
      <c r="I109" s="6" t="inlineStr">
        <is>
          <t>Codex: passage-to-statement review</t>
        </is>
      </c>
      <c r="J109" s="6" t="inlineStr">
        <is>
          <t>2026-09-24</t>
        </is>
      </c>
      <c r="K109" s="6" t="inlineStr">
        <is>
          <t>Read as combined support where a field has several sources. Attributed statements establish what was said, not the underlying allegation.</t>
        </is>
      </c>
    </row>
    <row r="110" ht="66" customHeight="1">
      <c r="A110" s="4" t="inlineStr">
        <is>
          <t>EV-0105</t>
        </is>
      </c>
      <c r="B110" s="5" t="inlineStr">
        <is>
          <t>C-EL04-03</t>
        </is>
      </c>
      <c r="C110" s="5" t="inlineStr">
        <is>
          <t>S007</t>
        </is>
      </c>
      <c r="D110" s="4" t="inlineStr">
        <is>
          <t>Wayanad: Gandhi 706367 versus P.P. Suneer 274597; total votes 1092197; margin 431770. Amethi: Gandhi 413394 versus Smriti Irani 468514; total votes 942453; loss margin 55120.</t>
        </is>
      </c>
      <c r="E110" s="5" t="inlineStr">
        <is>
          <t>https://adrindia.org/sites/default/files/Analysis_of_Vote_Share_Margin_Of_Victory_Lok_Sabha__2019.pdf</t>
        </is>
      </c>
      <c r="F110" s="4" t="inlineStr">
        <is>
          <t>Printed pp.26 and 69; Wayanad and Amethi</t>
        </is>
      </c>
      <c r="G110" s="4" t="inlineStr">
        <is>
          <t>Supports</t>
        </is>
      </c>
      <c r="H110" s="4" t="inlineStr">
        <is>
          <t>R007</t>
        </is>
      </c>
      <c r="I110" s="4" t="inlineStr">
        <is>
          <t>Codex: passage-to-statement review</t>
        </is>
      </c>
      <c r="J110" s="4" t="inlineStr">
        <is>
          <t>2026-09-24</t>
        </is>
      </c>
      <c r="K110" s="4" t="inlineStr">
        <is>
          <t>Read as combined support where a field has several sources. Attributed statements establish what was said, not the underlying allegation.</t>
        </is>
      </c>
    </row>
    <row r="111" ht="66" customHeight="1">
      <c r="A111" s="6" t="inlineStr">
        <is>
          <t>EV-0106</t>
        </is>
      </c>
      <c r="B111" s="7" t="inlineStr">
        <is>
          <t>C-EL04-04</t>
        </is>
      </c>
      <c r="C111" s="7" t="inlineStr">
        <is>
          <t>S007</t>
        </is>
      </c>
      <c r="D111" s="6" t="inlineStr">
        <is>
          <t>Wayanad: Gandhi 706367 versus P.P. Suneer 274597; total votes 1092197; margin 431770. Amethi: Gandhi 413394 versus Smriti Irani 468514; total votes 942453; loss margin 55120.</t>
        </is>
      </c>
      <c r="E111" s="7" t="inlineStr">
        <is>
          <t>https://adrindia.org/sites/default/files/Analysis_of_Vote_Share_Margin_Of_Victory_Lok_Sabha__2019.pdf</t>
        </is>
      </c>
      <c r="F111" s="6" t="inlineStr">
        <is>
          <t>Printed pp.26 and 69; Wayanad and Amethi</t>
        </is>
      </c>
      <c r="G111" s="6" t="inlineStr">
        <is>
          <t>Supports</t>
        </is>
      </c>
      <c r="H111" s="6" t="inlineStr">
        <is>
          <t>R007</t>
        </is>
      </c>
      <c r="I111" s="6" t="inlineStr">
        <is>
          <t>Codex: passage-to-statement review</t>
        </is>
      </c>
      <c r="J111" s="6" t="inlineStr">
        <is>
          <t>2026-09-24</t>
        </is>
      </c>
      <c r="K111" s="6" t="inlineStr">
        <is>
          <t>Read as combined support where a field has several sources. Attributed statements establish what was said, not the underlying allegation.</t>
        </is>
      </c>
    </row>
    <row r="112" ht="66" customHeight="1">
      <c r="A112" s="4" t="inlineStr">
        <is>
          <t>EV-0107</t>
        </is>
      </c>
      <c r="B112" s="5" t="inlineStr">
        <is>
          <t>C-EL04-05</t>
        </is>
      </c>
      <c r="C112" s="5" t="inlineStr">
        <is>
          <t>S007</t>
        </is>
      </c>
      <c r="D112" s="4" t="inlineStr">
        <is>
          <t>Wayanad: Gandhi 706367 versus P.P. Suneer 274597; total votes 1092197; margin 431770. Amethi: Gandhi 413394 versus Smriti Irani 468514; total votes 942453; loss margin 55120.</t>
        </is>
      </c>
      <c r="E112" s="5" t="inlineStr">
        <is>
          <t>https://adrindia.org/sites/default/files/Analysis_of_Vote_Share_Margin_Of_Victory_Lok_Sabha__2019.pdf</t>
        </is>
      </c>
      <c r="F112" s="4" t="inlineStr">
        <is>
          <t>Printed pp.26 and 69; Wayanad and Amethi</t>
        </is>
      </c>
      <c r="G112" s="4" t="inlineStr">
        <is>
          <t>Supports</t>
        </is>
      </c>
      <c r="H112" s="4" t="inlineStr">
        <is>
          <t>R007</t>
        </is>
      </c>
      <c r="I112" s="4" t="inlineStr">
        <is>
          <t>Codex: passage-to-statement review</t>
        </is>
      </c>
      <c r="J112" s="4" t="inlineStr">
        <is>
          <t>2026-09-24</t>
        </is>
      </c>
      <c r="K112" s="4" t="inlineStr">
        <is>
          <t>Read as combined support where a field has several sources. Attributed statements establish what was said, not the underlying allegation.</t>
        </is>
      </c>
    </row>
    <row r="113" ht="66" customHeight="1">
      <c r="A113" s="6" t="inlineStr">
        <is>
          <t>EV-0108</t>
        </is>
      </c>
      <c r="B113" s="7" t="inlineStr">
        <is>
          <t>C-EL04-06</t>
        </is>
      </c>
      <c r="C113" s="7" t="inlineStr">
        <is>
          <t>S007</t>
        </is>
      </c>
      <c r="D113" s="6" t="inlineStr">
        <is>
          <t>Wayanad: Gandhi 706367 versus P.P. Suneer 274597; total votes 1092197; margin 431770. Amethi: Gandhi 413394 versus Smriti Irani 468514; total votes 942453; loss margin 55120.</t>
        </is>
      </c>
      <c r="E113" s="7" t="inlineStr">
        <is>
          <t>https://adrindia.org/sites/default/files/Analysis_of_Vote_Share_Margin_Of_Victory_Lok_Sabha__2019.pdf</t>
        </is>
      </c>
      <c r="F113" s="6" t="inlineStr">
        <is>
          <t>Printed pp.26 and 69; Wayanad and Amethi</t>
        </is>
      </c>
      <c r="G113" s="6" t="inlineStr">
        <is>
          <t>Supports</t>
        </is>
      </c>
      <c r="H113" s="6" t="inlineStr">
        <is>
          <t>R007</t>
        </is>
      </c>
      <c r="I113" s="6" t="inlineStr">
        <is>
          <t>Codex: passage-to-statement review</t>
        </is>
      </c>
      <c r="J113" s="6" t="inlineStr">
        <is>
          <t>2026-09-24</t>
        </is>
      </c>
      <c r="K113" s="6" t="inlineStr">
        <is>
          <t>Read as combined support where a field has several sources. Attributed statements establish what was said, not the underlying allegation.</t>
        </is>
      </c>
    </row>
    <row r="114" ht="66" customHeight="1">
      <c r="A114" s="4" t="inlineStr">
        <is>
          <t>EV-0109</t>
        </is>
      </c>
      <c r="B114" s="5" t="inlineStr">
        <is>
          <t>C-EL05-01</t>
        </is>
      </c>
      <c r="C114" s="5" t="inlineStr">
        <is>
          <t>S007</t>
        </is>
      </c>
      <c r="D114" s="4" t="inlineStr">
        <is>
          <t>Wayanad: Gandhi 706367 versus P.P. Suneer 274597; total votes 1092197; margin 431770. Amethi: Gandhi 413394 versus Smriti Irani 468514; total votes 942453; loss margin 55120.</t>
        </is>
      </c>
      <c r="E114" s="5" t="inlineStr">
        <is>
          <t>https://adrindia.org/sites/default/files/Analysis_of_Vote_Share_Margin_Of_Victory_Lok_Sabha__2019.pdf</t>
        </is>
      </c>
      <c r="F114" s="4" t="inlineStr">
        <is>
          <t>Printed pp.26 and 69; Wayanad and Amethi</t>
        </is>
      </c>
      <c r="G114" s="4" t="inlineStr">
        <is>
          <t>Supports</t>
        </is>
      </c>
      <c r="H114" s="4" t="inlineStr">
        <is>
          <t>R007</t>
        </is>
      </c>
      <c r="I114" s="4" t="inlineStr">
        <is>
          <t>Codex: passage-to-statement review</t>
        </is>
      </c>
      <c r="J114" s="4" t="inlineStr">
        <is>
          <t>2026-09-24</t>
        </is>
      </c>
      <c r="K114" s="4" t="inlineStr">
        <is>
          <t>Read as combined support where a field has several sources. Attributed statements establish what was said, not the underlying allegation.</t>
        </is>
      </c>
    </row>
    <row r="115" ht="66" customHeight="1">
      <c r="A115" s="6" t="inlineStr">
        <is>
          <t>EV-0110</t>
        </is>
      </c>
      <c r="B115" s="7" t="inlineStr">
        <is>
          <t>C-EL05-01</t>
        </is>
      </c>
      <c r="C115" s="7" t="inlineStr">
        <is>
          <t>S041</t>
        </is>
      </c>
      <c r="D115" s="6" t="inlineStr">
        <is>
          <t>Wayanad Rahul Gandhi INC; victory margin 431770; vote share 64.67%.</t>
        </is>
      </c>
      <c r="E115" s="7" t="inlineStr">
        <is>
          <t>https://www.ceo.kerala.gov.in/electedmembers</t>
        </is>
      </c>
      <c r="F115" s="6" t="inlineStr">
        <is>
          <t>2019 Lok Sabha; Wayanad row</t>
        </is>
      </c>
      <c r="G115" s="6" t="inlineStr">
        <is>
          <t>Supports</t>
        </is>
      </c>
      <c r="H115" s="6" t="inlineStr">
        <is>
          <t>R041</t>
        </is>
      </c>
      <c r="I115" s="6" t="inlineStr">
        <is>
          <t>Codex: passage-to-statement review</t>
        </is>
      </c>
      <c r="J115" s="6" t="inlineStr">
        <is>
          <t>2026-09-24</t>
        </is>
      </c>
      <c r="K115" s="6" t="inlineStr">
        <is>
          <t>Read as combined support where a field has several sources. Attributed statements establish what was said, not the underlying allegation.</t>
        </is>
      </c>
    </row>
    <row r="116" ht="66" customHeight="1">
      <c r="A116" s="4" t="inlineStr">
        <is>
          <t>EV-0111</t>
        </is>
      </c>
      <c r="B116" s="5" t="inlineStr">
        <is>
          <t>C-EL05-02</t>
        </is>
      </c>
      <c r="C116" s="5" t="inlineStr">
        <is>
          <t>S007</t>
        </is>
      </c>
      <c r="D116" s="4" t="inlineStr">
        <is>
          <t>Wayanad: Gandhi 706367 versus P.P. Suneer 274597; total votes 1092197; margin 431770. Amethi: Gandhi 413394 versus Smriti Irani 468514; total votes 942453; loss margin 55120.</t>
        </is>
      </c>
      <c r="E116" s="5" t="inlineStr">
        <is>
          <t>https://adrindia.org/sites/default/files/Analysis_of_Vote_Share_Margin_Of_Victory_Lok_Sabha__2019.pdf</t>
        </is>
      </c>
      <c r="F116" s="4" t="inlineStr">
        <is>
          <t>Printed pp.26 and 69; Wayanad and Amethi</t>
        </is>
      </c>
      <c r="G116" s="4" t="inlineStr">
        <is>
          <t>Supports</t>
        </is>
      </c>
      <c r="H116" s="4" t="inlineStr">
        <is>
          <t>R007</t>
        </is>
      </c>
      <c r="I116" s="4" t="inlineStr">
        <is>
          <t>Codex: passage-to-statement review</t>
        </is>
      </c>
      <c r="J116" s="4" t="inlineStr">
        <is>
          <t>2026-09-24</t>
        </is>
      </c>
      <c r="K116" s="4" t="inlineStr">
        <is>
          <t>Read as combined support where a field has several sources. Attributed statements establish what was said, not the underlying allegation.</t>
        </is>
      </c>
    </row>
    <row r="117" ht="66" customHeight="1">
      <c r="A117" s="6" t="inlineStr">
        <is>
          <t>EV-0112</t>
        </is>
      </c>
      <c r="B117" s="7" t="inlineStr">
        <is>
          <t>C-EL05-02</t>
        </is>
      </c>
      <c r="C117" s="7" t="inlineStr">
        <is>
          <t>S041</t>
        </is>
      </c>
      <c r="D117" s="6" t="inlineStr">
        <is>
          <t>Wayanad Rahul Gandhi INC; victory margin 431770; vote share 64.67%.</t>
        </is>
      </c>
      <c r="E117" s="7" t="inlineStr">
        <is>
          <t>https://www.ceo.kerala.gov.in/electedmembers</t>
        </is>
      </c>
      <c r="F117" s="6" t="inlineStr">
        <is>
          <t>2019 Lok Sabha; Wayanad row</t>
        </is>
      </c>
      <c r="G117" s="6" t="inlineStr">
        <is>
          <t>Supports</t>
        </is>
      </c>
      <c r="H117" s="6" t="inlineStr">
        <is>
          <t>R041</t>
        </is>
      </c>
      <c r="I117" s="6" t="inlineStr">
        <is>
          <t>Codex: passage-to-statement review</t>
        </is>
      </c>
      <c r="J117" s="6" t="inlineStr">
        <is>
          <t>2026-09-24</t>
        </is>
      </c>
      <c r="K117" s="6" t="inlineStr">
        <is>
          <t>Read as combined support where a field has several sources. Attributed statements establish what was said, not the underlying allegation.</t>
        </is>
      </c>
    </row>
    <row r="118" ht="66" customHeight="1">
      <c r="A118" s="4" t="inlineStr">
        <is>
          <t>EV-0113</t>
        </is>
      </c>
      <c r="B118" s="5" t="inlineStr">
        <is>
          <t>C-EL05-03</t>
        </is>
      </c>
      <c r="C118" s="5" t="inlineStr">
        <is>
          <t>S007</t>
        </is>
      </c>
      <c r="D118" s="4" t="inlineStr">
        <is>
          <t>Wayanad: Gandhi 706367 versus P.P. Suneer 274597; total votes 1092197; margin 431770. Amethi: Gandhi 413394 versus Smriti Irani 468514; total votes 942453; loss margin 55120.</t>
        </is>
      </c>
      <c r="E118" s="5" t="inlineStr">
        <is>
          <t>https://adrindia.org/sites/default/files/Analysis_of_Vote_Share_Margin_Of_Victory_Lok_Sabha__2019.pdf</t>
        </is>
      </c>
      <c r="F118" s="4" t="inlineStr">
        <is>
          <t>Printed pp.26 and 69; Wayanad and Amethi</t>
        </is>
      </c>
      <c r="G118" s="4" t="inlineStr">
        <is>
          <t>Supports</t>
        </is>
      </c>
      <c r="H118" s="4" t="inlineStr">
        <is>
          <t>R007</t>
        </is>
      </c>
      <c r="I118" s="4" t="inlineStr">
        <is>
          <t>Codex: passage-to-statement review</t>
        </is>
      </c>
      <c r="J118" s="4" t="inlineStr">
        <is>
          <t>2026-09-24</t>
        </is>
      </c>
      <c r="K118" s="4" t="inlineStr">
        <is>
          <t>Read as combined support where a field has several sources. Attributed statements establish what was said, not the underlying allegation.</t>
        </is>
      </c>
    </row>
    <row r="119" ht="66" customHeight="1">
      <c r="A119" s="6" t="inlineStr">
        <is>
          <t>EV-0114</t>
        </is>
      </c>
      <c r="B119" s="7" t="inlineStr">
        <is>
          <t>C-EL05-03</t>
        </is>
      </c>
      <c r="C119" s="7" t="inlineStr">
        <is>
          <t>S041</t>
        </is>
      </c>
      <c r="D119" s="6" t="inlineStr">
        <is>
          <t>Wayanad Rahul Gandhi INC; victory margin 431770; vote share 64.67%.</t>
        </is>
      </c>
      <c r="E119" s="7" t="inlineStr">
        <is>
          <t>https://www.ceo.kerala.gov.in/electedmembers</t>
        </is>
      </c>
      <c r="F119" s="6" t="inlineStr">
        <is>
          <t>2019 Lok Sabha; Wayanad row</t>
        </is>
      </c>
      <c r="G119" s="6" t="inlineStr">
        <is>
          <t>Supports</t>
        </is>
      </c>
      <c r="H119" s="6" t="inlineStr">
        <is>
          <t>R041</t>
        </is>
      </c>
      <c r="I119" s="6" t="inlineStr">
        <is>
          <t>Codex: passage-to-statement review</t>
        </is>
      </c>
      <c r="J119" s="6" t="inlineStr">
        <is>
          <t>2026-09-24</t>
        </is>
      </c>
      <c r="K119" s="6" t="inlineStr">
        <is>
          <t>Read as combined support where a field has several sources. Attributed statements establish what was said, not the underlying allegation.</t>
        </is>
      </c>
    </row>
    <row r="120" ht="66" customHeight="1">
      <c r="A120" s="4" t="inlineStr">
        <is>
          <t>EV-0115</t>
        </is>
      </c>
      <c r="B120" s="5" t="inlineStr">
        <is>
          <t>C-EL05-04</t>
        </is>
      </c>
      <c r="C120" s="5" t="inlineStr">
        <is>
          <t>S007</t>
        </is>
      </c>
      <c r="D120" s="4" t="inlineStr">
        <is>
          <t>Wayanad: Gandhi 706367 versus P.P. Suneer 274597; total votes 1092197; margin 431770. Amethi: Gandhi 413394 versus Smriti Irani 468514; total votes 942453; loss margin 55120.</t>
        </is>
      </c>
      <c r="E120" s="5" t="inlineStr">
        <is>
          <t>https://adrindia.org/sites/default/files/Analysis_of_Vote_Share_Margin_Of_Victory_Lok_Sabha__2019.pdf</t>
        </is>
      </c>
      <c r="F120" s="4" t="inlineStr">
        <is>
          <t>Printed pp.26 and 69; Wayanad and Amethi</t>
        </is>
      </c>
      <c r="G120" s="4" t="inlineStr">
        <is>
          <t>Supports</t>
        </is>
      </c>
      <c r="H120" s="4" t="inlineStr">
        <is>
          <t>R007</t>
        </is>
      </c>
      <c r="I120" s="4" t="inlineStr">
        <is>
          <t>Codex: passage-to-statement review</t>
        </is>
      </c>
      <c r="J120" s="4" t="inlineStr">
        <is>
          <t>2026-09-24</t>
        </is>
      </c>
      <c r="K120" s="4" t="inlineStr">
        <is>
          <t>Read as combined support where a field has several sources. Attributed statements establish what was said, not the underlying allegation.</t>
        </is>
      </c>
    </row>
    <row r="121" ht="66" customHeight="1">
      <c r="A121" s="6" t="inlineStr">
        <is>
          <t>EV-0116</t>
        </is>
      </c>
      <c r="B121" s="7" t="inlineStr">
        <is>
          <t>C-EL05-04</t>
        </is>
      </c>
      <c r="C121" s="7" t="inlineStr">
        <is>
          <t>S041</t>
        </is>
      </c>
      <c r="D121" s="6" t="inlineStr">
        <is>
          <t>Wayanad Rahul Gandhi INC; victory margin 431770; vote share 64.67%.</t>
        </is>
      </c>
      <c r="E121" s="7" t="inlineStr">
        <is>
          <t>https://www.ceo.kerala.gov.in/electedmembers</t>
        </is>
      </c>
      <c r="F121" s="6" t="inlineStr">
        <is>
          <t>2019 Lok Sabha; Wayanad row</t>
        </is>
      </c>
      <c r="G121" s="6" t="inlineStr">
        <is>
          <t>Supports</t>
        </is>
      </c>
      <c r="H121" s="6" t="inlineStr">
        <is>
          <t>R041</t>
        </is>
      </c>
      <c r="I121" s="6" t="inlineStr">
        <is>
          <t>Codex: passage-to-statement review</t>
        </is>
      </c>
      <c r="J121" s="6" t="inlineStr">
        <is>
          <t>2026-09-24</t>
        </is>
      </c>
      <c r="K121" s="6" t="inlineStr">
        <is>
          <t>Read as combined support where a field has several sources. Attributed statements establish what was said, not the underlying allegation.</t>
        </is>
      </c>
    </row>
    <row r="122" ht="66" customHeight="1">
      <c r="A122" s="4" t="inlineStr">
        <is>
          <t>EV-0117</t>
        </is>
      </c>
      <c r="B122" s="5" t="inlineStr">
        <is>
          <t>C-EL05-05</t>
        </is>
      </c>
      <c r="C122" s="5" t="inlineStr">
        <is>
          <t>S007</t>
        </is>
      </c>
      <c r="D122" s="4" t="inlineStr">
        <is>
          <t>Wayanad: Gandhi 706367 versus P.P. Suneer 274597; total votes 1092197; margin 431770. Amethi: Gandhi 413394 versus Smriti Irani 468514; total votes 942453; loss margin 55120.</t>
        </is>
      </c>
      <c r="E122" s="5" t="inlineStr">
        <is>
          <t>https://adrindia.org/sites/default/files/Analysis_of_Vote_Share_Margin_Of_Victory_Lok_Sabha__2019.pdf</t>
        </is>
      </c>
      <c r="F122" s="4" t="inlineStr">
        <is>
          <t>Printed pp.26 and 69; Wayanad and Amethi</t>
        </is>
      </c>
      <c r="G122" s="4" t="inlineStr">
        <is>
          <t>Supports</t>
        </is>
      </c>
      <c r="H122" s="4" t="inlineStr">
        <is>
          <t>R007</t>
        </is>
      </c>
      <c r="I122" s="4" t="inlineStr">
        <is>
          <t>Codex: passage-to-statement review</t>
        </is>
      </c>
      <c r="J122" s="4" t="inlineStr">
        <is>
          <t>2026-09-24</t>
        </is>
      </c>
      <c r="K122" s="4" t="inlineStr">
        <is>
          <t>Read as combined support where a field has several sources. Attributed statements establish what was said, not the underlying allegation.</t>
        </is>
      </c>
    </row>
    <row r="123" ht="66" customHeight="1">
      <c r="A123" s="6" t="inlineStr">
        <is>
          <t>EV-0118</t>
        </is>
      </c>
      <c r="B123" s="7" t="inlineStr">
        <is>
          <t>C-EL05-05</t>
        </is>
      </c>
      <c r="C123" s="7" t="inlineStr">
        <is>
          <t>S041</t>
        </is>
      </c>
      <c r="D123" s="6" t="inlineStr">
        <is>
          <t>Wayanad Rahul Gandhi INC; victory margin 431770; vote share 64.67%.</t>
        </is>
      </c>
      <c r="E123" s="7" t="inlineStr">
        <is>
          <t>https://www.ceo.kerala.gov.in/electedmembers</t>
        </is>
      </c>
      <c r="F123" s="6" t="inlineStr">
        <is>
          <t>2019 Lok Sabha; Wayanad row</t>
        </is>
      </c>
      <c r="G123" s="6" t="inlineStr">
        <is>
          <t>Supports</t>
        </is>
      </c>
      <c r="H123" s="6" t="inlineStr">
        <is>
          <t>R041</t>
        </is>
      </c>
      <c r="I123" s="6" t="inlineStr">
        <is>
          <t>Codex: passage-to-statement review</t>
        </is>
      </c>
      <c r="J123" s="6" t="inlineStr">
        <is>
          <t>2026-09-24</t>
        </is>
      </c>
      <c r="K123" s="6" t="inlineStr">
        <is>
          <t>Read as combined support where a field has several sources. Attributed statements establish what was said, not the underlying allegation.</t>
        </is>
      </c>
    </row>
    <row r="124" ht="66" customHeight="1">
      <c r="A124" s="4" t="inlineStr">
        <is>
          <t>EV-0119</t>
        </is>
      </c>
      <c r="B124" s="5" t="inlineStr">
        <is>
          <t>C-EL05-06</t>
        </is>
      </c>
      <c r="C124" s="5" t="inlineStr">
        <is>
          <t>S007</t>
        </is>
      </c>
      <c r="D124" s="4" t="inlineStr">
        <is>
          <t>Wayanad: Gandhi 706367 versus P.P. Suneer 274597; total votes 1092197; margin 431770. Amethi: Gandhi 413394 versus Smriti Irani 468514; total votes 942453; loss margin 55120.</t>
        </is>
      </c>
      <c r="E124" s="5" t="inlineStr">
        <is>
          <t>https://adrindia.org/sites/default/files/Analysis_of_Vote_Share_Margin_Of_Victory_Lok_Sabha__2019.pdf</t>
        </is>
      </c>
      <c r="F124" s="4" t="inlineStr">
        <is>
          <t>Printed pp.26 and 69; Wayanad and Amethi</t>
        </is>
      </c>
      <c r="G124" s="4" t="inlineStr">
        <is>
          <t>Supports</t>
        </is>
      </c>
      <c r="H124" s="4" t="inlineStr">
        <is>
          <t>R007</t>
        </is>
      </c>
      <c r="I124" s="4" t="inlineStr">
        <is>
          <t>Codex: passage-to-statement review</t>
        </is>
      </c>
      <c r="J124" s="4" t="inlineStr">
        <is>
          <t>2026-09-24</t>
        </is>
      </c>
      <c r="K124" s="4" t="inlineStr">
        <is>
          <t>Read as combined support where a field has several sources. Attributed statements establish what was said, not the underlying allegation.</t>
        </is>
      </c>
    </row>
    <row r="125" ht="66" customHeight="1">
      <c r="A125" s="6" t="inlineStr">
        <is>
          <t>EV-0120</t>
        </is>
      </c>
      <c r="B125" s="7" t="inlineStr">
        <is>
          <t>C-EL05-06</t>
        </is>
      </c>
      <c r="C125" s="7" t="inlineStr">
        <is>
          <t>S041</t>
        </is>
      </c>
      <c r="D125" s="6" t="inlineStr">
        <is>
          <t>Wayanad Rahul Gandhi INC; victory margin 431770; vote share 64.67%.</t>
        </is>
      </c>
      <c r="E125" s="7" t="inlineStr">
        <is>
          <t>https://www.ceo.kerala.gov.in/electedmembers</t>
        </is>
      </c>
      <c r="F125" s="6" t="inlineStr">
        <is>
          <t>2019 Lok Sabha; Wayanad row</t>
        </is>
      </c>
      <c r="G125" s="6" t="inlineStr">
        <is>
          <t>Supports</t>
        </is>
      </c>
      <c r="H125" s="6" t="inlineStr">
        <is>
          <t>R041</t>
        </is>
      </c>
      <c r="I125" s="6" t="inlineStr">
        <is>
          <t>Codex: passage-to-statement review</t>
        </is>
      </c>
      <c r="J125" s="6" t="inlineStr">
        <is>
          <t>2026-09-24</t>
        </is>
      </c>
      <c r="K125" s="6" t="inlineStr">
        <is>
          <t>Read as combined support where a field has several sources. Attributed statements establish what was said, not the underlying allegation.</t>
        </is>
      </c>
    </row>
    <row r="126" ht="80" customHeight="1">
      <c r="A126" s="4" t="inlineStr">
        <is>
          <t>EV-0121</t>
        </is>
      </c>
      <c r="B126" s="5" t="inlineStr">
        <is>
          <t>C-EL06-01</t>
        </is>
      </c>
      <c r="C126" s="5" t="inlineStr">
        <is>
          <t>S006</t>
        </is>
      </c>
      <c r="D126" s="4" t="inlineStr">
        <is>
          <t>Wayanad: Gandhi 647445, Annie Raja 283023, total counted including NOTA 1084653, total polled 1086459. Rae Bareli: Gandhi 687649, Dinesh Pratap Singh 297619, total polled 1039951.</t>
        </is>
      </c>
      <c r="E126" s="5" t="inlineStr">
        <is>
          <t>https://www.eci.gov.in/eci-backend/public/all_files/GE-2024-statistical-report/33-Constituency-Wise-Detailed-Result.pdf</t>
        </is>
      </c>
      <c r="F126" s="4" t="inlineStr">
        <is>
          <t>Printed pp.165 and 444; Wayanad and Rae Bareli</t>
        </is>
      </c>
      <c r="G126" s="4" t="inlineStr">
        <is>
          <t>Supports</t>
        </is>
      </c>
      <c r="H126" s="4" t="inlineStr">
        <is>
          <t>R006</t>
        </is>
      </c>
      <c r="I126" s="4" t="inlineStr">
        <is>
          <t>Codex: passage-to-statement review</t>
        </is>
      </c>
      <c r="J126" s="4" t="inlineStr">
        <is>
          <t>2026-09-24</t>
        </is>
      </c>
      <c r="K126" s="4" t="inlineStr">
        <is>
          <t>Read as combined support where a field has several sources. Attributed statements establish what was said, not the underlying allegation.</t>
        </is>
      </c>
    </row>
    <row r="127" ht="80" customHeight="1">
      <c r="A127" s="6" t="inlineStr">
        <is>
          <t>EV-0122</t>
        </is>
      </c>
      <c r="B127" s="7" t="inlineStr">
        <is>
          <t>C-EL06-02</t>
        </is>
      </c>
      <c r="C127" s="7" t="inlineStr">
        <is>
          <t>S006</t>
        </is>
      </c>
      <c r="D127" s="6" t="inlineStr">
        <is>
          <t>Wayanad: Gandhi 647445, Annie Raja 283023, total counted including NOTA 1084653, total polled 1086459. Rae Bareli: Gandhi 687649, Dinesh Pratap Singh 297619, total polled 1039951.</t>
        </is>
      </c>
      <c r="E127" s="7" t="inlineStr">
        <is>
          <t>https://www.eci.gov.in/eci-backend/public/all_files/GE-2024-statistical-report/33-Constituency-Wise-Detailed-Result.pdf</t>
        </is>
      </c>
      <c r="F127" s="6" t="inlineStr">
        <is>
          <t>Printed pp.165 and 444; Wayanad and Rae Bareli</t>
        </is>
      </c>
      <c r="G127" s="6" t="inlineStr">
        <is>
          <t>Supports</t>
        </is>
      </c>
      <c r="H127" s="6" t="inlineStr">
        <is>
          <t>R006</t>
        </is>
      </c>
      <c r="I127" s="6" t="inlineStr">
        <is>
          <t>Codex: passage-to-statement review</t>
        </is>
      </c>
      <c r="J127" s="6" t="inlineStr">
        <is>
          <t>2026-09-24</t>
        </is>
      </c>
      <c r="K127" s="6" t="inlineStr">
        <is>
          <t>Read as combined support where a field has several sources. Attributed statements establish what was said, not the underlying allegation.</t>
        </is>
      </c>
    </row>
    <row r="128" ht="80" customHeight="1">
      <c r="A128" s="4" t="inlineStr">
        <is>
          <t>EV-0123</t>
        </is>
      </c>
      <c r="B128" s="5" t="inlineStr">
        <is>
          <t>C-EL06-03</t>
        </is>
      </c>
      <c r="C128" s="5" t="inlineStr">
        <is>
          <t>S006</t>
        </is>
      </c>
      <c r="D128" s="4" t="inlineStr">
        <is>
          <t>Wayanad: Gandhi 647445, Annie Raja 283023, total counted including NOTA 1084653, total polled 1086459. Rae Bareli: Gandhi 687649, Dinesh Pratap Singh 297619, total polled 1039951.</t>
        </is>
      </c>
      <c r="E128" s="5" t="inlineStr">
        <is>
          <t>https://www.eci.gov.in/eci-backend/public/all_files/GE-2024-statistical-report/33-Constituency-Wise-Detailed-Result.pdf</t>
        </is>
      </c>
      <c r="F128" s="4" t="inlineStr">
        <is>
          <t>Printed pp.165 and 444; Wayanad and Rae Bareli</t>
        </is>
      </c>
      <c r="G128" s="4" t="inlineStr">
        <is>
          <t>Supports</t>
        </is>
      </c>
      <c r="H128" s="4" t="inlineStr">
        <is>
          <t>R006</t>
        </is>
      </c>
      <c r="I128" s="4" t="inlineStr">
        <is>
          <t>Codex: passage-to-statement review</t>
        </is>
      </c>
      <c r="J128" s="4" t="inlineStr">
        <is>
          <t>2026-09-24</t>
        </is>
      </c>
      <c r="K128" s="4" t="inlineStr">
        <is>
          <t>Read as combined support where a field has several sources. Attributed statements establish what was said, not the underlying allegation.</t>
        </is>
      </c>
    </row>
    <row r="129" ht="80" customHeight="1">
      <c r="A129" s="6" t="inlineStr">
        <is>
          <t>EV-0124</t>
        </is>
      </c>
      <c r="B129" s="7" t="inlineStr">
        <is>
          <t>C-EL06-04</t>
        </is>
      </c>
      <c r="C129" s="7" t="inlineStr">
        <is>
          <t>S006</t>
        </is>
      </c>
      <c r="D129" s="6" t="inlineStr">
        <is>
          <t>Wayanad: Gandhi 647445, Annie Raja 283023, total counted including NOTA 1084653, total polled 1086459. Rae Bareli: Gandhi 687649, Dinesh Pratap Singh 297619, total polled 1039951.</t>
        </is>
      </c>
      <c r="E129" s="7" t="inlineStr">
        <is>
          <t>https://www.eci.gov.in/eci-backend/public/all_files/GE-2024-statistical-report/33-Constituency-Wise-Detailed-Result.pdf</t>
        </is>
      </c>
      <c r="F129" s="6" t="inlineStr">
        <is>
          <t>Printed pp.165 and 444; Wayanad and Rae Bareli</t>
        </is>
      </c>
      <c r="G129" s="6" t="inlineStr">
        <is>
          <t>Supports</t>
        </is>
      </c>
      <c r="H129" s="6" t="inlineStr">
        <is>
          <t>R006</t>
        </is>
      </c>
      <c r="I129" s="6" t="inlineStr">
        <is>
          <t>Codex: passage-to-statement review</t>
        </is>
      </c>
      <c r="J129" s="6" t="inlineStr">
        <is>
          <t>2026-09-24</t>
        </is>
      </c>
      <c r="K129" s="6" t="inlineStr">
        <is>
          <t>Read as combined support where a field has several sources. Attributed statements establish what was said, not the underlying allegation.</t>
        </is>
      </c>
    </row>
    <row r="130" ht="80" customHeight="1">
      <c r="A130" s="4" t="inlineStr">
        <is>
          <t>EV-0125</t>
        </is>
      </c>
      <c r="B130" s="5" t="inlineStr">
        <is>
          <t>C-EL06-05</t>
        </is>
      </c>
      <c r="C130" s="5" t="inlineStr">
        <is>
          <t>S006</t>
        </is>
      </c>
      <c r="D130" s="4" t="inlineStr">
        <is>
          <t>Wayanad: Gandhi 647445, Annie Raja 283023, total counted including NOTA 1084653, total polled 1086459. Rae Bareli: Gandhi 687649, Dinesh Pratap Singh 297619, total polled 1039951.</t>
        </is>
      </c>
      <c r="E130" s="5" t="inlineStr">
        <is>
          <t>https://www.eci.gov.in/eci-backend/public/all_files/GE-2024-statistical-report/33-Constituency-Wise-Detailed-Result.pdf</t>
        </is>
      </c>
      <c r="F130" s="4" t="inlineStr">
        <is>
          <t>Printed pp.165 and 444; Wayanad and Rae Bareli</t>
        </is>
      </c>
      <c r="G130" s="4" t="inlineStr">
        <is>
          <t>Supports</t>
        </is>
      </c>
      <c r="H130" s="4" t="inlineStr">
        <is>
          <t>R006</t>
        </is>
      </c>
      <c r="I130" s="4" t="inlineStr">
        <is>
          <t>Codex: passage-to-statement review</t>
        </is>
      </c>
      <c r="J130" s="4" t="inlineStr">
        <is>
          <t>2026-09-24</t>
        </is>
      </c>
      <c r="K130" s="4" t="inlineStr">
        <is>
          <t>Read as combined support where a field has several sources. Attributed statements establish what was said, not the underlying allegation.</t>
        </is>
      </c>
    </row>
    <row r="131" ht="80" customHeight="1">
      <c r="A131" s="6" t="inlineStr">
        <is>
          <t>EV-0126</t>
        </is>
      </c>
      <c r="B131" s="7" t="inlineStr">
        <is>
          <t>C-EL06-06</t>
        </is>
      </c>
      <c r="C131" s="7" t="inlineStr">
        <is>
          <t>S006</t>
        </is>
      </c>
      <c r="D131" s="6" t="inlineStr">
        <is>
          <t>Wayanad: Gandhi 647445, Annie Raja 283023, total counted including NOTA 1084653, total polled 1086459. Rae Bareli: Gandhi 687649, Dinesh Pratap Singh 297619, total polled 1039951.</t>
        </is>
      </c>
      <c r="E131" s="7" t="inlineStr">
        <is>
          <t>https://www.eci.gov.in/eci-backend/public/all_files/GE-2024-statistical-report/33-Constituency-Wise-Detailed-Result.pdf</t>
        </is>
      </c>
      <c r="F131" s="6" t="inlineStr">
        <is>
          <t>Printed pp.165 and 444; Wayanad and Rae Bareli</t>
        </is>
      </c>
      <c r="G131" s="6" t="inlineStr">
        <is>
          <t>Supports</t>
        </is>
      </c>
      <c r="H131" s="6" t="inlineStr">
        <is>
          <t>R006</t>
        </is>
      </c>
      <c r="I131" s="6" t="inlineStr">
        <is>
          <t>Codex: passage-to-statement review</t>
        </is>
      </c>
      <c r="J131" s="6" t="inlineStr">
        <is>
          <t>2026-09-24</t>
        </is>
      </c>
      <c r="K131" s="6" t="inlineStr">
        <is>
          <t>Read as combined support where a field has several sources. Attributed statements establish what was said, not the underlying allegation.</t>
        </is>
      </c>
    </row>
    <row r="132" ht="80" customHeight="1">
      <c r="A132" s="4" t="inlineStr">
        <is>
          <t>EV-0127</t>
        </is>
      </c>
      <c r="B132" s="5" t="inlineStr">
        <is>
          <t>C-EL07-01</t>
        </is>
      </c>
      <c r="C132" s="5" t="inlineStr">
        <is>
          <t>S006</t>
        </is>
      </c>
      <c r="D132" s="4" t="inlineStr">
        <is>
          <t>Wayanad: Gandhi 647445, Annie Raja 283023, total counted including NOTA 1084653, total polled 1086459. Rae Bareli: Gandhi 687649, Dinesh Pratap Singh 297619, total polled 1039951.</t>
        </is>
      </c>
      <c r="E132" s="5" t="inlineStr">
        <is>
          <t>https://www.eci.gov.in/eci-backend/public/all_files/GE-2024-statistical-report/33-Constituency-Wise-Detailed-Result.pdf</t>
        </is>
      </c>
      <c r="F132" s="4" t="inlineStr">
        <is>
          <t>Printed pp.165 and 444; Wayanad and Rae Bareli</t>
        </is>
      </c>
      <c r="G132" s="4" t="inlineStr">
        <is>
          <t>Supports</t>
        </is>
      </c>
      <c r="H132" s="4" t="inlineStr">
        <is>
          <t>R006</t>
        </is>
      </c>
      <c r="I132" s="4" t="inlineStr">
        <is>
          <t>Codex: passage-to-statement review</t>
        </is>
      </c>
      <c r="J132" s="4" t="inlineStr">
        <is>
          <t>2026-09-24</t>
        </is>
      </c>
      <c r="K132" s="4" t="inlineStr">
        <is>
          <t>Read as combined support where a field has several sources. Attributed statements establish what was said, not the underlying allegation.</t>
        </is>
      </c>
    </row>
    <row r="133" ht="66" customHeight="1">
      <c r="A133" s="6" t="inlineStr">
        <is>
          <t>EV-0128</t>
        </is>
      </c>
      <c r="B133" s="7" t="inlineStr">
        <is>
          <t>C-EL07-01</t>
        </is>
      </c>
      <c r="C133" s="7" t="inlineStr">
        <is>
          <t>S043</t>
        </is>
      </c>
      <c r="D133" s="6" t="inlineStr">
        <is>
          <t>Speaker accepted resignation from Wayanad effective 18 June 2024. Gandhi retained Rae Bareli; Congress nominated Priyanka for the coming Wayanad by-election.</t>
        </is>
      </c>
      <c r="E133" s="7" t="inlineStr">
        <is>
          <t>https://www.ndtv.com/india-news/rahul-gandhi-resigns-from-wayanad-seat-retains-raebareli-5918402</t>
        </is>
      </c>
      <c r="F133" s="6" t="inlineStr">
        <is>
          <t>Lok Sabha bulletin reproduction; lines 231–241</t>
        </is>
      </c>
      <c r="G133" s="6" t="inlineStr">
        <is>
          <t>Supports</t>
        </is>
      </c>
      <c r="H133" s="6" t="inlineStr">
        <is>
          <t>R043</t>
        </is>
      </c>
      <c r="I133" s="6" t="inlineStr">
        <is>
          <t>Codex: passage-to-statement review</t>
        </is>
      </c>
      <c r="J133" s="6" t="inlineStr">
        <is>
          <t>2026-09-24</t>
        </is>
      </c>
      <c r="K133" s="6" t="inlineStr">
        <is>
          <t>Read as combined support where a field has several sources. Attributed statements establish what was said, not the underlying allegation.</t>
        </is>
      </c>
    </row>
    <row r="134" ht="80" customHeight="1">
      <c r="A134" s="4" t="inlineStr">
        <is>
          <t>EV-0129</t>
        </is>
      </c>
      <c r="B134" s="5" t="inlineStr">
        <is>
          <t>C-EL07-02</t>
        </is>
      </c>
      <c r="C134" s="5" t="inlineStr">
        <is>
          <t>S006</t>
        </is>
      </c>
      <c r="D134" s="4" t="inlineStr">
        <is>
          <t>Wayanad: Gandhi 647445, Annie Raja 283023, total counted including NOTA 1084653, total polled 1086459. Rae Bareli: Gandhi 687649, Dinesh Pratap Singh 297619, total polled 1039951.</t>
        </is>
      </c>
      <c r="E134" s="5" t="inlineStr">
        <is>
          <t>https://www.eci.gov.in/eci-backend/public/all_files/GE-2024-statistical-report/33-Constituency-Wise-Detailed-Result.pdf</t>
        </is>
      </c>
      <c r="F134" s="4" t="inlineStr">
        <is>
          <t>Printed pp.165 and 444; Wayanad and Rae Bareli</t>
        </is>
      </c>
      <c r="G134" s="4" t="inlineStr">
        <is>
          <t>Supports</t>
        </is>
      </c>
      <c r="H134" s="4" t="inlineStr">
        <is>
          <t>R006</t>
        </is>
      </c>
      <c r="I134" s="4" t="inlineStr">
        <is>
          <t>Codex: passage-to-statement review</t>
        </is>
      </c>
      <c r="J134" s="4" t="inlineStr">
        <is>
          <t>2026-09-24</t>
        </is>
      </c>
      <c r="K134" s="4" t="inlineStr">
        <is>
          <t>Read as combined support where a field has several sources. Attributed statements establish what was said, not the underlying allegation.</t>
        </is>
      </c>
    </row>
    <row r="135" ht="66" customHeight="1">
      <c r="A135" s="6" t="inlineStr">
        <is>
          <t>EV-0130</t>
        </is>
      </c>
      <c r="B135" s="7" t="inlineStr">
        <is>
          <t>C-EL07-02</t>
        </is>
      </c>
      <c r="C135" s="7" t="inlineStr">
        <is>
          <t>S043</t>
        </is>
      </c>
      <c r="D135" s="6" t="inlineStr">
        <is>
          <t>Speaker accepted resignation from Wayanad effective 18 June 2024. Gandhi retained Rae Bareli; Congress nominated Priyanka for the coming Wayanad by-election.</t>
        </is>
      </c>
      <c r="E135" s="7" t="inlineStr">
        <is>
          <t>https://www.ndtv.com/india-news/rahul-gandhi-resigns-from-wayanad-seat-retains-raebareli-5918402</t>
        </is>
      </c>
      <c r="F135" s="6" t="inlineStr">
        <is>
          <t>Lok Sabha bulletin reproduction; lines 231–241</t>
        </is>
      </c>
      <c r="G135" s="6" t="inlineStr">
        <is>
          <t>Supports</t>
        </is>
      </c>
      <c r="H135" s="6" t="inlineStr">
        <is>
          <t>R043</t>
        </is>
      </c>
      <c r="I135" s="6" t="inlineStr">
        <is>
          <t>Codex: passage-to-statement review</t>
        </is>
      </c>
      <c r="J135" s="6" t="inlineStr">
        <is>
          <t>2026-09-24</t>
        </is>
      </c>
      <c r="K135" s="6" t="inlineStr">
        <is>
          <t>Read as combined support where a field has several sources. Attributed statements establish what was said, not the underlying allegation.</t>
        </is>
      </c>
    </row>
    <row r="136" ht="80" customHeight="1">
      <c r="A136" s="4" t="inlineStr">
        <is>
          <t>EV-0131</t>
        </is>
      </c>
      <c r="B136" s="5" t="inlineStr">
        <is>
          <t>C-EL07-03</t>
        </is>
      </c>
      <c r="C136" s="5" t="inlineStr">
        <is>
          <t>S006</t>
        </is>
      </c>
      <c r="D136" s="4" t="inlineStr">
        <is>
          <t>Wayanad: Gandhi 647445, Annie Raja 283023, total counted including NOTA 1084653, total polled 1086459. Rae Bareli: Gandhi 687649, Dinesh Pratap Singh 297619, total polled 1039951.</t>
        </is>
      </c>
      <c r="E136" s="5" t="inlineStr">
        <is>
          <t>https://www.eci.gov.in/eci-backend/public/all_files/GE-2024-statistical-report/33-Constituency-Wise-Detailed-Result.pdf</t>
        </is>
      </c>
      <c r="F136" s="4" t="inlineStr">
        <is>
          <t>Printed pp.165 and 444; Wayanad and Rae Bareli</t>
        </is>
      </c>
      <c r="G136" s="4" t="inlineStr">
        <is>
          <t>Supports</t>
        </is>
      </c>
      <c r="H136" s="4" t="inlineStr">
        <is>
          <t>R006</t>
        </is>
      </c>
      <c r="I136" s="4" t="inlineStr">
        <is>
          <t>Codex: passage-to-statement review</t>
        </is>
      </c>
      <c r="J136" s="4" t="inlineStr">
        <is>
          <t>2026-09-24</t>
        </is>
      </c>
      <c r="K136" s="4" t="inlineStr">
        <is>
          <t>Read as combined support where a field has several sources. Attributed statements establish what was said, not the underlying allegation.</t>
        </is>
      </c>
    </row>
    <row r="137" ht="66" customHeight="1">
      <c r="A137" s="6" t="inlineStr">
        <is>
          <t>EV-0132</t>
        </is>
      </c>
      <c r="B137" s="7" t="inlineStr">
        <is>
          <t>C-EL07-03</t>
        </is>
      </c>
      <c r="C137" s="7" t="inlineStr">
        <is>
          <t>S043</t>
        </is>
      </c>
      <c r="D137" s="6" t="inlineStr">
        <is>
          <t>Speaker accepted resignation from Wayanad effective 18 June 2024. Gandhi retained Rae Bareli; Congress nominated Priyanka for the coming Wayanad by-election.</t>
        </is>
      </c>
      <c r="E137" s="7" t="inlineStr">
        <is>
          <t>https://www.ndtv.com/india-news/rahul-gandhi-resigns-from-wayanad-seat-retains-raebareli-5918402</t>
        </is>
      </c>
      <c r="F137" s="6" t="inlineStr">
        <is>
          <t>Lok Sabha bulletin reproduction; lines 231–241</t>
        </is>
      </c>
      <c r="G137" s="6" t="inlineStr">
        <is>
          <t>Supports</t>
        </is>
      </c>
      <c r="H137" s="6" t="inlineStr">
        <is>
          <t>R043</t>
        </is>
      </c>
      <c r="I137" s="6" t="inlineStr">
        <is>
          <t>Codex: passage-to-statement review</t>
        </is>
      </c>
      <c r="J137" s="6" t="inlineStr">
        <is>
          <t>2026-09-24</t>
        </is>
      </c>
      <c r="K137" s="6" t="inlineStr">
        <is>
          <t>Read as combined support where a field has several sources. Attributed statements establish what was said, not the underlying allegation.</t>
        </is>
      </c>
    </row>
    <row r="138" ht="80" customHeight="1">
      <c r="A138" s="4" t="inlineStr">
        <is>
          <t>EV-0133</t>
        </is>
      </c>
      <c r="B138" s="5" t="inlineStr">
        <is>
          <t>C-EL07-04</t>
        </is>
      </c>
      <c r="C138" s="5" t="inlineStr">
        <is>
          <t>S006</t>
        </is>
      </c>
      <c r="D138" s="4" t="inlineStr">
        <is>
          <t>Wayanad: Gandhi 647445, Annie Raja 283023, total counted including NOTA 1084653, total polled 1086459. Rae Bareli: Gandhi 687649, Dinesh Pratap Singh 297619, total polled 1039951.</t>
        </is>
      </c>
      <c r="E138" s="5" t="inlineStr">
        <is>
          <t>https://www.eci.gov.in/eci-backend/public/all_files/GE-2024-statistical-report/33-Constituency-Wise-Detailed-Result.pdf</t>
        </is>
      </c>
      <c r="F138" s="4" t="inlineStr">
        <is>
          <t>Printed pp.165 and 444; Wayanad and Rae Bareli</t>
        </is>
      </c>
      <c r="G138" s="4" t="inlineStr">
        <is>
          <t>Supports</t>
        </is>
      </c>
      <c r="H138" s="4" t="inlineStr">
        <is>
          <t>R006</t>
        </is>
      </c>
      <c r="I138" s="4" t="inlineStr">
        <is>
          <t>Codex: passage-to-statement review</t>
        </is>
      </c>
      <c r="J138" s="4" t="inlineStr">
        <is>
          <t>2026-09-24</t>
        </is>
      </c>
      <c r="K138" s="4" t="inlineStr">
        <is>
          <t>Read as combined support where a field has several sources. Attributed statements establish what was said, not the underlying allegation.</t>
        </is>
      </c>
    </row>
    <row r="139" ht="66" customHeight="1">
      <c r="A139" s="6" t="inlineStr">
        <is>
          <t>EV-0134</t>
        </is>
      </c>
      <c r="B139" s="7" t="inlineStr">
        <is>
          <t>C-EL07-04</t>
        </is>
      </c>
      <c r="C139" s="7" t="inlineStr">
        <is>
          <t>S043</t>
        </is>
      </c>
      <c r="D139" s="6" t="inlineStr">
        <is>
          <t>Speaker accepted resignation from Wayanad effective 18 June 2024. Gandhi retained Rae Bareli; Congress nominated Priyanka for the coming Wayanad by-election.</t>
        </is>
      </c>
      <c r="E139" s="7" t="inlineStr">
        <is>
          <t>https://www.ndtv.com/india-news/rahul-gandhi-resigns-from-wayanad-seat-retains-raebareli-5918402</t>
        </is>
      </c>
      <c r="F139" s="6" t="inlineStr">
        <is>
          <t>Lok Sabha bulletin reproduction; lines 231–241</t>
        </is>
      </c>
      <c r="G139" s="6" t="inlineStr">
        <is>
          <t>Supports</t>
        </is>
      </c>
      <c r="H139" s="6" t="inlineStr">
        <is>
          <t>R043</t>
        </is>
      </c>
      <c r="I139" s="6" t="inlineStr">
        <is>
          <t>Codex: passage-to-statement review</t>
        </is>
      </c>
      <c r="J139" s="6" t="inlineStr">
        <is>
          <t>2026-09-24</t>
        </is>
      </c>
      <c r="K139" s="6" t="inlineStr">
        <is>
          <t>Read as combined support where a field has several sources. Attributed statements establish what was said, not the underlying allegation.</t>
        </is>
      </c>
    </row>
    <row r="140" ht="80" customHeight="1">
      <c r="A140" s="4" t="inlineStr">
        <is>
          <t>EV-0135</t>
        </is>
      </c>
      <c r="B140" s="5" t="inlineStr">
        <is>
          <t>C-EL07-05</t>
        </is>
      </c>
      <c r="C140" s="5" t="inlineStr">
        <is>
          <t>S006</t>
        </is>
      </c>
      <c r="D140" s="4" t="inlineStr">
        <is>
          <t>Wayanad: Gandhi 647445, Annie Raja 283023, total counted including NOTA 1084653, total polled 1086459. Rae Bareli: Gandhi 687649, Dinesh Pratap Singh 297619, total polled 1039951.</t>
        </is>
      </c>
      <c r="E140" s="5" t="inlineStr">
        <is>
          <t>https://www.eci.gov.in/eci-backend/public/all_files/GE-2024-statistical-report/33-Constituency-Wise-Detailed-Result.pdf</t>
        </is>
      </c>
      <c r="F140" s="4" t="inlineStr">
        <is>
          <t>Printed pp.165 and 444; Wayanad and Rae Bareli</t>
        </is>
      </c>
      <c r="G140" s="4" t="inlineStr">
        <is>
          <t>Supports</t>
        </is>
      </c>
      <c r="H140" s="4" t="inlineStr">
        <is>
          <t>R006</t>
        </is>
      </c>
      <c r="I140" s="4" t="inlineStr">
        <is>
          <t>Codex: passage-to-statement review</t>
        </is>
      </c>
      <c r="J140" s="4" t="inlineStr">
        <is>
          <t>2026-09-24</t>
        </is>
      </c>
      <c r="K140" s="4" t="inlineStr">
        <is>
          <t>Read as combined support where a field has several sources. Attributed statements establish what was said, not the underlying allegation.</t>
        </is>
      </c>
    </row>
    <row r="141" ht="66" customHeight="1">
      <c r="A141" s="6" t="inlineStr">
        <is>
          <t>EV-0136</t>
        </is>
      </c>
      <c r="B141" s="7" t="inlineStr">
        <is>
          <t>C-EL07-05</t>
        </is>
      </c>
      <c r="C141" s="7" t="inlineStr">
        <is>
          <t>S043</t>
        </is>
      </c>
      <c r="D141" s="6" t="inlineStr">
        <is>
          <t>Speaker accepted resignation from Wayanad effective 18 June 2024. Gandhi retained Rae Bareli; Congress nominated Priyanka for the coming Wayanad by-election.</t>
        </is>
      </c>
      <c r="E141" s="7" t="inlineStr">
        <is>
          <t>https://www.ndtv.com/india-news/rahul-gandhi-resigns-from-wayanad-seat-retains-raebareli-5918402</t>
        </is>
      </c>
      <c r="F141" s="6" t="inlineStr">
        <is>
          <t>Lok Sabha bulletin reproduction; lines 231–241</t>
        </is>
      </c>
      <c r="G141" s="6" t="inlineStr">
        <is>
          <t>Supports</t>
        </is>
      </c>
      <c r="H141" s="6" t="inlineStr">
        <is>
          <t>R043</t>
        </is>
      </c>
      <c r="I141" s="6" t="inlineStr">
        <is>
          <t>Codex: passage-to-statement review</t>
        </is>
      </c>
      <c r="J141" s="6" t="inlineStr">
        <is>
          <t>2026-09-24</t>
        </is>
      </c>
      <c r="K141" s="6" t="inlineStr">
        <is>
          <t>Read as combined support where a field has several sources. Attributed statements establish what was said, not the underlying allegation.</t>
        </is>
      </c>
    </row>
    <row r="142" ht="80" customHeight="1">
      <c r="A142" s="4" t="inlineStr">
        <is>
          <t>EV-0137</t>
        </is>
      </c>
      <c r="B142" s="5" t="inlineStr">
        <is>
          <t>C-EL07-06</t>
        </is>
      </c>
      <c r="C142" s="5" t="inlineStr">
        <is>
          <t>S006</t>
        </is>
      </c>
      <c r="D142" s="4" t="inlineStr">
        <is>
          <t>Wayanad: Gandhi 647445, Annie Raja 283023, total counted including NOTA 1084653, total polled 1086459. Rae Bareli: Gandhi 687649, Dinesh Pratap Singh 297619, total polled 1039951.</t>
        </is>
      </c>
      <c r="E142" s="5" t="inlineStr">
        <is>
          <t>https://www.eci.gov.in/eci-backend/public/all_files/GE-2024-statistical-report/33-Constituency-Wise-Detailed-Result.pdf</t>
        </is>
      </c>
      <c r="F142" s="4" t="inlineStr">
        <is>
          <t>Printed pp.165 and 444; Wayanad and Rae Bareli</t>
        </is>
      </c>
      <c r="G142" s="4" t="inlineStr">
        <is>
          <t>Supports</t>
        </is>
      </c>
      <c r="H142" s="4" t="inlineStr">
        <is>
          <t>R006</t>
        </is>
      </c>
      <c r="I142" s="4" t="inlineStr">
        <is>
          <t>Codex: passage-to-statement review</t>
        </is>
      </c>
      <c r="J142" s="4" t="inlineStr">
        <is>
          <t>2026-09-24</t>
        </is>
      </c>
      <c r="K142" s="4" t="inlineStr">
        <is>
          <t>Read as combined support where a field has several sources. Attributed statements establish what was said, not the underlying allegation.</t>
        </is>
      </c>
    </row>
    <row r="143" ht="66" customHeight="1">
      <c r="A143" s="6" t="inlineStr">
        <is>
          <t>EV-0138</t>
        </is>
      </c>
      <c r="B143" s="7" t="inlineStr">
        <is>
          <t>C-EL07-06</t>
        </is>
      </c>
      <c r="C143" s="7" t="inlineStr">
        <is>
          <t>S043</t>
        </is>
      </c>
      <c r="D143" s="6" t="inlineStr">
        <is>
          <t>Speaker accepted resignation from Wayanad effective 18 June 2024. Gandhi retained Rae Bareli; Congress nominated Priyanka for the coming Wayanad by-election.</t>
        </is>
      </c>
      <c r="E143" s="7" t="inlineStr">
        <is>
          <t>https://www.ndtv.com/india-news/rahul-gandhi-resigns-from-wayanad-seat-retains-raebareli-5918402</t>
        </is>
      </c>
      <c r="F143" s="6" t="inlineStr">
        <is>
          <t>Lok Sabha bulletin reproduction; lines 231–241</t>
        </is>
      </c>
      <c r="G143" s="6" t="inlineStr">
        <is>
          <t>Supports</t>
        </is>
      </c>
      <c r="H143" s="6" t="inlineStr">
        <is>
          <t>R043</t>
        </is>
      </c>
      <c r="I143" s="6" t="inlineStr">
        <is>
          <t>Codex: passage-to-statement review</t>
        </is>
      </c>
      <c r="J143" s="6" t="inlineStr">
        <is>
          <t>2026-09-24</t>
        </is>
      </c>
      <c r="K143" s="6" t="inlineStr">
        <is>
          <t>Read as combined support where a field has several sources. Attributed statements establish what was said, not the underlying allegation.</t>
        </is>
      </c>
    </row>
    <row r="144" ht="80" customHeight="1">
      <c r="A144" s="4" t="inlineStr">
        <is>
          <t>EV-0139</t>
        </is>
      </c>
      <c r="B144" s="5" t="inlineStr">
        <is>
          <t>C-OF01-01</t>
        </is>
      </c>
      <c r="C144" s="5" t="inlineStr">
        <is>
          <t>S004</t>
        </is>
      </c>
      <c r="D144" s="4" t="inlineStr">
        <is>
          <t>Born 19 June 1970 to Rajiv and Sonia Gandhi. Entered electoral politics in 2004; AICC general secretary from 24 September 2007; vice-president January 2013; president from 16 December 2017. Lists the 2022–23 and 2024 yatras.</t>
        </is>
      </c>
      <c r="E144" s="5" t="inlineStr">
        <is>
          <t>https://inc.in/leadership/past-party-presidents/shri-rahul-gandhi</t>
        </is>
      </c>
      <c r="F144" s="4" t="inlineStr">
        <is>
          <t>Family; Political journey; Presidency; Post-presidency</t>
        </is>
      </c>
      <c r="G144" s="4" t="inlineStr">
        <is>
          <t>Supports</t>
        </is>
      </c>
      <c r="H144" s="4" t="inlineStr">
        <is>
          <t>R004</t>
        </is>
      </c>
      <c r="I144" s="4" t="inlineStr">
        <is>
          <t>Codex: passage-to-statement review</t>
        </is>
      </c>
      <c r="J144" s="4" t="inlineStr">
        <is>
          <t>2026-09-24</t>
        </is>
      </c>
      <c r="K144" s="4" t="inlineStr">
        <is>
          <t>Read as combined support where a field has several sources. Attributed statements establish what was said, not the underlying allegation.</t>
        </is>
      </c>
    </row>
    <row r="145" ht="66" customHeight="1">
      <c r="A145" s="6" t="inlineStr">
        <is>
          <t>EV-0140</t>
        </is>
      </c>
      <c r="B145" s="7" t="inlineStr">
        <is>
          <t>C-OF01-01</t>
        </is>
      </c>
      <c r="C145" s="7" t="inlineStr">
        <is>
          <t>S009</t>
        </is>
      </c>
      <c r="D145" s="6" t="inlineStr">
        <is>
          <t>Rahul Gandhi, INC, won Amethi with 390179 votes against Chandra Parkash Mishra Matiyari, BSP, 99326.</t>
        </is>
      </c>
      <c r="E145" s="7" t="inlineStr">
        <is>
          <t>https://www.elections.in/parliamentary-constituencies/2004-election-results.html</t>
        </is>
      </c>
      <c r="F145" s="6" t="inlineStr">
        <is>
          <t>Uttar Pradesh, constituency 21 Amethi; line 545</t>
        </is>
      </c>
      <c r="G145" s="6" t="inlineStr">
        <is>
          <t>Supports</t>
        </is>
      </c>
      <c r="H145" s="6" t="inlineStr">
        <is>
          <t>R009</t>
        </is>
      </c>
      <c r="I145" s="6" t="inlineStr">
        <is>
          <t>Codex: passage-to-statement review</t>
        </is>
      </c>
      <c r="J145" s="6" t="inlineStr">
        <is>
          <t>2026-09-24</t>
        </is>
      </c>
      <c r="K145" s="6" t="inlineStr">
        <is>
          <t>Read as combined support where a field has several sources. Attributed statements establish what was said, not the underlying allegation.</t>
        </is>
      </c>
    </row>
    <row r="146" ht="80" customHeight="1">
      <c r="A146" s="4" t="inlineStr">
        <is>
          <t>EV-0141</t>
        </is>
      </c>
      <c r="B146" s="5" t="inlineStr">
        <is>
          <t>C-OF02-01</t>
        </is>
      </c>
      <c r="C146" s="5" t="inlineStr">
        <is>
          <t>S004</t>
        </is>
      </c>
      <c r="D146" s="4" t="inlineStr">
        <is>
          <t>Born 19 June 1970 to Rajiv and Sonia Gandhi. Entered electoral politics in 2004; AICC general secretary from 24 September 2007; vice-president January 2013; president from 16 December 2017. Lists the 2022–23 and 2024 yatras.</t>
        </is>
      </c>
      <c r="E146" s="5" t="inlineStr">
        <is>
          <t>https://inc.in/leadership/past-party-presidents/shri-rahul-gandhi</t>
        </is>
      </c>
      <c r="F146" s="4" t="inlineStr">
        <is>
          <t>Family; Political journey; Presidency; Post-presidency</t>
        </is>
      </c>
      <c r="G146" s="4" t="inlineStr">
        <is>
          <t>Supports</t>
        </is>
      </c>
      <c r="H146" s="4" t="inlineStr">
        <is>
          <t>R004</t>
        </is>
      </c>
      <c r="I146" s="4" t="inlineStr">
        <is>
          <t>Codex: passage-to-statement review</t>
        </is>
      </c>
      <c r="J146" s="4" t="inlineStr">
        <is>
          <t>2026-09-24</t>
        </is>
      </c>
      <c r="K146" s="4" t="inlineStr">
        <is>
          <t>Read as combined support where a field has several sources. Attributed statements establish what was said, not the underlying allegation.</t>
        </is>
      </c>
    </row>
    <row r="147" ht="80" customHeight="1">
      <c r="A147" s="6" t="inlineStr">
        <is>
          <t>EV-0142</t>
        </is>
      </c>
      <c r="B147" s="7" t="inlineStr">
        <is>
          <t>C-OF02-01</t>
        </is>
      </c>
      <c r="C147" s="7" t="inlineStr">
        <is>
          <t>S008</t>
        </is>
      </c>
      <c r="D147" s="6" t="inlineStr">
        <is>
          <t>2009: Gandhi 464195, Asheesh Shukla 93997, 71.78%. 2014: Gandhi 408651, Smriti Irani 300748.</t>
        </is>
      </c>
      <c r="E147" s="7" t="inlineStr">
        <is>
          <t>https://www.moneycontrol.com/elections/lok-sabha-election/uttar-pradesh/constituencies/amethi-constituency-s24led2008p037/</t>
        </is>
      </c>
      <c r="F147" s="6" t="inlineStr">
        <is>
          <t>Past election results; lines 459–466 and 510–520</t>
        </is>
      </c>
      <c r="G147" s="6" t="inlineStr">
        <is>
          <t>Supports</t>
        </is>
      </c>
      <c r="H147" s="6" t="inlineStr">
        <is>
          <t>R008</t>
        </is>
      </c>
      <c r="I147" s="6" t="inlineStr">
        <is>
          <t>Codex: passage-to-statement review</t>
        </is>
      </c>
      <c r="J147" s="6" t="inlineStr">
        <is>
          <t>2026-09-24</t>
        </is>
      </c>
      <c r="K147" s="6" t="inlineStr">
        <is>
          <t>Read as combined support where a field has several sources. Attributed statements establish what was said, not the underlying allegation.</t>
        </is>
      </c>
    </row>
    <row r="148" ht="80" customHeight="1">
      <c r="A148" s="4" t="inlineStr">
        <is>
          <t>EV-0143</t>
        </is>
      </c>
      <c r="B148" s="5" t="inlineStr">
        <is>
          <t>C-OF03-01</t>
        </is>
      </c>
      <c r="C148" s="5" t="inlineStr">
        <is>
          <t>S004</t>
        </is>
      </c>
      <c r="D148" s="4" t="inlineStr">
        <is>
          <t>Born 19 June 1970 to Rajiv and Sonia Gandhi. Entered electoral politics in 2004; AICC general secretary from 24 September 2007; vice-president January 2013; president from 16 December 2017. Lists the 2022–23 and 2024 yatras.</t>
        </is>
      </c>
      <c r="E148" s="5" t="inlineStr">
        <is>
          <t>https://inc.in/leadership/past-party-presidents/shri-rahul-gandhi</t>
        </is>
      </c>
      <c r="F148" s="4" t="inlineStr">
        <is>
          <t>Family; Political journey; Presidency; Post-presidency</t>
        </is>
      </c>
      <c r="G148" s="4" t="inlineStr">
        <is>
          <t>Supports</t>
        </is>
      </c>
      <c r="H148" s="4" t="inlineStr">
        <is>
          <t>R004</t>
        </is>
      </c>
      <c r="I148" s="4" t="inlineStr">
        <is>
          <t>Codex: passage-to-statement review</t>
        </is>
      </c>
      <c r="J148" s="4" t="inlineStr">
        <is>
          <t>2026-09-24</t>
        </is>
      </c>
      <c r="K148" s="4" t="inlineStr">
        <is>
          <t>Read as combined support where a field has several sources. Attributed statements establish what was said, not the underlying allegation.</t>
        </is>
      </c>
    </row>
    <row r="149" ht="66" customHeight="1">
      <c r="A149" s="6" t="inlineStr">
        <is>
          <t>EV-0144</t>
        </is>
      </c>
      <c r="B149" s="7" t="inlineStr">
        <is>
          <t>C-OF03-01</t>
        </is>
      </c>
      <c r="C149" s="7" t="inlineStr">
        <is>
          <t>S007</t>
        </is>
      </c>
      <c r="D149" s="6" t="inlineStr">
        <is>
          <t>Wayanad: Gandhi 706367 versus P.P. Suneer 274597; total votes 1092197; margin 431770. Amethi: Gandhi 413394 versus Smriti Irani 468514; total votes 942453; loss margin 55120.</t>
        </is>
      </c>
      <c r="E149" s="7" t="inlineStr">
        <is>
          <t>https://adrindia.org/sites/default/files/Analysis_of_Vote_Share_Margin_Of_Victory_Lok_Sabha__2019.pdf</t>
        </is>
      </c>
      <c r="F149" s="6" t="inlineStr">
        <is>
          <t>Printed pp.26 and 69; Wayanad and Amethi</t>
        </is>
      </c>
      <c r="G149" s="6" t="inlineStr">
        <is>
          <t>Supports</t>
        </is>
      </c>
      <c r="H149" s="6" t="inlineStr">
        <is>
          <t>R007</t>
        </is>
      </c>
      <c r="I149" s="6" t="inlineStr">
        <is>
          <t>Codex: passage-to-statement review</t>
        </is>
      </c>
      <c r="J149" s="6" t="inlineStr">
        <is>
          <t>2026-09-24</t>
        </is>
      </c>
      <c r="K149" s="6" t="inlineStr">
        <is>
          <t>Read as combined support where a field has several sources. Attributed statements establish what was said, not the underlying allegation.</t>
        </is>
      </c>
    </row>
    <row r="150" ht="80" customHeight="1">
      <c r="A150" s="4" t="inlineStr">
        <is>
          <t>EV-0145</t>
        </is>
      </c>
      <c r="B150" s="5" t="inlineStr">
        <is>
          <t>C-OF03-01</t>
        </is>
      </c>
      <c r="C150" s="5" t="inlineStr">
        <is>
          <t>S008</t>
        </is>
      </c>
      <c r="D150" s="4" t="inlineStr">
        <is>
          <t>2009: Gandhi 464195, Asheesh Shukla 93997, 71.78%. 2014: Gandhi 408651, Smriti Irani 300748.</t>
        </is>
      </c>
      <c r="E150" s="5" t="inlineStr">
        <is>
          <t>https://www.moneycontrol.com/elections/lok-sabha-election/uttar-pradesh/constituencies/amethi-constituency-s24led2008p037/</t>
        </is>
      </c>
      <c r="F150" s="4" t="inlineStr">
        <is>
          <t>Past election results; lines 459–466 and 510–520</t>
        </is>
      </c>
      <c r="G150" s="4" t="inlineStr">
        <is>
          <t>Supports</t>
        </is>
      </c>
      <c r="H150" s="4" t="inlineStr">
        <is>
          <t>R008</t>
        </is>
      </c>
      <c r="I150" s="4" t="inlineStr">
        <is>
          <t>Codex: passage-to-statement review</t>
        </is>
      </c>
      <c r="J150" s="4" t="inlineStr">
        <is>
          <t>2026-09-24</t>
        </is>
      </c>
      <c r="K150" s="4" t="inlineStr">
        <is>
          <t>Read as combined support where a field has several sources. Attributed statements establish what was said, not the underlying allegation.</t>
        </is>
      </c>
    </row>
    <row r="151" ht="66" customHeight="1">
      <c r="A151" s="6" t="inlineStr">
        <is>
          <t>EV-0146</t>
        </is>
      </c>
      <c r="B151" s="7" t="inlineStr">
        <is>
          <t>C-OF04-01</t>
        </is>
      </c>
      <c r="C151" s="7" t="inlineStr">
        <is>
          <t>S042</t>
        </is>
      </c>
      <c r="D151" s="6" t="inlineStr">
        <is>
          <t>Wayanad term displayed 23 May 2019–5 June 2024. PRS records 51% attendance, 8 debates, 99 questions and zero private bills. Lists railway, farmers and connectivity interventions.</t>
        </is>
      </c>
      <c r="E151" s="7" t="inlineStr">
        <is>
          <t>https://prsindia.org/mptrack/17-lok-sabha/rahul-gandhi</t>
        </is>
      </c>
      <c r="F151" s="6" t="inlineStr">
        <is>
          <t>Profile; activity from 1 June 2019 to 10 February 2024</t>
        </is>
      </c>
      <c r="G151" s="6" t="inlineStr">
        <is>
          <t>Supports</t>
        </is>
      </c>
      <c r="H151" s="6" t="inlineStr">
        <is>
          <t>R042</t>
        </is>
      </c>
      <c r="I151" s="6" t="inlineStr">
        <is>
          <t>Codex: passage-to-statement review</t>
        </is>
      </c>
      <c r="J151" s="6" t="inlineStr">
        <is>
          <t>2026-09-24</t>
        </is>
      </c>
      <c r="K151" s="6" t="inlineStr">
        <is>
          <t>Read as combined support where a field has several sources. Attributed statements establish what was said, not the underlying allegation.</t>
        </is>
      </c>
    </row>
    <row r="152" ht="66" customHeight="1">
      <c r="A152" s="4" t="inlineStr">
        <is>
          <t>EV-0147</t>
        </is>
      </c>
      <c r="B152" s="5" t="inlineStr">
        <is>
          <t>C-OF04-01</t>
        </is>
      </c>
      <c r="C152" s="5" t="inlineStr">
        <is>
          <t>S011</t>
        </is>
      </c>
      <c r="D152" s="4" t="inlineStr">
        <is>
          <t>Lok Sabha Secretariat restored membership on 7 August 2023 after the Supreme Court stay. Disqualification operated from 23 March 2023 following the conviction.</t>
        </is>
      </c>
      <c r="E152" s="5" t="inlineStr">
        <is>
          <t>https://indianexpress.com/article/political-pulse/rahul-gandhi-returns-mp-lok-sabha-supreme-court-8880307/</t>
        </is>
      </c>
      <c r="F152" s="4" t="inlineStr">
        <is>
          <t>Opening and closing paragraphs</t>
        </is>
      </c>
      <c r="G152" s="4" t="inlineStr">
        <is>
          <t>Supports</t>
        </is>
      </c>
      <c r="H152" s="4" t="inlineStr">
        <is>
          <t>R011</t>
        </is>
      </c>
      <c r="I152" s="4" t="inlineStr">
        <is>
          <t>Codex: passage-to-statement review</t>
        </is>
      </c>
      <c r="J152" s="4" t="inlineStr">
        <is>
          <t>2026-09-24</t>
        </is>
      </c>
      <c r="K152" s="4" t="inlineStr">
        <is>
          <t>Read as combined support where a field has several sources. Attributed statements establish what was said, not the underlying allegation.</t>
        </is>
      </c>
    </row>
    <row r="153" ht="66" customHeight="1">
      <c r="A153" s="6" t="inlineStr">
        <is>
          <t>EV-0148</t>
        </is>
      </c>
      <c r="B153" s="7" t="inlineStr">
        <is>
          <t>C-OF04-02</t>
        </is>
      </c>
      <c r="C153" s="7" t="inlineStr">
        <is>
          <t>S042</t>
        </is>
      </c>
      <c r="D153" s="6" t="inlineStr">
        <is>
          <t>Wayanad term displayed 23 May 2019–5 June 2024. PRS records 51% attendance, 8 debates, 99 questions and zero private bills. Lists railway, farmers and connectivity interventions.</t>
        </is>
      </c>
      <c r="E153" s="7" t="inlineStr">
        <is>
          <t>https://prsindia.org/mptrack/17-lok-sabha/rahul-gandhi</t>
        </is>
      </c>
      <c r="F153" s="6" t="inlineStr">
        <is>
          <t>Profile; activity from 1 June 2019 to 10 February 2024</t>
        </is>
      </c>
      <c r="G153" s="6" t="inlineStr">
        <is>
          <t>Supports</t>
        </is>
      </c>
      <c r="H153" s="6" t="inlineStr">
        <is>
          <t>R042</t>
        </is>
      </c>
      <c r="I153" s="6" t="inlineStr">
        <is>
          <t>Codex: passage-to-statement review</t>
        </is>
      </c>
      <c r="J153" s="6" t="inlineStr">
        <is>
          <t>2026-09-24</t>
        </is>
      </c>
      <c r="K153" s="6" t="inlineStr">
        <is>
          <t>Read as combined support where a field has several sources. Attributed statements establish what was said, not the underlying allegation.</t>
        </is>
      </c>
    </row>
    <row r="154" ht="66" customHeight="1">
      <c r="A154" s="4" t="inlineStr">
        <is>
          <t>EV-0149</t>
        </is>
      </c>
      <c r="B154" s="5" t="inlineStr">
        <is>
          <t>C-OF04-02</t>
        </is>
      </c>
      <c r="C154" s="5" t="inlineStr">
        <is>
          <t>S011</t>
        </is>
      </c>
      <c r="D154" s="4" t="inlineStr">
        <is>
          <t>Lok Sabha Secretariat restored membership on 7 August 2023 after the Supreme Court stay. Disqualification operated from 23 March 2023 following the conviction.</t>
        </is>
      </c>
      <c r="E154" s="5" t="inlineStr">
        <is>
          <t>https://indianexpress.com/article/political-pulse/rahul-gandhi-returns-mp-lok-sabha-supreme-court-8880307/</t>
        </is>
      </c>
      <c r="F154" s="4" t="inlineStr">
        <is>
          <t>Opening and closing paragraphs</t>
        </is>
      </c>
      <c r="G154" s="4" t="inlineStr">
        <is>
          <t>Supports</t>
        </is>
      </c>
      <c r="H154" s="4" t="inlineStr">
        <is>
          <t>R011</t>
        </is>
      </c>
      <c r="I154" s="4" t="inlineStr">
        <is>
          <t>Codex: passage-to-statement review</t>
        </is>
      </c>
      <c r="J154" s="4" t="inlineStr">
        <is>
          <t>2026-09-24</t>
        </is>
      </c>
      <c r="K154" s="4" t="inlineStr">
        <is>
          <t>Read as combined support where a field has several sources. Attributed statements establish what was said, not the underlying allegation.</t>
        </is>
      </c>
    </row>
    <row r="155" ht="66" customHeight="1">
      <c r="A155" s="6" t="inlineStr">
        <is>
          <t>EV-0150</t>
        </is>
      </c>
      <c r="B155" s="7" t="inlineStr">
        <is>
          <t>C-OF04-03</t>
        </is>
      </c>
      <c r="C155" s="7" t="inlineStr">
        <is>
          <t>S042</t>
        </is>
      </c>
      <c r="D155" s="6" t="inlineStr">
        <is>
          <t>Wayanad term displayed 23 May 2019–5 June 2024. PRS records 51% attendance, 8 debates, 99 questions and zero private bills. Lists railway, farmers and connectivity interventions.</t>
        </is>
      </c>
      <c r="E155" s="7" t="inlineStr">
        <is>
          <t>https://prsindia.org/mptrack/17-lok-sabha/rahul-gandhi</t>
        </is>
      </c>
      <c r="F155" s="6" t="inlineStr">
        <is>
          <t>Profile; activity from 1 June 2019 to 10 February 2024</t>
        </is>
      </c>
      <c r="G155" s="6" t="inlineStr">
        <is>
          <t>Supports</t>
        </is>
      </c>
      <c r="H155" s="6" t="inlineStr">
        <is>
          <t>R042</t>
        </is>
      </c>
      <c r="I155" s="6" t="inlineStr">
        <is>
          <t>Codex: passage-to-statement review</t>
        </is>
      </c>
      <c r="J155" s="6" t="inlineStr">
        <is>
          <t>2026-09-24</t>
        </is>
      </c>
      <c r="K155" s="6" t="inlineStr">
        <is>
          <t>Read as combined support where a field has several sources. Attributed statements establish what was said, not the underlying allegation.</t>
        </is>
      </c>
    </row>
    <row r="156" ht="66" customHeight="1">
      <c r="A156" s="4" t="inlineStr">
        <is>
          <t>EV-0151</t>
        </is>
      </c>
      <c r="B156" s="5" t="inlineStr">
        <is>
          <t>C-OF04-03</t>
        </is>
      </c>
      <c r="C156" s="5" t="inlineStr">
        <is>
          <t>S011</t>
        </is>
      </c>
      <c r="D156" s="4" t="inlineStr">
        <is>
          <t>Lok Sabha Secretariat restored membership on 7 August 2023 after the Supreme Court stay. Disqualification operated from 23 March 2023 following the conviction.</t>
        </is>
      </c>
      <c r="E156" s="5" t="inlineStr">
        <is>
          <t>https://indianexpress.com/article/political-pulse/rahul-gandhi-returns-mp-lok-sabha-supreme-court-8880307/</t>
        </is>
      </c>
      <c r="F156" s="4" t="inlineStr">
        <is>
          <t>Opening and closing paragraphs</t>
        </is>
      </c>
      <c r="G156" s="4" t="inlineStr">
        <is>
          <t>Supports</t>
        </is>
      </c>
      <c r="H156" s="4" t="inlineStr">
        <is>
          <t>R011</t>
        </is>
      </c>
      <c r="I156" s="4" t="inlineStr">
        <is>
          <t>Codex: passage-to-statement review</t>
        </is>
      </c>
      <c r="J156" s="4" t="inlineStr">
        <is>
          <t>2026-09-24</t>
        </is>
      </c>
      <c r="K156" s="4" t="inlineStr">
        <is>
          <t>Read as combined support where a field has several sources. Attributed statements establish what was said, not the underlying allegation.</t>
        </is>
      </c>
    </row>
    <row r="157" ht="66" customHeight="1">
      <c r="A157" s="6" t="inlineStr">
        <is>
          <t>EV-0152</t>
        </is>
      </c>
      <c r="B157" s="7" t="inlineStr">
        <is>
          <t>C-OF05-01</t>
        </is>
      </c>
      <c r="C157" s="7" t="inlineStr">
        <is>
          <t>S011</t>
        </is>
      </c>
      <c r="D157" s="6" t="inlineStr">
        <is>
          <t>Lok Sabha Secretariat restored membership on 7 August 2023 after the Supreme Court stay. Disqualification operated from 23 March 2023 following the conviction.</t>
        </is>
      </c>
      <c r="E157" s="7" t="inlineStr">
        <is>
          <t>https://indianexpress.com/article/political-pulse/rahul-gandhi-returns-mp-lok-sabha-supreme-court-8880307/</t>
        </is>
      </c>
      <c r="F157" s="6" t="inlineStr">
        <is>
          <t>Opening and closing paragraphs</t>
        </is>
      </c>
      <c r="G157" s="6" t="inlineStr">
        <is>
          <t>Supports</t>
        </is>
      </c>
      <c r="H157" s="6" t="inlineStr">
        <is>
          <t>R011</t>
        </is>
      </c>
      <c r="I157" s="6" t="inlineStr">
        <is>
          <t>Codex: passage-to-statement review</t>
        </is>
      </c>
      <c r="J157" s="6" t="inlineStr">
        <is>
          <t>2026-09-24</t>
        </is>
      </c>
      <c r="K157" s="6" t="inlineStr">
        <is>
          <t>Read as combined support where a field has several sources. Attributed statements establish what was said, not the underlying allegation.</t>
        </is>
      </c>
    </row>
    <row r="158" ht="66" customHeight="1">
      <c r="A158" s="4" t="inlineStr">
        <is>
          <t>EV-0153</t>
        </is>
      </c>
      <c r="B158" s="5" t="inlineStr">
        <is>
          <t>C-OF05-01</t>
        </is>
      </c>
      <c r="C158" s="5" t="inlineStr">
        <is>
          <t>S042</t>
        </is>
      </c>
      <c r="D158" s="4" t="inlineStr">
        <is>
          <t>Wayanad term displayed 23 May 2019–5 June 2024. PRS records 51% attendance, 8 debates, 99 questions and zero private bills. Lists railway, farmers and connectivity interventions.</t>
        </is>
      </c>
      <c r="E158" s="5" t="inlineStr">
        <is>
          <t>https://prsindia.org/mptrack/17-lok-sabha/rahul-gandhi</t>
        </is>
      </c>
      <c r="F158" s="4" t="inlineStr">
        <is>
          <t>Profile; activity from 1 June 2019 to 10 February 2024</t>
        </is>
      </c>
      <c r="G158" s="4" t="inlineStr">
        <is>
          <t>Supports</t>
        </is>
      </c>
      <c r="H158" s="4" t="inlineStr">
        <is>
          <t>R042</t>
        </is>
      </c>
      <c r="I158" s="4" t="inlineStr">
        <is>
          <t>Codex: passage-to-statement review</t>
        </is>
      </c>
      <c r="J158" s="4" t="inlineStr">
        <is>
          <t>2026-09-24</t>
        </is>
      </c>
      <c r="K158" s="4" t="inlineStr">
        <is>
          <t>Read as combined support where a field has several sources. Attributed statements establish what was said, not the underlying allegation.</t>
        </is>
      </c>
    </row>
    <row r="159" ht="66" customHeight="1">
      <c r="A159" s="6" t="inlineStr">
        <is>
          <t>EV-0154</t>
        </is>
      </c>
      <c r="B159" s="7" t="inlineStr">
        <is>
          <t>C-OF05-02</t>
        </is>
      </c>
      <c r="C159" s="7" t="inlineStr">
        <is>
          <t>S011</t>
        </is>
      </c>
      <c r="D159" s="6" t="inlineStr">
        <is>
          <t>Lok Sabha Secretariat restored membership on 7 August 2023 after the Supreme Court stay. Disqualification operated from 23 March 2023 following the conviction.</t>
        </is>
      </c>
      <c r="E159" s="7" t="inlineStr">
        <is>
          <t>https://indianexpress.com/article/political-pulse/rahul-gandhi-returns-mp-lok-sabha-supreme-court-8880307/</t>
        </is>
      </c>
      <c r="F159" s="6" t="inlineStr">
        <is>
          <t>Opening and closing paragraphs</t>
        </is>
      </c>
      <c r="G159" s="6" t="inlineStr">
        <is>
          <t>Supports</t>
        </is>
      </c>
      <c r="H159" s="6" t="inlineStr">
        <is>
          <t>R011</t>
        </is>
      </c>
      <c r="I159" s="6" t="inlineStr">
        <is>
          <t>Codex: passage-to-statement review</t>
        </is>
      </c>
      <c r="J159" s="6" t="inlineStr">
        <is>
          <t>2026-09-24</t>
        </is>
      </c>
      <c r="K159" s="6" t="inlineStr">
        <is>
          <t>Read as combined support where a field has several sources. Attributed statements establish what was said, not the underlying allegation.</t>
        </is>
      </c>
    </row>
    <row r="160" ht="66" customHeight="1">
      <c r="A160" s="4" t="inlineStr">
        <is>
          <t>EV-0155</t>
        </is>
      </c>
      <c r="B160" s="5" t="inlineStr">
        <is>
          <t>C-OF05-02</t>
        </is>
      </c>
      <c r="C160" s="5" t="inlineStr">
        <is>
          <t>S042</t>
        </is>
      </c>
      <c r="D160" s="4" t="inlineStr">
        <is>
          <t>Wayanad term displayed 23 May 2019–5 June 2024. PRS records 51% attendance, 8 debates, 99 questions and zero private bills. Lists railway, farmers and connectivity interventions.</t>
        </is>
      </c>
      <c r="E160" s="5" t="inlineStr">
        <is>
          <t>https://prsindia.org/mptrack/17-lok-sabha/rahul-gandhi</t>
        </is>
      </c>
      <c r="F160" s="4" t="inlineStr">
        <is>
          <t>Profile; activity from 1 June 2019 to 10 February 2024</t>
        </is>
      </c>
      <c r="G160" s="4" t="inlineStr">
        <is>
          <t>Supports</t>
        </is>
      </c>
      <c r="H160" s="4" t="inlineStr">
        <is>
          <t>R042</t>
        </is>
      </c>
      <c r="I160" s="4" t="inlineStr">
        <is>
          <t>Codex: passage-to-statement review</t>
        </is>
      </c>
      <c r="J160" s="4" t="inlineStr">
        <is>
          <t>2026-09-24</t>
        </is>
      </c>
      <c r="K160" s="4" t="inlineStr">
        <is>
          <t>Read as combined support where a field has several sources. Attributed statements establish what was said, not the underlying allegation.</t>
        </is>
      </c>
    </row>
    <row r="161" ht="66" customHeight="1">
      <c r="A161" s="6" t="inlineStr">
        <is>
          <t>EV-0156</t>
        </is>
      </c>
      <c r="B161" s="7" t="inlineStr">
        <is>
          <t>C-OF05-03</t>
        </is>
      </c>
      <c r="C161" s="7" t="inlineStr">
        <is>
          <t>S011</t>
        </is>
      </c>
      <c r="D161" s="6" t="inlineStr">
        <is>
          <t>Lok Sabha Secretariat restored membership on 7 August 2023 after the Supreme Court stay. Disqualification operated from 23 March 2023 following the conviction.</t>
        </is>
      </c>
      <c r="E161" s="7" t="inlineStr">
        <is>
          <t>https://indianexpress.com/article/political-pulse/rahul-gandhi-returns-mp-lok-sabha-supreme-court-8880307/</t>
        </is>
      </c>
      <c r="F161" s="6" t="inlineStr">
        <is>
          <t>Opening and closing paragraphs</t>
        </is>
      </c>
      <c r="G161" s="6" t="inlineStr">
        <is>
          <t>Supports</t>
        </is>
      </c>
      <c r="H161" s="6" t="inlineStr">
        <is>
          <t>R011</t>
        </is>
      </c>
      <c r="I161" s="6" t="inlineStr">
        <is>
          <t>Codex: passage-to-statement review</t>
        </is>
      </c>
      <c r="J161" s="6" t="inlineStr">
        <is>
          <t>2026-09-24</t>
        </is>
      </c>
      <c r="K161" s="6" t="inlineStr">
        <is>
          <t>Read as combined support where a field has several sources. Attributed statements establish what was said, not the underlying allegation.</t>
        </is>
      </c>
    </row>
    <row r="162" ht="66" customHeight="1">
      <c r="A162" s="4" t="inlineStr">
        <is>
          <t>EV-0157</t>
        </is>
      </c>
      <c r="B162" s="5" t="inlineStr">
        <is>
          <t>C-OF05-03</t>
        </is>
      </c>
      <c r="C162" s="5" t="inlineStr">
        <is>
          <t>S042</t>
        </is>
      </c>
      <c r="D162" s="4" t="inlineStr">
        <is>
          <t>Wayanad term displayed 23 May 2019–5 June 2024. PRS records 51% attendance, 8 debates, 99 questions and zero private bills. Lists railway, farmers and connectivity interventions.</t>
        </is>
      </c>
      <c r="E162" s="5" t="inlineStr">
        <is>
          <t>https://prsindia.org/mptrack/17-lok-sabha/rahul-gandhi</t>
        </is>
      </c>
      <c r="F162" s="4" t="inlineStr">
        <is>
          <t>Profile; activity from 1 June 2019 to 10 February 2024</t>
        </is>
      </c>
      <c r="G162" s="4" t="inlineStr">
        <is>
          <t>Supports</t>
        </is>
      </c>
      <c r="H162" s="4" t="inlineStr">
        <is>
          <t>R042</t>
        </is>
      </c>
      <c r="I162" s="4" t="inlineStr">
        <is>
          <t>Codex: passage-to-statement review</t>
        </is>
      </c>
      <c r="J162" s="4" t="inlineStr">
        <is>
          <t>2026-09-24</t>
        </is>
      </c>
      <c r="K162" s="4" t="inlineStr">
        <is>
          <t>Read as combined support where a field has several sources. Attributed statements establish what was said, not the underlying allegation.</t>
        </is>
      </c>
    </row>
    <row r="163" ht="80" customHeight="1">
      <c r="A163" s="6" t="inlineStr">
        <is>
          <t>EV-0158</t>
        </is>
      </c>
      <c r="B163" s="7" t="inlineStr">
        <is>
          <t>C-OF06-01</t>
        </is>
      </c>
      <c r="C163" s="7" t="inlineStr">
        <is>
          <t>S006</t>
        </is>
      </c>
      <c r="D163" s="6" t="inlineStr">
        <is>
          <t>Wayanad: Gandhi 647445, Annie Raja 283023, total counted including NOTA 1084653, total polled 1086459. Rae Bareli: Gandhi 687649, Dinesh Pratap Singh 297619, total polled 1039951.</t>
        </is>
      </c>
      <c r="E163" s="7" t="inlineStr">
        <is>
          <t>https://www.eci.gov.in/eci-backend/public/all_files/GE-2024-statistical-report/33-Constituency-Wise-Detailed-Result.pdf</t>
        </is>
      </c>
      <c r="F163" s="6" t="inlineStr">
        <is>
          <t>Printed pp.165 and 444; Wayanad and Rae Bareli</t>
        </is>
      </c>
      <c r="G163" s="6" t="inlineStr">
        <is>
          <t>Supports</t>
        </is>
      </c>
      <c r="H163" s="6" t="inlineStr">
        <is>
          <t>R006</t>
        </is>
      </c>
      <c r="I163" s="6" t="inlineStr">
        <is>
          <t>Codex: passage-to-statement review</t>
        </is>
      </c>
      <c r="J163" s="6" t="inlineStr">
        <is>
          <t>2026-09-24</t>
        </is>
      </c>
      <c r="K163" s="6" t="inlineStr">
        <is>
          <t>Read as combined support where a field has several sources. Attributed statements establish what was said, not the underlying allegation.</t>
        </is>
      </c>
    </row>
    <row r="164" ht="66" customHeight="1">
      <c r="A164" s="4" t="inlineStr">
        <is>
          <t>EV-0159</t>
        </is>
      </c>
      <c r="B164" s="5" t="inlineStr">
        <is>
          <t>C-OF06-01</t>
        </is>
      </c>
      <c r="C164" s="5" t="inlineStr">
        <is>
          <t>S043</t>
        </is>
      </c>
      <c r="D164" s="4" t="inlineStr">
        <is>
          <t>Speaker accepted resignation from Wayanad effective 18 June 2024. Gandhi retained Rae Bareli; Congress nominated Priyanka for the coming Wayanad by-election.</t>
        </is>
      </c>
      <c r="E164" s="5" t="inlineStr">
        <is>
          <t>https://www.ndtv.com/india-news/rahul-gandhi-resigns-from-wayanad-seat-retains-raebareli-5918402</t>
        </is>
      </c>
      <c r="F164" s="4" t="inlineStr">
        <is>
          <t>Lok Sabha bulletin reproduction; lines 231–241</t>
        </is>
      </c>
      <c r="G164" s="4" t="inlineStr">
        <is>
          <t>Supports</t>
        </is>
      </c>
      <c r="H164" s="4" t="inlineStr">
        <is>
          <t>R043</t>
        </is>
      </c>
      <c r="I164" s="4" t="inlineStr">
        <is>
          <t>Codex: passage-to-statement review</t>
        </is>
      </c>
      <c r="J164" s="4" t="inlineStr">
        <is>
          <t>2026-09-24</t>
        </is>
      </c>
      <c r="K164" s="4" t="inlineStr">
        <is>
          <t>Read as combined support where a field has several sources. Attributed statements establish what was said, not the underlying allegation.</t>
        </is>
      </c>
    </row>
    <row r="165" ht="80" customHeight="1">
      <c r="A165" s="6" t="inlineStr">
        <is>
          <t>EV-0160</t>
        </is>
      </c>
      <c r="B165" s="7" t="inlineStr">
        <is>
          <t>C-OF06-02</t>
        </is>
      </c>
      <c r="C165" s="7" t="inlineStr">
        <is>
          <t>S006</t>
        </is>
      </c>
      <c r="D165" s="6" t="inlineStr">
        <is>
          <t>Wayanad: Gandhi 647445, Annie Raja 283023, total counted including NOTA 1084653, total polled 1086459. Rae Bareli: Gandhi 687649, Dinesh Pratap Singh 297619, total polled 1039951.</t>
        </is>
      </c>
      <c r="E165" s="7" t="inlineStr">
        <is>
          <t>https://www.eci.gov.in/eci-backend/public/all_files/GE-2024-statistical-report/33-Constituency-Wise-Detailed-Result.pdf</t>
        </is>
      </c>
      <c r="F165" s="6" t="inlineStr">
        <is>
          <t>Printed pp.165 and 444; Wayanad and Rae Bareli</t>
        </is>
      </c>
      <c r="G165" s="6" t="inlineStr">
        <is>
          <t>Supports</t>
        </is>
      </c>
      <c r="H165" s="6" t="inlineStr">
        <is>
          <t>R006</t>
        </is>
      </c>
      <c r="I165" s="6" t="inlineStr">
        <is>
          <t>Codex: passage-to-statement review</t>
        </is>
      </c>
      <c r="J165" s="6" t="inlineStr">
        <is>
          <t>2026-09-24</t>
        </is>
      </c>
      <c r="K165" s="6" t="inlineStr">
        <is>
          <t>Read as combined support where a field has several sources. Attributed statements establish what was said, not the underlying allegation.</t>
        </is>
      </c>
    </row>
    <row r="166" ht="66" customHeight="1">
      <c r="A166" s="4" t="inlineStr">
        <is>
          <t>EV-0161</t>
        </is>
      </c>
      <c r="B166" s="5" t="inlineStr">
        <is>
          <t>C-OF06-02</t>
        </is>
      </c>
      <c r="C166" s="5" t="inlineStr">
        <is>
          <t>S043</t>
        </is>
      </c>
      <c r="D166" s="4" t="inlineStr">
        <is>
          <t>Speaker accepted resignation from Wayanad effective 18 June 2024. Gandhi retained Rae Bareli; Congress nominated Priyanka for the coming Wayanad by-election.</t>
        </is>
      </c>
      <c r="E166" s="5" t="inlineStr">
        <is>
          <t>https://www.ndtv.com/india-news/rahul-gandhi-resigns-from-wayanad-seat-retains-raebareli-5918402</t>
        </is>
      </c>
      <c r="F166" s="4" t="inlineStr">
        <is>
          <t>Lok Sabha bulletin reproduction; lines 231–241</t>
        </is>
      </c>
      <c r="G166" s="4" t="inlineStr">
        <is>
          <t>Supports</t>
        </is>
      </c>
      <c r="H166" s="4" t="inlineStr">
        <is>
          <t>R043</t>
        </is>
      </c>
      <c r="I166" s="4" t="inlineStr">
        <is>
          <t>Codex: passage-to-statement review</t>
        </is>
      </c>
      <c r="J166" s="4" t="inlineStr">
        <is>
          <t>2026-09-24</t>
        </is>
      </c>
      <c r="K166" s="4" t="inlineStr">
        <is>
          <t>Read as combined support where a field has several sources. Attributed statements establish what was said, not the underlying allegation.</t>
        </is>
      </c>
    </row>
    <row r="167" ht="80" customHeight="1">
      <c r="A167" s="6" t="inlineStr">
        <is>
          <t>EV-0162</t>
        </is>
      </c>
      <c r="B167" s="7" t="inlineStr">
        <is>
          <t>C-OF07-01</t>
        </is>
      </c>
      <c r="C167" s="7" t="inlineStr">
        <is>
          <t>S003</t>
        </is>
      </c>
      <c r="D167" s="6" t="inlineStr">
        <is>
          <t>INC MP for Rae Bareli, fifth term, start 9 June 2024. PRS records 17 debates, 64 questions and zero private member bills for 24 June 2024–13 August 2026. Attendance is N/A because the LoP does not sign the register.</t>
        </is>
      </c>
      <c r="E167" s="7" t="inlineStr">
        <is>
          <t>https://prsindia.org/mptrack/18-lok-sabha/rahul-gandhi</t>
        </is>
      </c>
      <c r="F167" s="6" t="inlineStr">
        <is>
          <t>Profile and Parliamentary Activity; data through 13 August 2026</t>
        </is>
      </c>
      <c r="G167" s="6" t="inlineStr">
        <is>
          <t>Supports</t>
        </is>
      </c>
      <c r="H167" s="6" t="inlineStr">
        <is>
          <t>R003</t>
        </is>
      </c>
      <c r="I167" s="6" t="inlineStr">
        <is>
          <t>Codex: passage-to-statement review</t>
        </is>
      </c>
      <c r="J167" s="6" t="inlineStr">
        <is>
          <t>2026-09-24</t>
        </is>
      </c>
      <c r="K167" s="6" t="inlineStr">
        <is>
          <t>Read as combined support where a field has several sources. Attributed statements establish what was said, not the underlying allegation.</t>
        </is>
      </c>
    </row>
    <row r="168" ht="66" customHeight="1">
      <c r="A168" s="4" t="inlineStr">
        <is>
          <t>EV-0163</t>
        </is>
      </c>
      <c r="B168" s="5" t="inlineStr">
        <is>
          <t>C-OF07-01</t>
        </is>
      </c>
      <c r="C168" s="5" t="inlineStr">
        <is>
          <t>S043</t>
        </is>
      </c>
      <c r="D168" s="4" t="inlineStr">
        <is>
          <t>Speaker accepted resignation from Wayanad effective 18 June 2024. Gandhi retained Rae Bareli; Congress nominated Priyanka for the coming Wayanad by-election.</t>
        </is>
      </c>
      <c r="E168" s="5" t="inlineStr">
        <is>
          <t>https://www.ndtv.com/india-news/rahul-gandhi-resigns-from-wayanad-seat-retains-raebareli-5918402</t>
        </is>
      </c>
      <c r="F168" s="4" t="inlineStr">
        <is>
          <t>Lok Sabha bulletin reproduction; lines 231–241</t>
        </is>
      </c>
      <c r="G168" s="4" t="inlineStr">
        <is>
          <t>Supports</t>
        </is>
      </c>
      <c r="H168" s="4" t="inlineStr">
        <is>
          <t>R043</t>
        </is>
      </c>
      <c r="I168" s="4" t="inlineStr">
        <is>
          <t>Codex: passage-to-statement review</t>
        </is>
      </c>
      <c r="J168" s="4" t="inlineStr">
        <is>
          <t>2026-09-24</t>
        </is>
      </c>
      <c r="K168" s="4" t="inlineStr">
        <is>
          <t>Read as combined support where a field has several sources. Attributed statements establish what was said, not the underlying allegation.</t>
        </is>
      </c>
    </row>
    <row r="169" ht="80" customHeight="1">
      <c r="A169" s="6" t="inlineStr">
        <is>
          <t>EV-0164</t>
        </is>
      </c>
      <c r="B169" s="7" t="inlineStr">
        <is>
          <t>C-OF07-02</t>
        </is>
      </c>
      <c r="C169" s="7" t="inlineStr">
        <is>
          <t>S003</t>
        </is>
      </c>
      <c r="D169" s="6" t="inlineStr">
        <is>
          <t>INC MP for Rae Bareli, fifth term, start 9 June 2024. PRS records 17 debates, 64 questions and zero private member bills for 24 June 2024–13 August 2026. Attendance is N/A because the LoP does not sign the register.</t>
        </is>
      </c>
      <c r="E169" s="7" t="inlineStr">
        <is>
          <t>https://prsindia.org/mptrack/18-lok-sabha/rahul-gandhi</t>
        </is>
      </c>
      <c r="F169" s="6" t="inlineStr">
        <is>
          <t>Profile and Parliamentary Activity; data through 13 August 2026</t>
        </is>
      </c>
      <c r="G169" s="6" t="inlineStr">
        <is>
          <t>Supports</t>
        </is>
      </c>
      <c r="H169" s="6" t="inlineStr">
        <is>
          <t>R003</t>
        </is>
      </c>
      <c r="I169" s="6" t="inlineStr">
        <is>
          <t>Codex: passage-to-statement review</t>
        </is>
      </c>
      <c r="J169" s="6" t="inlineStr">
        <is>
          <t>2026-09-24</t>
        </is>
      </c>
      <c r="K169" s="6" t="inlineStr">
        <is>
          <t>Read as combined support where a field has several sources. Attributed statements establish what was said, not the underlying allegation.</t>
        </is>
      </c>
    </row>
    <row r="170" ht="66" customHeight="1">
      <c r="A170" s="4" t="inlineStr">
        <is>
          <t>EV-0165</t>
        </is>
      </c>
      <c r="B170" s="5" t="inlineStr">
        <is>
          <t>C-OF07-02</t>
        </is>
      </c>
      <c r="C170" s="5" t="inlineStr">
        <is>
          <t>S043</t>
        </is>
      </c>
      <c r="D170" s="4" t="inlineStr">
        <is>
          <t>Speaker accepted resignation from Wayanad effective 18 June 2024. Gandhi retained Rae Bareli; Congress nominated Priyanka for the coming Wayanad by-election.</t>
        </is>
      </c>
      <c r="E170" s="5" t="inlineStr">
        <is>
          <t>https://www.ndtv.com/india-news/rahul-gandhi-resigns-from-wayanad-seat-retains-raebareli-5918402</t>
        </is>
      </c>
      <c r="F170" s="4" t="inlineStr">
        <is>
          <t>Lok Sabha bulletin reproduction; lines 231–241</t>
        </is>
      </c>
      <c r="G170" s="4" t="inlineStr">
        <is>
          <t>Supports</t>
        </is>
      </c>
      <c r="H170" s="4" t="inlineStr">
        <is>
          <t>R043</t>
        </is>
      </c>
      <c r="I170" s="4" t="inlineStr">
        <is>
          <t>Codex: passage-to-statement review</t>
        </is>
      </c>
      <c r="J170" s="4" t="inlineStr">
        <is>
          <t>2026-09-24</t>
        </is>
      </c>
      <c r="K170" s="4" t="inlineStr">
        <is>
          <t>Read as combined support where a field has several sources. Attributed statements establish what was said, not the underlying allegation.</t>
        </is>
      </c>
    </row>
    <row r="171" ht="66" customHeight="1">
      <c r="A171" s="6" t="inlineStr">
        <is>
          <t>EV-0166</t>
        </is>
      </c>
      <c r="B171" s="7" t="inlineStr">
        <is>
          <t>C-OF08-01</t>
        </is>
      </c>
      <c r="C171" s="7" t="inlineStr">
        <is>
          <t>S002</t>
        </is>
      </c>
      <c r="D171" s="6" t="inlineStr">
        <is>
          <t>Rahul Gandhi is listed as the present Leader of Opposition, with tenure beginning 9 June 2024.</t>
        </is>
      </c>
      <c r="E171" s="7" t="inlineStr">
        <is>
          <t>https://sansad.in/ls/about/leader-of-opposition</t>
        </is>
      </c>
      <c r="F171" s="6" t="inlineStr">
        <is>
          <t>Present leader; lines 23–31</t>
        </is>
      </c>
      <c r="G171" s="6" t="inlineStr">
        <is>
          <t>Supports</t>
        </is>
      </c>
      <c r="H171" s="6" t="inlineStr">
        <is>
          <t>R002</t>
        </is>
      </c>
      <c r="I171" s="6" t="inlineStr">
        <is>
          <t>Codex: passage-to-statement review</t>
        </is>
      </c>
      <c r="J171" s="6" t="inlineStr">
        <is>
          <t>2026-09-24</t>
        </is>
      </c>
      <c r="K171" s="6" t="inlineStr">
        <is>
          <t>Read as combined support where a field has several sources. Attributed statements establish what was said, not the underlying allegation.</t>
        </is>
      </c>
    </row>
    <row r="172" ht="80" customHeight="1">
      <c r="A172" s="4" t="inlineStr">
        <is>
          <t>EV-0167</t>
        </is>
      </c>
      <c r="B172" s="5" t="inlineStr">
        <is>
          <t>C-OF08-01</t>
        </is>
      </c>
      <c r="C172" s="5" t="inlineStr">
        <is>
          <t>S003</t>
        </is>
      </c>
      <c r="D172" s="4" t="inlineStr">
        <is>
          <t>INC MP for Rae Bareli, fifth term, start 9 June 2024. PRS records 17 debates, 64 questions and zero private member bills for 24 June 2024–13 August 2026. Attendance is N/A because the LoP does not sign the register.</t>
        </is>
      </c>
      <c r="E172" s="5" t="inlineStr">
        <is>
          <t>https://prsindia.org/mptrack/18-lok-sabha/rahul-gandhi</t>
        </is>
      </c>
      <c r="F172" s="4" t="inlineStr">
        <is>
          <t>Profile and Parliamentary Activity; data through 13 August 2026</t>
        </is>
      </c>
      <c r="G172" s="4" t="inlineStr">
        <is>
          <t>Supports</t>
        </is>
      </c>
      <c r="H172" s="4" t="inlineStr">
        <is>
          <t>R003</t>
        </is>
      </c>
      <c r="I172" s="4" t="inlineStr">
        <is>
          <t>Codex: passage-to-statement review</t>
        </is>
      </c>
      <c r="J172" s="4" t="inlineStr">
        <is>
          <t>2026-09-24</t>
        </is>
      </c>
      <c r="K172" s="4" t="inlineStr">
        <is>
          <t>Read as combined support where a field has several sources. Attributed statements establish what was said, not the underlying allegation.</t>
        </is>
      </c>
    </row>
    <row r="173" ht="66" customHeight="1">
      <c r="A173" s="6" t="inlineStr">
        <is>
          <t>EV-0168</t>
        </is>
      </c>
      <c r="B173" s="7" t="inlineStr">
        <is>
          <t>C-OF08-02</t>
        </is>
      </c>
      <c r="C173" s="7" t="inlineStr">
        <is>
          <t>S002</t>
        </is>
      </c>
      <c r="D173" s="6" t="inlineStr">
        <is>
          <t>Rahul Gandhi is listed as the present Leader of Opposition, with tenure beginning 9 June 2024.</t>
        </is>
      </c>
      <c r="E173" s="7" t="inlineStr">
        <is>
          <t>https://sansad.in/ls/about/leader-of-opposition</t>
        </is>
      </c>
      <c r="F173" s="6" t="inlineStr">
        <is>
          <t>Present leader; lines 23–31</t>
        </is>
      </c>
      <c r="G173" s="6" t="inlineStr">
        <is>
          <t>Supports</t>
        </is>
      </c>
      <c r="H173" s="6" t="inlineStr">
        <is>
          <t>R002</t>
        </is>
      </c>
      <c r="I173" s="6" t="inlineStr">
        <is>
          <t>Codex: passage-to-statement review</t>
        </is>
      </c>
      <c r="J173" s="6" t="inlineStr">
        <is>
          <t>2026-09-24</t>
        </is>
      </c>
      <c r="K173" s="6" t="inlineStr">
        <is>
          <t>Read as combined support where a field has several sources. Attributed statements establish what was said, not the underlying allegation.</t>
        </is>
      </c>
    </row>
    <row r="174" ht="80" customHeight="1">
      <c r="A174" s="4" t="inlineStr">
        <is>
          <t>EV-0169</t>
        </is>
      </c>
      <c r="B174" s="5" t="inlineStr">
        <is>
          <t>C-OF08-02</t>
        </is>
      </c>
      <c r="C174" s="5" t="inlineStr">
        <is>
          <t>S003</t>
        </is>
      </c>
      <c r="D174" s="4" t="inlineStr">
        <is>
          <t>INC MP for Rae Bareli, fifth term, start 9 June 2024. PRS records 17 debates, 64 questions and zero private member bills for 24 June 2024–13 August 2026. Attendance is N/A because the LoP does not sign the register.</t>
        </is>
      </c>
      <c r="E174" s="5" t="inlineStr">
        <is>
          <t>https://prsindia.org/mptrack/18-lok-sabha/rahul-gandhi</t>
        </is>
      </c>
      <c r="F174" s="4" t="inlineStr">
        <is>
          <t>Profile and Parliamentary Activity; data through 13 August 2026</t>
        </is>
      </c>
      <c r="G174" s="4" t="inlineStr">
        <is>
          <t>Supports</t>
        </is>
      </c>
      <c r="H174" s="4" t="inlineStr">
        <is>
          <t>R003</t>
        </is>
      </c>
      <c r="I174" s="4" t="inlineStr">
        <is>
          <t>Codex: passage-to-statement review</t>
        </is>
      </c>
      <c r="J174" s="4" t="inlineStr">
        <is>
          <t>2026-09-24</t>
        </is>
      </c>
      <c r="K174" s="4" t="inlineStr">
        <is>
          <t>Read as combined support where a field has several sources. Attributed statements establish what was said, not the underlying allegation.</t>
        </is>
      </c>
    </row>
    <row r="175" ht="80" customHeight="1">
      <c r="A175" s="6" t="inlineStr">
        <is>
          <t>EV-0170</t>
        </is>
      </c>
      <c r="B175" s="7" t="inlineStr">
        <is>
          <t>C-OF09-01</t>
        </is>
      </c>
      <c r="C175" s="7" t="inlineStr">
        <is>
          <t>S004</t>
        </is>
      </c>
      <c r="D175" s="6" t="inlineStr">
        <is>
          <t>Born 19 June 1970 to Rajiv and Sonia Gandhi. Entered electoral politics in 2004; AICC general secretary from 24 September 2007; vice-president January 2013; president from 16 December 2017. Lists the 2022–23 and 2024 yatras.</t>
        </is>
      </c>
      <c r="E175" s="7" t="inlineStr">
        <is>
          <t>https://inc.in/leadership/past-party-presidents/shri-rahul-gandhi</t>
        </is>
      </c>
      <c r="F175" s="6" t="inlineStr">
        <is>
          <t>Family; Political journey; Presidency; Post-presidency</t>
        </is>
      </c>
      <c r="G175" s="6" t="inlineStr">
        <is>
          <t>Supports</t>
        </is>
      </c>
      <c r="H175" s="6" t="inlineStr">
        <is>
          <t>R004</t>
        </is>
      </c>
      <c r="I175" s="6" t="inlineStr">
        <is>
          <t>Codex: passage-to-statement review</t>
        </is>
      </c>
      <c r="J175" s="6" t="inlineStr">
        <is>
          <t>2026-09-24</t>
        </is>
      </c>
      <c r="K175" s="6" t="inlineStr">
        <is>
          <t>Read as combined support where a field has several sources. Attributed statements establish what was said, not the underlying allegation.</t>
        </is>
      </c>
    </row>
    <row r="176" ht="80" customHeight="1">
      <c r="A176" s="4" t="inlineStr">
        <is>
          <t>EV-0171</t>
        </is>
      </c>
      <c r="B176" s="5" t="inlineStr">
        <is>
          <t>C-OF09-02</t>
        </is>
      </c>
      <c r="C176" s="5" t="inlineStr">
        <is>
          <t>S004</t>
        </is>
      </c>
      <c r="D176" s="4" t="inlineStr">
        <is>
          <t>Born 19 June 1970 to Rajiv and Sonia Gandhi. Entered electoral politics in 2004; AICC general secretary from 24 September 2007; vice-president January 2013; president from 16 December 2017. Lists the 2022–23 and 2024 yatras.</t>
        </is>
      </c>
      <c r="E176" s="5" t="inlineStr">
        <is>
          <t>https://inc.in/leadership/past-party-presidents/shri-rahul-gandhi</t>
        </is>
      </c>
      <c r="F176" s="4" t="inlineStr">
        <is>
          <t>Family; Political journey; Presidency; Post-presidency</t>
        </is>
      </c>
      <c r="G176" s="4" t="inlineStr">
        <is>
          <t>Supports</t>
        </is>
      </c>
      <c r="H176" s="4" t="inlineStr">
        <is>
          <t>R004</t>
        </is>
      </c>
      <c r="I176" s="4" t="inlineStr">
        <is>
          <t>Codex: passage-to-statement review</t>
        </is>
      </c>
      <c r="J176" s="4" t="inlineStr">
        <is>
          <t>2026-09-24</t>
        </is>
      </c>
      <c r="K176" s="4" t="inlineStr">
        <is>
          <t>Read as combined support where a field has several sources. Attributed statements establish what was said, not the underlying allegation.</t>
        </is>
      </c>
    </row>
    <row r="177" ht="80" customHeight="1">
      <c r="A177" s="6" t="inlineStr">
        <is>
          <t>EV-0172</t>
        </is>
      </c>
      <c r="B177" s="7" t="inlineStr">
        <is>
          <t>C-OF10-01</t>
        </is>
      </c>
      <c r="C177" s="7" t="inlineStr">
        <is>
          <t>S004</t>
        </is>
      </c>
      <c r="D177" s="6" t="inlineStr">
        <is>
          <t>Born 19 June 1970 to Rajiv and Sonia Gandhi. Entered electoral politics in 2004; AICC general secretary from 24 September 2007; vice-president January 2013; president from 16 December 2017. Lists the 2022–23 and 2024 yatras.</t>
        </is>
      </c>
      <c r="E177" s="7" t="inlineStr">
        <is>
          <t>https://inc.in/leadership/past-party-presidents/shri-rahul-gandhi</t>
        </is>
      </c>
      <c r="F177" s="6" t="inlineStr">
        <is>
          <t>Family; Political journey; Presidency; Post-presidency</t>
        </is>
      </c>
      <c r="G177" s="6" t="inlineStr">
        <is>
          <t>Supports</t>
        </is>
      </c>
      <c r="H177" s="6" t="inlineStr">
        <is>
          <t>R004</t>
        </is>
      </c>
      <c r="I177" s="6" t="inlineStr">
        <is>
          <t>Codex: passage-to-statement review</t>
        </is>
      </c>
      <c r="J177" s="6" t="inlineStr">
        <is>
          <t>2026-09-24</t>
        </is>
      </c>
      <c r="K177" s="6" t="inlineStr">
        <is>
          <t>Read as combined support where a field has several sources. Attributed statements establish what was said, not the underlying allegation.</t>
        </is>
      </c>
    </row>
    <row r="178" ht="80" customHeight="1">
      <c r="A178" s="4" t="inlineStr">
        <is>
          <t>EV-0173</t>
        </is>
      </c>
      <c r="B178" s="5" t="inlineStr">
        <is>
          <t>C-OF11-01</t>
        </is>
      </c>
      <c r="C178" s="5" t="inlineStr">
        <is>
          <t>S004</t>
        </is>
      </c>
      <c r="D178" s="4" t="inlineStr">
        <is>
          <t>Born 19 June 1970 to Rajiv and Sonia Gandhi. Entered electoral politics in 2004; AICC general secretary from 24 September 2007; vice-president January 2013; president from 16 December 2017. Lists the 2022–23 and 2024 yatras.</t>
        </is>
      </c>
      <c r="E178" s="5" t="inlineStr">
        <is>
          <t>https://inc.in/leadership/past-party-presidents/shri-rahul-gandhi</t>
        </is>
      </c>
      <c r="F178" s="4" t="inlineStr">
        <is>
          <t>Family; Political journey; Presidency; Post-presidency</t>
        </is>
      </c>
      <c r="G178" s="4" t="inlineStr">
        <is>
          <t>Supports</t>
        </is>
      </c>
      <c r="H178" s="4" t="inlineStr">
        <is>
          <t>R004</t>
        </is>
      </c>
      <c r="I178" s="4" t="inlineStr">
        <is>
          <t>Codex: passage-to-statement review</t>
        </is>
      </c>
      <c r="J178" s="4" t="inlineStr">
        <is>
          <t>2026-09-24</t>
        </is>
      </c>
      <c r="K178" s="4" t="inlineStr">
        <is>
          <t>Read as combined support where a field has several sources. Attributed statements establish what was said, not the underlying allegation.</t>
        </is>
      </c>
    </row>
    <row r="179" ht="80" customHeight="1">
      <c r="A179" s="6" t="inlineStr">
        <is>
          <t>EV-0174</t>
        </is>
      </c>
      <c r="B179" s="7" t="inlineStr">
        <is>
          <t>C-OF11-01</t>
        </is>
      </c>
      <c r="C179" s="7" t="inlineStr">
        <is>
          <t>S014</t>
        </is>
      </c>
      <c r="D179" s="6" t="inlineStr">
        <is>
          <t>Letter public on 3 July; resignation offered 25 May. Gandhi accepted responsibility for the 2019 defeat. Congress won 52 seats. He called for accountability and said institutional neutrality had been weakened.</t>
        </is>
      </c>
      <c r="E179" s="7" t="inlineStr">
        <is>
          <t>https://www.ndtv.com/india-news/rahul-gandhis-open-letter-full-text-at-times-i-stood-completely-alone-2063455</t>
        </is>
      </c>
      <c r="F179" s="6" t="inlineStr">
        <is>
          <t>Resignation discussion; lines 225–248</t>
        </is>
      </c>
      <c r="G179" s="6" t="inlineStr">
        <is>
          <t>Supports</t>
        </is>
      </c>
      <c r="H179" s="6" t="inlineStr">
        <is>
          <t>R014</t>
        </is>
      </c>
      <c r="I179" s="6" t="inlineStr">
        <is>
          <t>Codex: passage-to-statement review</t>
        </is>
      </c>
      <c r="J179" s="6" t="inlineStr">
        <is>
          <t>2026-09-24</t>
        </is>
      </c>
      <c r="K179" s="6" t="inlineStr">
        <is>
          <t>Read as combined support where a field has several sources. Attributed statements establish what was said, not the underlying allegation.</t>
        </is>
      </c>
    </row>
    <row r="180" ht="80" customHeight="1">
      <c r="A180" s="4" t="inlineStr">
        <is>
          <t>EV-0175</t>
        </is>
      </c>
      <c r="B180" s="5" t="inlineStr">
        <is>
          <t>C-OF11-02</t>
        </is>
      </c>
      <c r="C180" s="5" t="inlineStr">
        <is>
          <t>S004</t>
        </is>
      </c>
      <c r="D180" s="4" t="inlineStr">
        <is>
          <t>Born 19 June 1970 to Rajiv and Sonia Gandhi. Entered electoral politics in 2004; AICC general secretary from 24 September 2007; vice-president January 2013; president from 16 December 2017. Lists the 2022–23 and 2024 yatras.</t>
        </is>
      </c>
      <c r="E180" s="5" t="inlineStr">
        <is>
          <t>https://inc.in/leadership/past-party-presidents/shri-rahul-gandhi</t>
        </is>
      </c>
      <c r="F180" s="4" t="inlineStr">
        <is>
          <t>Family; Political journey; Presidency; Post-presidency</t>
        </is>
      </c>
      <c r="G180" s="4" t="inlineStr">
        <is>
          <t>Supports</t>
        </is>
      </c>
      <c r="H180" s="4" t="inlineStr">
        <is>
          <t>R004</t>
        </is>
      </c>
      <c r="I180" s="4" t="inlineStr">
        <is>
          <t>Codex: passage-to-statement review</t>
        </is>
      </c>
      <c r="J180" s="4" t="inlineStr">
        <is>
          <t>2026-09-24</t>
        </is>
      </c>
      <c r="K180" s="4" t="inlineStr">
        <is>
          <t>Read as combined support where a field has several sources. Attributed statements establish what was said, not the underlying allegation.</t>
        </is>
      </c>
    </row>
    <row r="181" ht="80" customHeight="1">
      <c r="A181" s="6" t="inlineStr">
        <is>
          <t>EV-0176</t>
        </is>
      </c>
      <c r="B181" s="7" t="inlineStr">
        <is>
          <t>C-OF11-02</t>
        </is>
      </c>
      <c r="C181" s="7" t="inlineStr">
        <is>
          <t>S014</t>
        </is>
      </c>
      <c r="D181" s="6" t="inlineStr">
        <is>
          <t>Letter public on 3 July; resignation offered 25 May. Gandhi accepted responsibility for the 2019 defeat. Congress won 52 seats. He called for accountability and said institutional neutrality had been weakened.</t>
        </is>
      </c>
      <c r="E181" s="7" t="inlineStr">
        <is>
          <t>https://www.ndtv.com/india-news/rahul-gandhis-open-letter-full-text-at-times-i-stood-completely-alone-2063455</t>
        </is>
      </c>
      <c r="F181" s="6" t="inlineStr">
        <is>
          <t>Resignation discussion; lines 225–248</t>
        </is>
      </c>
      <c r="G181" s="6" t="inlineStr">
        <is>
          <t>Supports</t>
        </is>
      </c>
      <c r="H181" s="6" t="inlineStr">
        <is>
          <t>R014</t>
        </is>
      </c>
      <c r="I181" s="6" t="inlineStr">
        <is>
          <t>Codex: passage-to-statement review</t>
        </is>
      </c>
      <c r="J181" s="6" t="inlineStr">
        <is>
          <t>2026-09-24</t>
        </is>
      </c>
      <c r="K181" s="6" t="inlineStr">
        <is>
          <t>Read as combined support where a field has several sources. Attributed statements establish what was said, not the underlying allegation.</t>
        </is>
      </c>
    </row>
    <row r="182" ht="80" customHeight="1">
      <c r="A182" s="4" t="inlineStr">
        <is>
          <t>EV-0177</t>
        </is>
      </c>
      <c r="B182" s="5" t="inlineStr">
        <is>
          <t>C-OF12-01</t>
        </is>
      </c>
      <c r="C182" s="5" t="inlineStr">
        <is>
          <t>S004</t>
        </is>
      </c>
      <c r="D182" s="4" t="inlineStr">
        <is>
          <t>Born 19 June 1970 to Rajiv and Sonia Gandhi. Entered electoral politics in 2004; AICC general secretary from 24 September 2007; vice-president January 2013; president from 16 December 2017. Lists the 2022–23 and 2024 yatras.</t>
        </is>
      </c>
      <c r="E182" s="5" t="inlineStr">
        <is>
          <t>https://inc.in/leadership/past-party-presidents/shri-rahul-gandhi</t>
        </is>
      </c>
      <c r="F182" s="4" t="inlineStr">
        <is>
          <t>Family; Political journey; Presidency; Post-presidency</t>
        </is>
      </c>
      <c r="G182" s="4" t="inlineStr">
        <is>
          <t>Supports</t>
        </is>
      </c>
      <c r="H182" s="4" t="inlineStr">
        <is>
          <t>R004</t>
        </is>
      </c>
      <c r="I182" s="4" t="inlineStr">
        <is>
          <t>Codex: passage-to-statement review</t>
        </is>
      </c>
      <c r="J182" s="4" t="inlineStr">
        <is>
          <t>2026-09-24</t>
        </is>
      </c>
      <c r="K182" s="4" t="inlineStr">
        <is>
          <t>Read as combined support where a field has several sources. Attributed statements establish what was said, not the underlying allegation.</t>
        </is>
      </c>
    </row>
    <row r="183" ht="80" customHeight="1">
      <c r="A183" s="6" t="inlineStr">
        <is>
          <t>EV-0178</t>
        </is>
      </c>
      <c r="B183" s="7" t="inlineStr">
        <is>
          <t>C-OF13-01</t>
        </is>
      </c>
      <c r="C183" s="7" t="inlineStr">
        <is>
          <t>S004</t>
        </is>
      </c>
      <c r="D183" s="6" t="inlineStr">
        <is>
          <t>Born 19 June 1970 to Rajiv and Sonia Gandhi. Entered electoral politics in 2004; AICC general secretary from 24 September 2007; vice-president January 2013; president from 16 December 2017. Lists the 2022–23 and 2024 yatras.</t>
        </is>
      </c>
      <c r="E183" s="7" t="inlineStr">
        <is>
          <t>https://inc.in/leadership/past-party-presidents/shri-rahul-gandhi</t>
        </is>
      </c>
      <c r="F183" s="6" t="inlineStr">
        <is>
          <t>Family; Political journey; Presidency; Post-presidency</t>
        </is>
      </c>
      <c r="G183" s="6" t="inlineStr">
        <is>
          <t>Supports</t>
        </is>
      </c>
      <c r="H183" s="6" t="inlineStr">
        <is>
          <t>R004</t>
        </is>
      </c>
      <c r="I183" s="6" t="inlineStr">
        <is>
          <t>Codex: passage-to-statement review</t>
        </is>
      </c>
      <c r="J183" s="6" t="inlineStr">
        <is>
          <t>2026-09-24</t>
        </is>
      </c>
      <c r="K183" s="6" t="inlineStr">
        <is>
          <t>Read as combined support where a field has several sources. Attributed statements establish what was said, not the underlying allegation.</t>
        </is>
      </c>
    </row>
    <row r="184" ht="66" customHeight="1">
      <c r="A184" s="4" t="inlineStr">
        <is>
          <t>EV-0179</t>
        </is>
      </c>
      <c r="B184" s="5" t="inlineStr">
        <is>
          <t>C-OF13-01</t>
        </is>
      </c>
      <c r="C184" s="5" t="inlineStr">
        <is>
          <t>S015</t>
        </is>
      </c>
      <c r="D184" s="4" t="inlineStr">
        <is>
          <t>The march begun in Kanyakumari on 7 September 2022 concluded in Srinagar on 30 January 2023. Gandhi invoked family loss and nonviolence; described security advice against walking in Kashmir.</t>
        </is>
      </c>
      <c r="E184" s="5" t="inlineStr">
        <is>
          <t>https://indianexpress.com/article/political-pulse/rahul-modi-shah-doval-srinagar-bharat-jodo-yatra-8413548/</t>
        </is>
      </c>
      <c r="F184" s="4" t="inlineStr">
        <is>
          <t>Concluding rally; lines 19–36</t>
        </is>
      </c>
      <c r="G184" s="4" t="inlineStr">
        <is>
          <t>Supports</t>
        </is>
      </c>
      <c r="H184" s="4" t="inlineStr">
        <is>
          <t>R015</t>
        </is>
      </c>
      <c r="I184" s="4" t="inlineStr">
        <is>
          <t>Codex: passage-to-statement review</t>
        </is>
      </c>
      <c r="J184" s="4" t="inlineStr">
        <is>
          <t>2026-09-24</t>
        </is>
      </c>
      <c r="K184" s="4" t="inlineStr">
        <is>
          <t>Read as combined support where a field has several sources. Attributed statements establish what was said, not the underlying allegation.</t>
        </is>
      </c>
    </row>
    <row r="185" ht="80" customHeight="1">
      <c r="A185" s="6" t="inlineStr">
        <is>
          <t>EV-0180</t>
        </is>
      </c>
      <c r="B185" s="7" t="inlineStr">
        <is>
          <t>C-PG01-01</t>
        </is>
      </c>
      <c r="C185" s="7" t="inlineStr">
        <is>
          <t>S021</t>
        </is>
      </c>
      <c r="D185" s="6" t="inlineStr">
        <is>
          <t>Kerala Youth Congress figures criticised internal elections for factional conflict and diversion of resources; some favoured returning to nominations.</t>
        </is>
      </c>
      <c r="E185" s="7" t="inlineStr">
        <is>
          <t>https://indianexpress.com/article/political-pulse/in-kerala-youth-cong-dissent-over-rahuls-internal-election-system/</t>
        </is>
      </c>
      <c r="F185" s="6" t="inlineStr">
        <is>
          <t>Kerala Youth Congress camp; lines 101–110</t>
        </is>
      </c>
      <c r="G185" s="6" t="inlineStr">
        <is>
          <t>Supports</t>
        </is>
      </c>
      <c r="H185" s="6" t="inlineStr">
        <is>
          <t>R021</t>
        </is>
      </c>
      <c r="I185" s="6" t="inlineStr">
        <is>
          <t>Codex: passage-to-statement review</t>
        </is>
      </c>
      <c r="J185" s="6" t="inlineStr">
        <is>
          <t>2026-09-24</t>
        </is>
      </c>
      <c r="K185" s="6" t="inlineStr">
        <is>
          <t>Read as combined support where a field has several sources. Attributed statements establish what was said, not the underlying allegation.</t>
        </is>
      </c>
    </row>
    <row r="186" ht="66" customHeight="1">
      <c r="A186" s="4" t="inlineStr">
        <is>
          <t>EV-0181</t>
        </is>
      </c>
      <c r="B186" s="5" t="inlineStr">
        <is>
          <t>C-PG01-01</t>
        </is>
      </c>
      <c r="C186" s="5" t="inlineStr">
        <is>
          <t>S022</t>
        </is>
      </c>
      <c r="D186" s="4" t="inlineStr">
        <is>
          <t>IYC chief Rajiv Satav defended continued elections. Rahul’s reform replaced nominations in IYC/NSUI, aiming to reduce nepotism; critics alleged greater money influence.</t>
        </is>
      </c>
      <c r="E186" s="5" t="inlineStr">
        <is>
          <t>https://timesofindia.indiatimes.com/india/youth-congress-to-retain-internal-polls/articleshow/36734347.cms</t>
        </is>
      </c>
      <c r="F186" s="4" t="inlineStr">
        <is>
          <t>Internal reform and Rajiv Satav response; lines 119–133</t>
        </is>
      </c>
      <c r="G186" s="4" t="inlineStr">
        <is>
          <t>Supports</t>
        </is>
      </c>
      <c r="H186" s="4" t="inlineStr">
        <is>
          <t>R022</t>
        </is>
      </c>
      <c r="I186" s="4" t="inlineStr">
        <is>
          <t>Codex: passage-to-statement review</t>
        </is>
      </c>
      <c r="J186" s="4" t="inlineStr">
        <is>
          <t>2026-09-24</t>
        </is>
      </c>
      <c r="K186" s="4" t="inlineStr">
        <is>
          <t>Read as combined support where a field has several sources. Attributed statements establish what was said, not the underlying allegation.</t>
        </is>
      </c>
    </row>
    <row r="187" ht="80" customHeight="1">
      <c r="A187" s="6" t="inlineStr">
        <is>
          <t>EV-0182</t>
        </is>
      </c>
      <c r="B187" s="7" t="inlineStr">
        <is>
          <t>C-PG02-01</t>
        </is>
      </c>
      <c r="C187" s="7" t="inlineStr">
        <is>
          <t>S038</t>
        </is>
      </c>
      <c r="D187" s="6" t="inlineStr">
        <is>
          <t>Gandhi publicly repudiated the proposed ordinance protecting convicted legislators; BJP critics said this undermined Prime Minister Manmohan Singh. Gandhi framed his objection as opposition to compromise on corruption.</t>
        </is>
      </c>
      <c r="E187" s="7" t="inlineStr">
        <is>
          <t>https://www.ndtv.com/india-news/rahul-gandhi-calls-ordinance-on-convicted-lawmakers-nonsense-huge-embarrassment-for-pm-535906</t>
        </is>
      </c>
      <c r="F187" s="6" t="inlineStr">
        <is>
          <t>Press Club remarks and responses; lines 225–233</t>
        </is>
      </c>
      <c r="G187" s="6" t="inlineStr">
        <is>
          <t>Supports</t>
        </is>
      </c>
      <c r="H187" s="6" t="inlineStr">
        <is>
          <t>R038</t>
        </is>
      </c>
      <c r="I187" s="6" t="inlineStr">
        <is>
          <t>Codex: passage-to-statement review</t>
        </is>
      </c>
      <c r="J187" s="6" t="inlineStr">
        <is>
          <t>2026-09-24</t>
        </is>
      </c>
      <c r="K187" s="6" t="inlineStr">
        <is>
          <t>Read as combined support where a field has several sources. Attributed statements establish what was said, not the underlying allegation.</t>
        </is>
      </c>
    </row>
    <row r="188" ht="80" customHeight="1">
      <c r="A188" s="4" t="inlineStr">
        <is>
          <t>EV-0183</t>
        </is>
      </c>
      <c r="B188" s="5" t="inlineStr">
        <is>
          <t>C-PG02-01</t>
        </is>
      </c>
      <c r="C188" s="5" t="inlineStr">
        <is>
          <t>S039</t>
        </is>
      </c>
      <c r="D188" s="4" t="inlineStr">
        <is>
          <t>Cabinet withdrew the proposed ordinance and related bill after Gandhi’s public criticism.</t>
        </is>
      </c>
      <c r="E188" s="5" t="inlineStr">
        <is>
          <t>https://www.business-standard.com/article/politics/govt-bows-before-rahul-withdraws-ordinance-plan-113100200706_1.html</t>
        </is>
      </c>
      <c r="F188" s="4" t="inlineStr">
        <is>
          <t>Cabinet decision reported 2 October</t>
        </is>
      </c>
      <c r="G188" s="4" t="inlineStr">
        <is>
          <t>Supports</t>
        </is>
      </c>
      <c r="H188" s="4" t="inlineStr">
        <is>
          <t>R039</t>
        </is>
      </c>
      <c r="I188" s="4" t="inlineStr">
        <is>
          <t>Codex: passage-to-statement review</t>
        </is>
      </c>
      <c r="J188" s="4" t="inlineStr">
        <is>
          <t>2026-09-24</t>
        </is>
      </c>
      <c r="K188" s="4" t="inlineStr">
        <is>
          <t>Read as combined support where a field has several sources. Attributed statements establish what was said, not the underlying allegation.</t>
        </is>
      </c>
    </row>
    <row r="189" ht="94" customHeight="1">
      <c r="A189" s="6" t="inlineStr">
        <is>
          <t>EV-0184</t>
        </is>
      </c>
      <c r="B189" s="7" t="inlineStr">
        <is>
          <t>C-PG03-01</t>
        </is>
      </c>
      <c r="C189" s="7" t="inlineStr">
        <is>
          <t>S037</t>
        </is>
      </c>
      <c r="D189" s="6" t="inlineStr">
        <is>
          <t>Gandhi opposed the land-acquisition amendments inside and outside Parliament; NDA allies Shiv Sena and Akali Dal also raised reservations.</t>
        </is>
      </c>
      <c r="E189" s="7" t="inlineStr">
        <is>
          <t>https://economictimes.indiatimes.com/news/politics-and-nation/rahul-gandhi-vows-to-oppose-land-bill-inside-and-outside-parliament/articleshow/47249971.cms</t>
        </is>
      </c>
      <c r="F189" s="6" t="inlineStr">
        <is>
          <t>Parliamentary debate report</t>
        </is>
      </c>
      <c r="G189" s="6" t="inlineStr">
        <is>
          <t>Supports</t>
        </is>
      </c>
      <c r="H189" s="6" t="inlineStr">
        <is>
          <t>R037</t>
        </is>
      </c>
      <c r="I189" s="6" t="inlineStr">
        <is>
          <t>Codex: passage-to-statement review</t>
        </is>
      </c>
      <c r="J189" s="6" t="inlineStr">
        <is>
          <t>2026-09-24</t>
        </is>
      </c>
      <c r="K189" s="6" t="inlineStr">
        <is>
          <t>Read as combined support where a field has several sources. Attributed statements establish what was said, not the underlying allegation.</t>
        </is>
      </c>
    </row>
    <row r="190" ht="94" customHeight="1">
      <c r="A190" s="4" t="inlineStr">
        <is>
          <t>EV-0185</t>
        </is>
      </c>
      <c r="B190" s="5" t="inlineStr">
        <is>
          <t>C-PG03-01</t>
        </is>
      </c>
      <c r="C190" s="5" t="inlineStr">
        <is>
          <t>S032</t>
        </is>
      </c>
      <c r="D190" s="4" t="inlineStr">
        <is>
          <t>2013 law required consent for specified private/PPP acquisition and social-impact assessment. 2015 bill proposed exemptions for five project classes; referred to a joint committee on 12 May.</t>
        </is>
      </c>
      <c r="E190" s="5" t="inlineStr">
        <is>
          <t>https://prsindia.org/billtrack/the-right-to-fair-compensation-and-transparency-in-land-acquisition-rehabilitation-and-resettlement-second-amendment-bill-2015</t>
        </is>
      </c>
      <c r="F190" s="4" t="inlineStr">
        <is>
          <t>Introduction and Table 1</t>
        </is>
      </c>
      <c r="G190" s="4" t="inlineStr">
        <is>
          <t>Supports</t>
        </is>
      </c>
      <c r="H190" s="4" t="inlineStr">
        <is>
          <t>R032</t>
        </is>
      </c>
      <c r="I190" s="4" t="inlineStr">
        <is>
          <t>Codex: passage-to-statement review</t>
        </is>
      </c>
      <c r="J190" s="4" t="inlineStr">
        <is>
          <t>2026-09-24</t>
        </is>
      </c>
      <c r="K190" s="4" t="inlineStr">
        <is>
          <t>Read as combined support where a field has several sources. Attributed statements establish what was said, not the underlying allegation.</t>
        </is>
      </c>
    </row>
    <row r="191" ht="66" customHeight="1">
      <c r="A191" s="6" t="inlineStr">
        <is>
          <t>EV-0186</t>
        </is>
      </c>
      <c r="B191" s="7" t="inlineStr">
        <is>
          <t>C-PG04-01</t>
        </is>
      </c>
      <c r="C191" s="7" t="inlineStr">
        <is>
          <t>S028</t>
        </is>
      </c>
      <c r="D191" s="6" t="inlineStr">
        <is>
          <t>Gandhi campaigned on a Rs 72000 transfer under NYAY if Congress came to power. He criticised GST’s effect on poor people and promised protection of tribal land.</t>
        </is>
      </c>
      <c r="E191" s="7" t="inlineStr">
        <is>
          <t>https://www.ndtv.com/india-news/rs-72-000-will-be-given-to-beneficiaries-under-nyay-scheme-rahul-gandhi-2031993</t>
        </is>
      </c>
      <c r="F191" s="6" t="inlineStr">
        <is>
          <t>Simdega speech; lines 231–242</t>
        </is>
      </c>
      <c r="G191" s="6" t="inlineStr">
        <is>
          <t>Supports</t>
        </is>
      </c>
      <c r="H191" s="6" t="inlineStr">
        <is>
          <t>R028</t>
        </is>
      </c>
      <c r="I191" s="6" t="inlineStr">
        <is>
          <t>Codex: passage-to-statement review</t>
        </is>
      </c>
      <c r="J191" s="6" t="inlineStr">
        <is>
          <t>2026-09-24</t>
        </is>
      </c>
      <c r="K191" s="6" t="inlineStr">
        <is>
          <t>Read as combined support where a field has several sources. Attributed statements establish what was said, not the underlying allegation.</t>
        </is>
      </c>
    </row>
    <row r="192" ht="80" customHeight="1">
      <c r="A192" s="4" t="inlineStr">
        <is>
          <t>EV-0187</t>
        </is>
      </c>
      <c r="B192" s="5" t="inlineStr">
        <is>
          <t>C-PG04-01</t>
        </is>
      </c>
      <c r="C192" s="5" t="inlineStr">
        <is>
          <t>S014</t>
        </is>
      </c>
      <c r="D192" s="4" t="inlineStr">
        <is>
          <t>Letter public on 3 July; resignation offered 25 May. Gandhi accepted responsibility for the 2019 defeat. Congress won 52 seats. He called for accountability and said institutional neutrality had been weakened.</t>
        </is>
      </c>
      <c r="E192" s="5" t="inlineStr">
        <is>
          <t>https://www.ndtv.com/india-news/rahul-gandhis-open-letter-full-text-at-times-i-stood-completely-alone-2063455</t>
        </is>
      </c>
      <c r="F192" s="4" t="inlineStr">
        <is>
          <t>Resignation discussion; lines 225–248</t>
        </is>
      </c>
      <c r="G192" s="4" t="inlineStr">
        <is>
          <t>Supports</t>
        </is>
      </c>
      <c r="H192" s="4" t="inlineStr">
        <is>
          <t>R014</t>
        </is>
      </c>
      <c r="I192" s="4" t="inlineStr">
        <is>
          <t>Codex: passage-to-statement review</t>
        </is>
      </c>
      <c r="J192" s="4" t="inlineStr">
        <is>
          <t>2026-09-24</t>
        </is>
      </c>
      <c r="K192" s="4" t="inlineStr">
        <is>
          <t>Read as combined support where a field has several sources. Attributed statements establish what was said, not the underlying allegation.</t>
        </is>
      </c>
    </row>
    <row r="193" ht="66" customHeight="1">
      <c r="A193" s="6" t="inlineStr">
        <is>
          <t>EV-0188</t>
        </is>
      </c>
      <c r="B193" s="7" t="inlineStr">
        <is>
          <t>C-PG05-01</t>
        </is>
      </c>
      <c r="C193" s="7" t="inlineStr">
        <is>
          <t>S016</t>
        </is>
      </c>
      <c r="D193" s="6" t="inlineStr">
        <is>
          <t>Manifesto promises a socioeconomic caste census, raising the 50% reservation cap, minority rights protection and consultation toward a law recognising LGBTQIA+ civil unions.</t>
        </is>
      </c>
      <c r="E193" s="7" t="inlineStr">
        <is>
          <t>https://manifesto.inc.in/en/equity/</t>
        </is>
      </c>
      <c r="F193" s="6" t="inlineStr">
        <is>
          <t>Social Justice 1–2; minority rights; LGBTQIA+ 11</t>
        </is>
      </c>
      <c r="G193" s="6" t="inlineStr">
        <is>
          <t>Supports</t>
        </is>
      </c>
      <c r="H193" s="6" t="inlineStr">
        <is>
          <t>R016</t>
        </is>
      </c>
      <c r="I193" s="6" t="inlineStr">
        <is>
          <t>Codex: passage-to-statement review</t>
        </is>
      </c>
      <c r="J193" s="6" t="inlineStr">
        <is>
          <t>2026-09-24</t>
        </is>
      </c>
      <c r="K193" s="6" t="inlineStr">
        <is>
          <t>Read as combined support where a field has several sources. Attributed statements establish what was said, not the underlying allegation.</t>
        </is>
      </c>
    </row>
    <row r="194" ht="66" customHeight="1">
      <c r="A194" s="4" t="inlineStr">
        <is>
          <t>EV-0189</t>
        </is>
      </c>
      <c r="B194" s="5" t="inlineStr">
        <is>
          <t>C-PG05-01</t>
        </is>
      </c>
      <c r="C194" s="5" t="inlineStr">
        <is>
          <t>S035</t>
        </is>
      </c>
      <c r="D194" s="4" t="inlineStr">
        <is>
          <t>Gandhi supported the government’s caste-enumeration decision, sought funding and a timeline, and repeated the demand to lift the reservation cap. Government criticised Congress’s earlier record.</t>
        </is>
      </c>
      <c r="E194" s="5" t="inlineStr">
        <is>
          <t>https://indianexpress.com/article/india/rahul-gandhi-caste-census-population-congress-centre-cabinet-9975117/</t>
        </is>
      </c>
      <c r="F194" s="4" t="inlineStr">
        <is>
          <t>Government decision and reactions; lines 20–40</t>
        </is>
      </c>
      <c r="G194" s="4" t="inlineStr">
        <is>
          <t>Supports</t>
        </is>
      </c>
      <c r="H194" s="4" t="inlineStr">
        <is>
          <t>R035</t>
        </is>
      </c>
      <c r="I194" s="4" t="inlineStr">
        <is>
          <t>Codex: passage-to-statement review</t>
        </is>
      </c>
      <c r="J194" s="4" t="inlineStr">
        <is>
          <t>2026-09-24</t>
        </is>
      </c>
      <c r="K194" s="4" t="inlineStr">
        <is>
          <t>Read as combined support where a field has several sources. Attributed statements establish what was said, not the underlying allegation.</t>
        </is>
      </c>
    </row>
    <row r="195" ht="66" customHeight="1">
      <c r="A195" s="6" t="inlineStr">
        <is>
          <t>EV-0190</t>
        </is>
      </c>
      <c r="B195" s="7" t="inlineStr">
        <is>
          <t>C-PG05-01</t>
        </is>
      </c>
      <c r="C195" s="7" t="inlineStr">
        <is>
          <t>S036</t>
        </is>
      </c>
      <c r="D195" s="6" t="inlineStr">
        <is>
          <t>Home Ministry reports CCPA decision to include caste enumeration in the forthcoming census. Amit Shah attributes it to the Modi government and criticises Congress.</t>
        </is>
      </c>
      <c r="E195" s="7" t="inlineStr">
        <is>
          <t>https://www.pib.gov.in/PressReleasePage.aspx?PRID=2125576</t>
        </is>
      </c>
      <c r="F195" s="6" t="inlineStr">
        <is>
          <t>Release 2125576; lines 20–25</t>
        </is>
      </c>
      <c r="G195" s="6" t="inlineStr">
        <is>
          <t>Supports</t>
        </is>
      </c>
      <c r="H195" s="6" t="inlineStr">
        <is>
          <t>R036</t>
        </is>
      </c>
      <c r="I195" s="6" t="inlineStr">
        <is>
          <t>Codex: passage-to-statement review</t>
        </is>
      </c>
      <c r="J195" s="6" t="inlineStr">
        <is>
          <t>2026-09-24</t>
        </is>
      </c>
      <c r="K195" s="6" t="inlineStr">
        <is>
          <t>Read as combined support where a field has several sources. Attributed statements establish what was said, not the underlying allegation.</t>
        </is>
      </c>
    </row>
    <row r="196" ht="66" customHeight="1">
      <c r="A196" s="4" t="inlineStr">
        <is>
          <t>EV-0191</t>
        </is>
      </c>
      <c r="B196" s="5" t="inlineStr">
        <is>
          <t>C-PG06-01</t>
        </is>
      </c>
      <c r="C196" s="5" t="inlineStr">
        <is>
          <t>S033</t>
        </is>
      </c>
      <c r="D196" s="4" t="inlineStr">
        <is>
          <t>Gandhi supported the women’s reservation bill, asked for an OBC women’s quota and immediate implementation without census/delimitation delay.</t>
        </is>
      </c>
      <c r="E196" s="5" t="inlineStr">
        <is>
          <t>https://indianexpress.com/article/india/lok-sabha-rahul-gandhi-women-reservation-bill-obc-quota-8948629/</t>
        </is>
      </c>
      <c r="F196" s="4" t="inlineStr">
        <is>
          <t>Lok Sabha speech of 20 September; lines 73–90</t>
        </is>
      </c>
      <c r="G196" s="4" t="inlineStr">
        <is>
          <t>Supports</t>
        </is>
      </c>
      <c r="H196" s="4" t="inlineStr">
        <is>
          <t>R033</t>
        </is>
      </c>
      <c r="I196" s="4" t="inlineStr">
        <is>
          <t>Codex: passage-to-statement review</t>
        </is>
      </c>
      <c r="J196" s="4" t="inlineStr">
        <is>
          <t>2026-09-24</t>
        </is>
      </c>
      <c r="K196" s="4" t="inlineStr">
        <is>
          <t>Read as combined support where a field has several sources. Attributed statements establish what was said, not the underlying allegation.</t>
        </is>
      </c>
    </row>
    <row r="197" ht="66" customHeight="1">
      <c r="A197" s="6" t="inlineStr">
        <is>
          <t>EV-0192</t>
        </is>
      </c>
      <c r="B197" s="7" t="inlineStr">
        <is>
          <t>C-PG07-01</t>
        </is>
      </c>
      <c r="C197" s="7" t="inlineStr">
        <is>
          <t>S017</t>
        </is>
      </c>
      <c r="D197" s="6" t="inlineStr">
        <is>
          <t>Proposes Rs 1 lakh yearly for each poor family, normally paid to its oldest woman; staged rollout. Promises earlier women’s seat reservation and half of central government jobs for women.</t>
        </is>
      </c>
      <c r="E197" s="7" t="inlineStr">
        <is>
          <t>https://manifesto.inc.in/en/women/</t>
        </is>
      </c>
      <c r="F197" s="6" t="inlineStr">
        <is>
          <t>Mahalakshmi 1–3; Women’s Empowerment 1–2</t>
        </is>
      </c>
      <c r="G197" s="6" t="inlineStr">
        <is>
          <t>Supports</t>
        </is>
      </c>
      <c r="H197" s="6" t="inlineStr">
        <is>
          <t>R017</t>
        </is>
      </c>
      <c r="I197" s="6" t="inlineStr">
        <is>
          <t>Codex: passage-to-statement review</t>
        </is>
      </c>
      <c r="J197" s="6" t="inlineStr">
        <is>
          <t>2026-09-24</t>
        </is>
      </c>
      <c r="K197" s="6" t="inlineStr">
        <is>
          <t>Read as combined support where a field has several sources. Attributed statements establish what was said, not the underlying allegation.</t>
        </is>
      </c>
    </row>
    <row r="198" ht="66" customHeight="1">
      <c r="A198" s="4" t="inlineStr">
        <is>
          <t>EV-0193</t>
        </is>
      </c>
      <c r="B198" s="5" t="inlineStr">
        <is>
          <t>C-PG08-01</t>
        </is>
      </c>
      <c r="C198" s="5" t="inlineStr">
        <is>
          <t>S018</t>
        </is>
      </c>
      <c r="D198" s="4" t="inlineStr">
        <is>
          <t>Promises a one-year apprenticeship paying Rs 1 lakh for diploma holders/graduates under 25; filling central vacancies; action on exam-paper leaks; education policy consultation with states.</t>
        </is>
      </c>
      <c r="E198" s="5" t="inlineStr">
        <is>
          <t>https://manifesto.inc.in/en/youth/</t>
        </is>
      </c>
      <c r="F198" s="4" t="inlineStr">
        <is>
          <t>Jobs 1–3 and Education 2, 13</t>
        </is>
      </c>
      <c r="G198" s="4" t="inlineStr">
        <is>
          <t>Supports</t>
        </is>
      </c>
      <c r="H198" s="4" t="inlineStr">
        <is>
          <t>R018</t>
        </is>
      </c>
      <c r="I198" s="4" t="inlineStr">
        <is>
          <t>Codex: passage-to-statement review</t>
        </is>
      </c>
      <c r="J198" s="4" t="inlineStr">
        <is>
          <t>2026-09-24</t>
        </is>
      </c>
      <c r="K198" s="4" t="inlineStr">
        <is>
          <t>Read as combined support where a field has several sources. Attributed statements establish what was said, not the underlying allegation.</t>
        </is>
      </c>
    </row>
    <row r="199" ht="66" customHeight="1">
      <c r="A199" s="6" t="inlineStr">
        <is>
          <t>EV-0194</t>
        </is>
      </c>
      <c r="B199" s="7" t="inlineStr">
        <is>
          <t>C-PG09-01</t>
        </is>
      </c>
      <c r="C199" s="7" t="inlineStr">
        <is>
          <t>S019</t>
        </is>
      </c>
      <c r="D199" s="6" t="inlineStr">
        <is>
          <t>Promises statutory MSP guarantees, a statutory CACP and choices of agricultural marketing channels.</t>
        </is>
      </c>
      <c r="E199" s="7" t="inlineStr">
        <is>
          <t>https://manifesto.inc.in/en/farmers/</t>
        </is>
      </c>
      <c r="F199" s="6" t="inlineStr">
        <is>
          <t>Agriculture 1–6</t>
        </is>
      </c>
      <c r="G199" s="6" t="inlineStr">
        <is>
          <t>Supports</t>
        </is>
      </c>
      <c r="H199" s="6" t="inlineStr">
        <is>
          <t>R019</t>
        </is>
      </c>
      <c r="I199" s="6" t="inlineStr">
        <is>
          <t>Codex: passage-to-statement review</t>
        </is>
      </c>
      <c r="J199" s="6" t="inlineStr">
        <is>
          <t>2026-09-24</t>
        </is>
      </c>
      <c r="K199" s="6" t="inlineStr">
        <is>
          <t>Read as combined support where a field has several sources. Attributed statements establish what was said, not the underlying allegation.</t>
        </is>
      </c>
    </row>
    <row r="200" ht="80" customHeight="1">
      <c r="A200" s="4" t="inlineStr">
        <is>
          <t>EV-0195</t>
        </is>
      </c>
      <c r="B200" s="5" t="inlineStr">
        <is>
          <t>C-PG10-01</t>
        </is>
      </c>
      <c r="C200" s="5" t="inlineStr">
        <is>
          <t>S020</t>
        </is>
      </c>
      <c r="D200" s="4" t="inlineStr">
        <is>
          <t>Defence platform calls for a national security strategy and ending Agnipath; foreign-policy platform stresses continuity in strategic autonomy. Proposes parliamentary select-committee oversight of the NSC and NSA.</t>
        </is>
      </c>
      <c r="E200" s="5" t="inlineStr">
        <is>
          <t>https://manifesto.inc.in/en/national-security/</t>
        </is>
      </c>
      <c r="F200" s="4" t="inlineStr">
        <is>
          <t>Defence and Foreign Policy</t>
        </is>
      </c>
      <c r="G200" s="4" t="inlineStr">
        <is>
          <t>Supports</t>
        </is>
      </c>
      <c r="H200" s="4" t="inlineStr">
        <is>
          <t>R020</t>
        </is>
      </c>
      <c r="I200" s="4" t="inlineStr">
        <is>
          <t>Codex: passage-to-statement review</t>
        </is>
      </c>
      <c r="J200" s="4" t="inlineStr">
        <is>
          <t>2026-09-24</t>
        </is>
      </c>
      <c r="K200" s="4" t="inlineStr">
        <is>
          <t>Read as combined support where a field has several sources. Attributed statements establish what was said, not the underlying allegation.</t>
        </is>
      </c>
    </row>
    <row r="201" ht="66" customHeight="1">
      <c r="A201" s="6" t="inlineStr">
        <is>
          <t>EV-0196</t>
        </is>
      </c>
      <c r="B201" s="7" t="inlineStr">
        <is>
          <t>C-PG11-01</t>
        </is>
      </c>
      <c r="C201" s="7" t="inlineStr">
        <is>
          <t>S042</t>
        </is>
      </c>
      <c r="D201" s="6" t="inlineStr">
        <is>
          <t>Wayanad term displayed 23 May 2019–5 June 2024. PRS records 51% attendance, 8 debates, 99 questions and zero private bills. Lists railway, farmers and connectivity interventions.</t>
        </is>
      </c>
      <c r="E201" s="7" t="inlineStr">
        <is>
          <t>https://prsindia.org/mptrack/17-lok-sabha/rahul-gandhi</t>
        </is>
      </c>
      <c r="F201" s="6" t="inlineStr">
        <is>
          <t>Profile; activity from 1 June 2019 to 10 February 2024</t>
        </is>
      </c>
      <c r="G201" s="6" t="inlineStr">
        <is>
          <t>Supports</t>
        </is>
      </c>
      <c r="H201" s="6" t="inlineStr">
        <is>
          <t>R042</t>
        </is>
      </c>
      <c r="I201" s="6" t="inlineStr">
        <is>
          <t>Codex: passage-to-statement review</t>
        </is>
      </c>
      <c r="J201" s="6" t="inlineStr">
        <is>
          <t>2026-09-24</t>
        </is>
      </c>
      <c r="K201" s="6" t="inlineStr">
        <is>
          <t>Read as combined support where a field has several sources. Attributed statements establish what was said, not the underlying allegation.</t>
        </is>
      </c>
    </row>
    <row r="202" ht="80" customHeight="1">
      <c r="A202" s="4" t="inlineStr">
        <is>
          <t>EV-0197</t>
        </is>
      </c>
      <c r="B202" s="5" t="inlineStr">
        <is>
          <t>C-PG11-01</t>
        </is>
      </c>
      <c r="C202" s="5" t="inlineStr">
        <is>
          <t>S003</t>
        </is>
      </c>
      <c r="D202" s="4" t="inlineStr">
        <is>
          <t>INC MP for Rae Bareli, fifth term, start 9 June 2024. PRS records 17 debates, 64 questions and zero private member bills for 24 June 2024–13 August 2026. Attendance is N/A because the LoP does not sign the register.</t>
        </is>
      </c>
      <c r="E202" s="5" t="inlineStr">
        <is>
          <t>https://prsindia.org/mptrack/18-lok-sabha/rahul-gandhi</t>
        </is>
      </c>
      <c r="F202" s="4" t="inlineStr">
        <is>
          <t>Profile and Parliamentary Activity; data through 13 August 2026</t>
        </is>
      </c>
      <c r="G202" s="4" t="inlineStr">
        <is>
          <t>Supports</t>
        </is>
      </c>
      <c r="H202" s="4" t="inlineStr">
        <is>
          <t>R003</t>
        </is>
      </c>
      <c r="I202" s="4" t="inlineStr">
        <is>
          <t>Codex: passage-to-statement review</t>
        </is>
      </c>
      <c r="J202" s="4" t="inlineStr">
        <is>
          <t>2026-09-24</t>
        </is>
      </c>
      <c r="K202" s="4" t="inlineStr">
        <is>
          <t>Read as combined support where a field has several sources. Attributed statements establish what was said, not the underlying allegation.</t>
        </is>
      </c>
    </row>
    <row r="203" ht="66" customHeight="1">
      <c r="A203" s="6" t="inlineStr">
        <is>
          <t>EV-0198</t>
        </is>
      </c>
      <c r="B203" s="7" t="inlineStr">
        <is>
          <t>C-PG12-01</t>
        </is>
      </c>
      <c r="C203" s="7" t="inlineStr">
        <is>
          <t>S042</t>
        </is>
      </c>
      <c r="D203" s="6" t="inlineStr">
        <is>
          <t>Wayanad term displayed 23 May 2019–5 June 2024. PRS records 51% attendance, 8 debates, 99 questions and zero private bills. Lists railway, farmers and connectivity interventions.</t>
        </is>
      </c>
      <c r="E203" s="7" t="inlineStr">
        <is>
          <t>https://prsindia.org/mptrack/17-lok-sabha/rahul-gandhi</t>
        </is>
      </c>
      <c r="F203" s="6" t="inlineStr">
        <is>
          <t>Profile; activity from 1 June 2019 to 10 February 2024</t>
        </is>
      </c>
      <c r="G203" s="6" t="inlineStr">
        <is>
          <t>Supports</t>
        </is>
      </c>
      <c r="H203" s="6" t="inlineStr">
        <is>
          <t>R042</t>
        </is>
      </c>
      <c r="I203" s="6" t="inlineStr">
        <is>
          <t>Codex: passage-to-statement review</t>
        </is>
      </c>
      <c r="J203" s="6" t="inlineStr">
        <is>
          <t>2026-09-24</t>
        </is>
      </c>
      <c r="K203" s="6" t="inlineStr">
        <is>
          <t>Read as combined support where a field has several sources. Attributed statements establish what was said, not the underlying allegation.</t>
        </is>
      </c>
    </row>
    <row r="204" ht="80" customHeight="1">
      <c r="A204" s="4" t="inlineStr">
        <is>
          <t>EV-0199</t>
        </is>
      </c>
      <c r="B204" s="5" t="inlineStr">
        <is>
          <t>C-PG13-01</t>
        </is>
      </c>
      <c r="C204" s="5" t="inlineStr">
        <is>
          <t>S003</t>
        </is>
      </c>
      <c r="D204" s="4" t="inlineStr">
        <is>
          <t>INC MP for Rae Bareli, fifth term, start 9 June 2024. PRS records 17 debates, 64 questions and zero private member bills for 24 June 2024–13 August 2026. Attendance is N/A because the LoP does not sign the register.</t>
        </is>
      </c>
      <c r="E204" s="5" t="inlineStr">
        <is>
          <t>https://prsindia.org/mptrack/18-lok-sabha/rahul-gandhi</t>
        </is>
      </c>
      <c r="F204" s="4" t="inlineStr">
        <is>
          <t>Profile and Parliamentary Activity; data through 13 August 2026</t>
        </is>
      </c>
      <c r="G204" s="4" t="inlineStr">
        <is>
          <t>Supports</t>
        </is>
      </c>
      <c r="H204" s="4" t="inlineStr">
        <is>
          <t>R003</t>
        </is>
      </c>
      <c r="I204" s="4" t="inlineStr">
        <is>
          <t>Codex: passage-to-statement review</t>
        </is>
      </c>
      <c r="J204" s="4" t="inlineStr">
        <is>
          <t>2026-09-24</t>
        </is>
      </c>
      <c r="K204" s="4" t="inlineStr">
        <is>
          <t>Read as combined support where a field has several sources. Attributed statements establish what was said, not the underlying allegation.</t>
        </is>
      </c>
    </row>
    <row r="205" ht="80" customHeight="1">
      <c r="A205" s="6" t="inlineStr">
        <is>
          <t>EV-0200</t>
        </is>
      </c>
      <c r="B205" s="7" t="inlineStr">
        <is>
          <t>C-IM01-01</t>
        </is>
      </c>
      <c r="C205" s="7" t="inlineStr">
        <is>
          <t>S004</t>
        </is>
      </c>
      <c r="D205" s="6" t="inlineStr">
        <is>
          <t>Born 19 June 1970 to Rajiv and Sonia Gandhi. Entered electoral politics in 2004; AICC general secretary from 24 September 2007; vice-president January 2013; president from 16 December 2017. Lists the 2022–23 and 2024 yatras.</t>
        </is>
      </c>
      <c r="E205" s="7" t="inlineStr">
        <is>
          <t>https://inc.in/leadership/past-party-presidents/shri-rahul-gandhi</t>
        </is>
      </c>
      <c r="F205" s="6" t="inlineStr">
        <is>
          <t>Family; Political journey; Presidency; Post-presidency</t>
        </is>
      </c>
      <c r="G205" s="6" t="inlineStr">
        <is>
          <t>Supports</t>
        </is>
      </c>
      <c r="H205" s="6" t="inlineStr">
        <is>
          <t>R004</t>
        </is>
      </c>
      <c r="I205" s="6" t="inlineStr">
        <is>
          <t>Codex: passage-to-statement review</t>
        </is>
      </c>
      <c r="J205" s="6" t="inlineStr">
        <is>
          <t>2026-09-24</t>
        </is>
      </c>
      <c r="K205" s="6" t="inlineStr">
        <is>
          <t>Read as combined support where a field has several sources. Attributed statements establish what was said, not the underlying allegation.</t>
        </is>
      </c>
    </row>
    <row r="206" ht="80" customHeight="1">
      <c r="A206" s="4" t="inlineStr">
        <is>
          <t>EV-0201</t>
        </is>
      </c>
      <c r="B206" s="5" t="inlineStr">
        <is>
          <t>C-IM01-01</t>
        </is>
      </c>
      <c r="C206" s="5" t="inlineStr">
        <is>
          <t>S023</t>
        </is>
      </c>
      <c r="D206" s="4" t="inlineStr">
        <is>
          <t>Reuters depicts a recovery in Gandhi’s image after two marches. Analyst Rahul Verma credits mobilisation and clearer ideological opposition. Kharge was party president while Gandhi remained its prominent campaign face.</t>
        </is>
      </c>
      <c r="E206" s="5" t="inlineStr">
        <is>
          <t>https://www.marketscreener.com/news/latest/Ridiculed-for-a-decade-India-s-Rahul-Gandhi-slows-Modi-juggernaut-46900641/</t>
        </is>
      </c>
      <c r="F206" s="4" t="inlineStr">
        <is>
          <t>Opening and analyst Rahul Verma; lines 932–946</t>
        </is>
      </c>
      <c r="G206" s="4" t="inlineStr">
        <is>
          <t>Supports</t>
        </is>
      </c>
      <c r="H206" s="4" t="inlineStr">
        <is>
          <t>R023</t>
        </is>
      </c>
      <c r="I206" s="4" t="inlineStr">
        <is>
          <t>Codex: passage-to-statement review</t>
        </is>
      </c>
      <c r="J206" s="4" t="inlineStr">
        <is>
          <t>2026-09-24</t>
        </is>
      </c>
      <c r="K206" s="4" t="inlineStr">
        <is>
          <t>Read as combined support where a field has several sources. Attributed statements establish what was said, not the underlying allegation.</t>
        </is>
      </c>
    </row>
    <row r="207" ht="80" customHeight="1">
      <c r="A207" s="6" t="inlineStr">
        <is>
          <t>EV-0202</t>
        </is>
      </c>
      <c r="B207" s="7" t="inlineStr">
        <is>
          <t>C-IM02-01</t>
        </is>
      </c>
      <c r="C207" s="7" t="inlineStr">
        <is>
          <t>S021</t>
        </is>
      </c>
      <c r="D207" s="6" t="inlineStr">
        <is>
          <t>Kerala Youth Congress figures criticised internal elections for factional conflict and diversion of resources; some favoured returning to nominations.</t>
        </is>
      </c>
      <c r="E207" s="7" t="inlineStr">
        <is>
          <t>https://indianexpress.com/article/political-pulse/in-kerala-youth-cong-dissent-over-rahuls-internal-election-system/</t>
        </is>
      </c>
      <c r="F207" s="6" t="inlineStr">
        <is>
          <t>Kerala Youth Congress camp; lines 101–110</t>
        </is>
      </c>
      <c r="G207" s="6" t="inlineStr">
        <is>
          <t>Supports</t>
        </is>
      </c>
      <c r="H207" s="6" t="inlineStr">
        <is>
          <t>R021</t>
        </is>
      </c>
      <c r="I207" s="6" t="inlineStr">
        <is>
          <t>Codex: passage-to-statement review</t>
        </is>
      </c>
      <c r="J207" s="6" t="inlineStr">
        <is>
          <t>2026-09-24</t>
        </is>
      </c>
      <c r="K207" s="6" t="inlineStr">
        <is>
          <t>Read as combined support where a field has several sources. Attributed statements establish what was said, not the underlying allegation.</t>
        </is>
      </c>
    </row>
    <row r="208" ht="66" customHeight="1">
      <c r="A208" s="4" t="inlineStr">
        <is>
          <t>EV-0203</t>
        </is>
      </c>
      <c r="B208" s="5" t="inlineStr">
        <is>
          <t>C-IM02-01</t>
        </is>
      </c>
      <c r="C208" s="5" t="inlineStr">
        <is>
          <t>S022</t>
        </is>
      </c>
      <c r="D208" s="4" t="inlineStr">
        <is>
          <t>IYC chief Rajiv Satav defended continued elections. Rahul’s reform replaced nominations in IYC/NSUI, aiming to reduce nepotism; critics alleged greater money influence.</t>
        </is>
      </c>
      <c r="E208" s="5" t="inlineStr">
        <is>
          <t>https://timesofindia.indiatimes.com/india/youth-congress-to-retain-internal-polls/articleshow/36734347.cms</t>
        </is>
      </c>
      <c r="F208" s="4" t="inlineStr">
        <is>
          <t>Internal reform and Rajiv Satav response; lines 119–133</t>
        </is>
      </c>
      <c r="G208" s="4" t="inlineStr">
        <is>
          <t>Supports</t>
        </is>
      </c>
      <c r="H208" s="4" t="inlineStr">
        <is>
          <t>R022</t>
        </is>
      </c>
      <c r="I208" s="4" t="inlineStr">
        <is>
          <t>Codex: passage-to-statement review</t>
        </is>
      </c>
      <c r="J208" s="4" t="inlineStr">
        <is>
          <t>2026-09-24</t>
        </is>
      </c>
      <c r="K208" s="4" t="inlineStr">
        <is>
          <t>Read as combined support where a field has several sources. Attributed statements establish what was said, not the underlying allegation.</t>
        </is>
      </c>
    </row>
    <row r="209" ht="80" customHeight="1">
      <c r="A209" s="6" t="inlineStr">
        <is>
          <t>EV-0204</t>
        </is>
      </c>
      <c r="B209" s="7" t="inlineStr">
        <is>
          <t>C-IM03-01</t>
        </is>
      </c>
      <c r="C209" s="7" t="inlineStr">
        <is>
          <t>S038</t>
        </is>
      </c>
      <c r="D209" s="6" t="inlineStr">
        <is>
          <t>Gandhi publicly repudiated the proposed ordinance protecting convicted legislators; BJP critics said this undermined Prime Minister Manmohan Singh. Gandhi framed his objection as opposition to compromise on corruption.</t>
        </is>
      </c>
      <c r="E209" s="7" t="inlineStr">
        <is>
          <t>https://www.ndtv.com/india-news/rahul-gandhi-calls-ordinance-on-convicted-lawmakers-nonsense-huge-embarrassment-for-pm-535906</t>
        </is>
      </c>
      <c r="F209" s="6" t="inlineStr">
        <is>
          <t>Press Club remarks and responses; lines 225–233</t>
        </is>
      </c>
      <c r="G209" s="6" t="inlineStr">
        <is>
          <t>Supports</t>
        </is>
      </c>
      <c r="H209" s="6" t="inlineStr">
        <is>
          <t>R038</t>
        </is>
      </c>
      <c r="I209" s="6" t="inlineStr">
        <is>
          <t>Codex: passage-to-statement review</t>
        </is>
      </c>
      <c r="J209" s="6" t="inlineStr">
        <is>
          <t>2026-09-24</t>
        </is>
      </c>
      <c r="K209" s="6" t="inlineStr">
        <is>
          <t>Read as combined support where a field has several sources. Attributed statements establish what was said, not the underlying allegation.</t>
        </is>
      </c>
    </row>
    <row r="210" ht="80" customHeight="1">
      <c r="A210" s="4" t="inlineStr">
        <is>
          <t>EV-0205</t>
        </is>
      </c>
      <c r="B210" s="5" t="inlineStr">
        <is>
          <t>C-IM03-01</t>
        </is>
      </c>
      <c r="C210" s="5" t="inlineStr">
        <is>
          <t>S039</t>
        </is>
      </c>
      <c r="D210" s="4" t="inlineStr">
        <is>
          <t>Cabinet withdrew the proposed ordinance and related bill after Gandhi’s public criticism.</t>
        </is>
      </c>
      <c r="E210" s="5" t="inlineStr">
        <is>
          <t>https://www.business-standard.com/article/politics/govt-bows-before-rahul-withdraws-ordinance-plan-113100200706_1.html</t>
        </is>
      </c>
      <c r="F210" s="4" t="inlineStr">
        <is>
          <t>Cabinet decision reported 2 October</t>
        </is>
      </c>
      <c r="G210" s="4" t="inlineStr">
        <is>
          <t>Supports</t>
        </is>
      </c>
      <c r="H210" s="4" t="inlineStr">
        <is>
          <t>R039</t>
        </is>
      </c>
      <c r="I210" s="4" t="inlineStr">
        <is>
          <t>Codex: passage-to-statement review</t>
        </is>
      </c>
      <c r="J210" s="4" t="inlineStr">
        <is>
          <t>2026-09-24</t>
        </is>
      </c>
      <c r="K210" s="4" t="inlineStr">
        <is>
          <t>Read as combined support where a field has several sources. Attributed statements establish what was said, not the underlying allegation.</t>
        </is>
      </c>
    </row>
    <row r="211" ht="94" customHeight="1">
      <c r="A211" s="6" t="inlineStr">
        <is>
          <t>EV-0206</t>
        </is>
      </c>
      <c r="B211" s="7" t="inlineStr">
        <is>
          <t>C-IM04-01</t>
        </is>
      </c>
      <c r="C211" s="7" t="inlineStr">
        <is>
          <t>S037</t>
        </is>
      </c>
      <c r="D211" s="6" t="inlineStr">
        <is>
          <t>Gandhi opposed the land-acquisition amendments inside and outside Parliament; NDA allies Shiv Sena and Akali Dal also raised reservations.</t>
        </is>
      </c>
      <c r="E211" s="7" t="inlineStr">
        <is>
          <t>https://economictimes.indiatimes.com/news/politics-and-nation/rahul-gandhi-vows-to-oppose-land-bill-inside-and-outside-parliament/articleshow/47249971.cms</t>
        </is>
      </c>
      <c r="F211" s="6" t="inlineStr">
        <is>
          <t>Parliamentary debate report</t>
        </is>
      </c>
      <c r="G211" s="6" t="inlineStr">
        <is>
          <t>Supports</t>
        </is>
      </c>
      <c r="H211" s="6" t="inlineStr">
        <is>
          <t>R037</t>
        </is>
      </c>
      <c r="I211" s="6" t="inlineStr">
        <is>
          <t>Codex: passage-to-statement review</t>
        </is>
      </c>
      <c r="J211" s="6" t="inlineStr">
        <is>
          <t>2026-09-24</t>
        </is>
      </c>
      <c r="K211" s="6" t="inlineStr">
        <is>
          <t>Read as combined support where a field has several sources. Attributed statements establish what was said, not the underlying allegation.</t>
        </is>
      </c>
    </row>
    <row r="212" ht="66" customHeight="1">
      <c r="A212" s="4" t="inlineStr">
        <is>
          <t>EV-0207</t>
        </is>
      </c>
      <c r="B212" s="5" t="inlineStr">
        <is>
          <t>C-IM04-01</t>
        </is>
      </c>
      <c r="C212" s="5" t="inlineStr">
        <is>
          <t>S028</t>
        </is>
      </c>
      <c r="D212" s="4" t="inlineStr">
        <is>
          <t>Gandhi campaigned on a Rs 72000 transfer under NYAY if Congress came to power. He criticised GST’s effect on poor people and promised protection of tribal land.</t>
        </is>
      </c>
      <c r="E212" s="5" t="inlineStr">
        <is>
          <t>https://www.ndtv.com/india-news/rs-72-000-will-be-given-to-beneficiaries-under-nyay-scheme-rahul-gandhi-2031993</t>
        </is>
      </c>
      <c r="F212" s="4" t="inlineStr">
        <is>
          <t>Simdega speech; lines 231–242</t>
        </is>
      </c>
      <c r="G212" s="4" t="inlineStr">
        <is>
          <t>Supports</t>
        </is>
      </c>
      <c r="H212" s="4" t="inlineStr">
        <is>
          <t>R028</t>
        </is>
      </c>
      <c r="I212" s="4" t="inlineStr">
        <is>
          <t>Codex: passage-to-statement review</t>
        </is>
      </c>
      <c r="J212" s="4" t="inlineStr">
        <is>
          <t>2026-09-24</t>
        </is>
      </c>
      <c r="K212" s="4" t="inlineStr">
        <is>
          <t>Read as combined support where a field has several sources. Attributed statements establish what was said, not the underlying allegation.</t>
        </is>
      </c>
    </row>
    <row r="213" ht="80" customHeight="1">
      <c r="A213" s="6" t="inlineStr">
        <is>
          <t>EV-0208</t>
        </is>
      </c>
      <c r="B213" s="7" t="inlineStr">
        <is>
          <t>C-IM05-01</t>
        </is>
      </c>
      <c r="C213" s="7" t="inlineStr">
        <is>
          <t>S014</t>
        </is>
      </c>
      <c r="D213" s="6" t="inlineStr">
        <is>
          <t>Letter public on 3 July; resignation offered 25 May. Gandhi accepted responsibility for the 2019 defeat. Congress won 52 seats. He called for accountability and said institutional neutrality had been weakened.</t>
        </is>
      </c>
      <c r="E213" s="7" t="inlineStr">
        <is>
          <t>https://www.ndtv.com/india-news/rahul-gandhis-open-letter-full-text-at-times-i-stood-completely-alone-2063455</t>
        </is>
      </c>
      <c r="F213" s="6" t="inlineStr">
        <is>
          <t>Resignation discussion; lines 225–248</t>
        </is>
      </c>
      <c r="G213" s="6" t="inlineStr">
        <is>
          <t>Supports</t>
        </is>
      </c>
      <c r="H213" s="6" t="inlineStr">
        <is>
          <t>R014</t>
        </is>
      </c>
      <c r="I213" s="6" t="inlineStr">
        <is>
          <t>Codex: passage-to-statement review</t>
        </is>
      </c>
      <c r="J213" s="6" t="inlineStr">
        <is>
          <t>2026-09-24</t>
        </is>
      </c>
      <c r="K213" s="6" t="inlineStr">
        <is>
          <t>Read as combined support where a field has several sources. Attributed statements establish what was said, not the underlying allegation.</t>
        </is>
      </c>
    </row>
    <row r="214" ht="66" customHeight="1">
      <c r="A214" s="4" t="inlineStr">
        <is>
          <t>EV-0209</t>
        </is>
      </c>
      <c r="B214" s="5" t="inlineStr">
        <is>
          <t>C-IM06-01</t>
        </is>
      </c>
      <c r="C214" s="5" t="inlineStr">
        <is>
          <t>S015</t>
        </is>
      </c>
      <c r="D214" s="4" t="inlineStr">
        <is>
          <t>The march begun in Kanyakumari on 7 September 2022 concluded in Srinagar on 30 January 2023. Gandhi invoked family loss and nonviolence; described security advice against walking in Kashmir.</t>
        </is>
      </c>
      <c r="E214" s="5" t="inlineStr">
        <is>
          <t>https://indianexpress.com/article/political-pulse/rahul-modi-shah-doval-srinagar-bharat-jodo-yatra-8413548/</t>
        </is>
      </c>
      <c r="F214" s="4" t="inlineStr">
        <is>
          <t>Concluding rally; lines 19–36</t>
        </is>
      </c>
      <c r="G214" s="4" t="inlineStr">
        <is>
          <t>Supports</t>
        </is>
      </c>
      <c r="H214" s="4" t="inlineStr">
        <is>
          <t>R015</t>
        </is>
      </c>
      <c r="I214" s="4" t="inlineStr">
        <is>
          <t>Codex: passage-to-statement review</t>
        </is>
      </c>
      <c r="J214" s="4" t="inlineStr">
        <is>
          <t>2026-09-24</t>
        </is>
      </c>
      <c r="K214" s="4" t="inlineStr">
        <is>
          <t>Read as combined support where a field has several sources. Attributed statements establish what was said, not the underlying allegation.</t>
        </is>
      </c>
    </row>
    <row r="215" ht="80" customHeight="1">
      <c r="A215" s="6" t="inlineStr">
        <is>
          <t>EV-0210</t>
        </is>
      </c>
      <c r="B215" s="7" t="inlineStr">
        <is>
          <t>C-IM06-01</t>
        </is>
      </c>
      <c r="C215" s="7" t="inlineStr">
        <is>
          <t>S023</t>
        </is>
      </c>
      <c r="D215" s="6" t="inlineStr">
        <is>
          <t>Reuters depicts a recovery in Gandhi’s image after two marches. Analyst Rahul Verma credits mobilisation and clearer ideological opposition. Kharge was party president while Gandhi remained its prominent campaign face.</t>
        </is>
      </c>
      <c r="E215" s="7" t="inlineStr">
        <is>
          <t>https://www.marketscreener.com/news/latest/Ridiculed-for-a-decade-India-s-Rahul-Gandhi-slows-Modi-juggernaut-46900641/</t>
        </is>
      </c>
      <c r="F215" s="6" t="inlineStr">
        <is>
          <t>Opening and analyst Rahul Verma; lines 932–946</t>
        </is>
      </c>
      <c r="G215" s="6" t="inlineStr">
        <is>
          <t>Supports</t>
        </is>
      </c>
      <c r="H215" s="6" t="inlineStr">
        <is>
          <t>R023</t>
        </is>
      </c>
      <c r="I215" s="6" t="inlineStr">
        <is>
          <t>Codex: passage-to-statement review</t>
        </is>
      </c>
      <c r="J215" s="6" t="inlineStr">
        <is>
          <t>2026-09-24</t>
        </is>
      </c>
      <c r="K215" s="6" t="inlineStr">
        <is>
          <t>Read as combined support where a field has several sources. Attributed statements establish what was said, not the underlying allegation.</t>
        </is>
      </c>
    </row>
    <row r="216" ht="66" customHeight="1">
      <c r="A216" s="4" t="inlineStr">
        <is>
          <t>EV-0211</t>
        </is>
      </c>
      <c r="B216" s="5" t="inlineStr">
        <is>
          <t>C-IM07-01</t>
        </is>
      </c>
      <c r="C216" s="5" t="inlineStr">
        <is>
          <t>S016</t>
        </is>
      </c>
      <c r="D216" s="4" t="inlineStr">
        <is>
          <t>Manifesto promises a socioeconomic caste census, raising the 50% reservation cap, minority rights protection and consultation toward a law recognising LGBTQIA+ civil unions.</t>
        </is>
      </c>
      <c r="E216" s="5" t="inlineStr">
        <is>
          <t>https://manifesto.inc.in/en/equity/</t>
        </is>
      </c>
      <c r="F216" s="4" t="inlineStr">
        <is>
          <t>Social Justice 1–2; minority rights; LGBTQIA+ 11</t>
        </is>
      </c>
      <c r="G216" s="4" t="inlineStr">
        <is>
          <t>Supports</t>
        </is>
      </c>
      <c r="H216" s="4" t="inlineStr">
        <is>
          <t>R016</t>
        </is>
      </c>
      <c r="I216" s="4" t="inlineStr">
        <is>
          <t>Codex: passage-to-statement review</t>
        </is>
      </c>
      <c r="J216" s="4" t="inlineStr">
        <is>
          <t>2026-09-24</t>
        </is>
      </c>
      <c r="K216" s="4" t="inlineStr">
        <is>
          <t>Read as combined support where a field has several sources. Attributed statements establish what was said, not the underlying allegation.</t>
        </is>
      </c>
    </row>
    <row r="217" ht="66" customHeight="1">
      <c r="A217" s="6" t="inlineStr">
        <is>
          <t>EV-0212</t>
        </is>
      </c>
      <c r="B217" s="7" t="inlineStr">
        <is>
          <t>C-IM07-01</t>
        </is>
      </c>
      <c r="C217" s="7" t="inlineStr">
        <is>
          <t>S035</t>
        </is>
      </c>
      <c r="D217" s="6" t="inlineStr">
        <is>
          <t>Gandhi supported the government’s caste-enumeration decision, sought funding and a timeline, and repeated the demand to lift the reservation cap. Government criticised Congress’s earlier record.</t>
        </is>
      </c>
      <c r="E217" s="7" t="inlineStr">
        <is>
          <t>https://indianexpress.com/article/india/rahul-gandhi-caste-census-population-congress-centre-cabinet-9975117/</t>
        </is>
      </c>
      <c r="F217" s="6" t="inlineStr">
        <is>
          <t>Government decision and reactions; lines 20–40</t>
        </is>
      </c>
      <c r="G217" s="6" t="inlineStr">
        <is>
          <t>Supports</t>
        </is>
      </c>
      <c r="H217" s="6" t="inlineStr">
        <is>
          <t>R035</t>
        </is>
      </c>
      <c r="I217" s="6" t="inlineStr">
        <is>
          <t>Codex: passage-to-statement review</t>
        </is>
      </c>
      <c r="J217" s="6" t="inlineStr">
        <is>
          <t>2026-09-24</t>
        </is>
      </c>
      <c r="K217" s="6" t="inlineStr">
        <is>
          <t>Read as combined support where a field has several sources. Attributed statements establish what was said, not the underlying allegation.</t>
        </is>
      </c>
    </row>
    <row r="218" ht="66" customHeight="1">
      <c r="A218" s="4" t="inlineStr">
        <is>
          <t>EV-0213</t>
        </is>
      </c>
      <c r="B218" s="5" t="inlineStr">
        <is>
          <t>C-IM08-01</t>
        </is>
      </c>
      <c r="C218" s="5" t="inlineStr">
        <is>
          <t>S016</t>
        </is>
      </c>
      <c r="D218" s="4" t="inlineStr">
        <is>
          <t>Manifesto promises a socioeconomic caste census, raising the 50% reservation cap, minority rights protection and consultation toward a law recognising LGBTQIA+ civil unions.</t>
        </is>
      </c>
      <c r="E218" s="5" t="inlineStr">
        <is>
          <t>https://manifesto.inc.in/en/equity/</t>
        </is>
      </c>
      <c r="F218" s="4" t="inlineStr">
        <is>
          <t>Social Justice 1–2; minority rights; LGBTQIA+ 11</t>
        </is>
      </c>
      <c r="G218" s="4" t="inlineStr">
        <is>
          <t>Supports</t>
        </is>
      </c>
      <c r="H218" s="4" t="inlineStr">
        <is>
          <t>R016</t>
        </is>
      </c>
      <c r="I218" s="4" t="inlineStr">
        <is>
          <t>Codex: passage-to-statement review</t>
        </is>
      </c>
      <c r="J218" s="4" t="inlineStr">
        <is>
          <t>2026-09-24</t>
        </is>
      </c>
      <c r="K218" s="4" t="inlineStr">
        <is>
          <t>Read as combined support where a field has several sources. Attributed statements establish what was said, not the underlying allegation.</t>
        </is>
      </c>
    </row>
    <row r="219" ht="66" customHeight="1">
      <c r="A219" s="6" t="inlineStr">
        <is>
          <t>EV-0214</t>
        </is>
      </c>
      <c r="B219" s="7" t="inlineStr">
        <is>
          <t>C-IM08-01</t>
        </is>
      </c>
      <c r="C219" s="7" t="inlineStr">
        <is>
          <t>S015</t>
        </is>
      </c>
      <c r="D219" s="6" t="inlineStr">
        <is>
          <t>The march begun in Kanyakumari on 7 September 2022 concluded in Srinagar on 30 January 2023. Gandhi invoked family loss and nonviolence; described security advice against walking in Kashmir.</t>
        </is>
      </c>
      <c r="E219" s="7" t="inlineStr">
        <is>
          <t>https://indianexpress.com/article/political-pulse/rahul-modi-shah-doval-srinagar-bharat-jodo-yatra-8413548/</t>
        </is>
      </c>
      <c r="F219" s="6" t="inlineStr">
        <is>
          <t>Concluding rally; lines 19–36</t>
        </is>
      </c>
      <c r="G219" s="6" t="inlineStr">
        <is>
          <t>Supports</t>
        </is>
      </c>
      <c r="H219" s="6" t="inlineStr">
        <is>
          <t>R015</t>
        </is>
      </c>
      <c r="I219" s="6" t="inlineStr">
        <is>
          <t>Codex: passage-to-statement review</t>
        </is>
      </c>
      <c r="J219" s="6" t="inlineStr">
        <is>
          <t>2026-09-24</t>
        </is>
      </c>
      <c r="K219" s="6" t="inlineStr">
        <is>
          <t>Read as combined support where a field has several sources. Attributed statements establish what was said, not the underlying allegation.</t>
        </is>
      </c>
    </row>
    <row r="220" ht="80" customHeight="1">
      <c r="A220" s="4" t="inlineStr">
        <is>
          <t>EV-0215</t>
        </is>
      </c>
      <c r="B220" s="5" t="inlineStr">
        <is>
          <t>C-IM09-01</t>
        </is>
      </c>
      <c r="C220" s="5" t="inlineStr">
        <is>
          <t>S023</t>
        </is>
      </c>
      <c r="D220" s="4" t="inlineStr">
        <is>
          <t>Reuters depicts a recovery in Gandhi’s image after two marches. Analyst Rahul Verma credits mobilisation and clearer ideological opposition. Kharge was party president while Gandhi remained its prominent campaign face.</t>
        </is>
      </c>
      <c r="E220" s="5" t="inlineStr">
        <is>
          <t>https://www.marketscreener.com/news/latest/Ridiculed-for-a-decade-India-s-Rahul-Gandhi-slows-Modi-juggernaut-46900641/</t>
        </is>
      </c>
      <c r="F220" s="4" t="inlineStr">
        <is>
          <t>Opening and analyst Rahul Verma; lines 932–946</t>
        </is>
      </c>
      <c r="G220" s="4" t="inlineStr">
        <is>
          <t>Supports</t>
        </is>
      </c>
      <c r="H220" s="4" t="inlineStr">
        <is>
          <t>R023</t>
        </is>
      </c>
      <c r="I220" s="4" t="inlineStr">
        <is>
          <t>Codex: passage-to-statement review</t>
        </is>
      </c>
      <c r="J220" s="4" t="inlineStr">
        <is>
          <t>2026-09-24</t>
        </is>
      </c>
      <c r="K220" s="4" t="inlineStr">
        <is>
          <t>Read as combined support where a field has several sources. Attributed statements establish what was said, not the underlying allegation.</t>
        </is>
      </c>
    </row>
    <row r="221" ht="80" customHeight="1">
      <c r="A221" s="6" t="inlineStr">
        <is>
          <t>EV-0216</t>
        </is>
      </c>
      <c r="B221" s="7" t="inlineStr">
        <is>
          <t>C-IM09-01</t>
        </is>
      </c>
      <c r="C221" s="7" t="inlineStr">
        <is>
          <t>S024</t>
        </is>
      </c>
      <c r="D221" s="6" t="inlineStr">
        <is>
          <t>Authors distinguish the coalition era through 2014 from BJP dominance thereafter. The 2024 result weakened rather than ended BJP centrality; INDIA still lacked unified leadership, programme and organisation.</t>
        </is>
      </c>
      <c r="E221" s="7" t="inlineStr">
        <is>
          <t>https://carnegieendowment.org/research/2024/09/india-election-bjp-party-politics</t>
        </is>
      </c>
      <c r="F221" s="6" t="inlineStr">
        <is>
          <t>Evolution of party systems; 2024 interpretation; lines 61–104</t>
        </is>
      </c>
      <c r="G221" s="6" t="inlineStr">
        <is>
          <t>Supports</t>
        </is>
      </c>
      <c r="H221" s="6" t="inlineStr">
        <is>
          <t>R024</t>
        </is>
      </c>
      <c r="I221" s="6" t="inlineStr">
        <is>
          <t>Codex: passage-to-statement review</t>
        </is>
      </c>
      <c r="J221" s="6" t="inlineStr">
        <is>
          <t>2026-09-24</t>
        </is>
      </c>
      <c r="K221" s="6" t="inlineStr">
        <is>
          <t>Read as combined support where a field has several sources. Attributed statements establish what was said, not the underlying allegation.</t>
        </is>
      </c>
    </row>
    <row r="222" ht="66" customHeight="1">
      <c r="A222" s="4" t="inlineStr">
        <is>
          <t>EV-0217</t>
        </is>
      </c>
      <c r="B222" s="5" t="inlineStr">
        <is>
          <t>C-IM10-01</t>
        </is>
      </c>
      <c r="C222" s="5" t="inlineStr">
        <is>
          <t>S025</t>
        </is>
      </c>
      <c r="D222" s="4" t="inlineStr">
        <is>
          <t>Laul interprets discussion of Gandhi walking in a T-shirt in cold weather through local masculine ideals of physical endurance and leadership.</t>
        </is>
      </c>
      <c r="E222" s="5" t="inlineStr">
        <is>
          <t>https://m.thewire.in/article/politics/rahul-gandhi-t-shirt</t>
        </is>
      </c>
      <c r="F222" s="4" t="inlineStr">
        <is>
          <t>Opening argument; lines 47–65</t>
        </is>
      </c>
      <c r="G222" s="4" t="inlineStr">
        <is>
          <t>Supports</t>
        </is>
      </c>
      <c r="H222" s="4" t="inlineStr">
        <is>
          <t>R025</t>
        </is>
      </c>
      <c r="I222" s="4" t="inlineStr">
        <is>
          <t>Codex: passage-to-statement review</t>
        </is>
      </c>
      <c r="J222" s="4" t="inlineStr">
        <is>
          <t>2026-09-24</t>
        </is>
      </c>
      <c r="K222" s="4" t="inlineStr">
        <is>
          <t>Read as combined support where a field has several sources. Attributed statements establish what was said, not the underlying allegation.</t>
        </is>
      </c>
    </row>
    <row r="223" ht="80" customHeight="1">
      <c r="A223" s="6" t="inlineStr">
        <is>
          <t>EV-0218</t>
        </is>
      </c>
      <c r="B223" s="7" t="inlineStr">
        <is>
          <t>C-IM11-01</t>
        </is>
      </c>
      <c r="C223" s="7" t="inlineStr">
        <is>
          <t>S031</t>
        </is>
      </c>
      <c r="D223" s="6" t="inlineStr">
        <is>
          <t>Gandhi alleged attempted deletions in Aland and additions in Rajura. EC rejected his charges, citing a 2023 FIR and data sharing; Congress said requested technical information remained missing.</t>
        </is>
      </c>
      <c r="E223" s="7" t="inlineStr">
        <is>
          <t>https://indianexpress.com/article/india/rahul-gandhi-vote-chori-cec-gyanesh-kumar-protecting-killing-democracy-10257103/</t>
        </is>
      </c>
      <c r="F223" s="6" t="inlineStr">
        <is>
          <t>Allegations and EC response; lines 20–54</t>
        </is>
      </c>
      <c r="G223" s="6" t="inlineStr">
        <is>
          <t>Supports</t>
        </is>
      </c>
      <c r="H223" s="6" t="inlineStr">
        <is>
          <t>R031</t>
        </is>
      </c>
      <c r="I223" s="6" t="inlineStr">
        <is>
          <t>Codex: passage-to-statement review</t>
        </is>
      </c>
      <c r="J223" s="6" t="inlineStr">
        <is>
          <t>2026-09-24</t>
        </is>
      </c>
      <c r="K223" s="6" t="inlineStr">
        <is>
          <t>Read as combined support where a field has several sources. Attributed statements establish what was said, not the underlying allegation.</t>
        </is>
      </c>
    </row>
    <row r="224" ht="94" customHeight="1">
      <c r="A224" s="4" t="inlineStr">
        <is>
          <t>EV-0219</t>
        </is>
      </c>
      <c r="B224" s="5" t="inlineStr">
        <is>
          <t>C-IM11-01</t>
        </is>
      </c>
      <c r="C224" s="5" t="inlineStr">
        <is>
          <t>S030</t>
        </is>
      </c>
      <c r="D224" s="4" t="inlineStr">
        <is>
          <t>Gandhi alleged widespread election rigging and demanded accountability. ECI said internal notes were routine scrutiny and final decisions were unanimous and legally grounded.</t>
        </is>
      </c>
      <c r="E224" s="5" t="inlineStr">
        <is>
          <t>https://timesofindia.indiatimes.com/india/rahul-gandhi-press-conference-on-ec-gyanesh-kumar-resignation-sir-congress-vote-chori-election-bjp/articleshow/134457370.cms</t>
        </is>
      </c>
      <c r="F224" s="4" t="inlineStr">
        <is>
          <t>Press conference and ECI response; lines 150–156,183</t>
        </is>
      </c>
      <c r="G224" s="4" t="inlineStr">
        <is>
          <t>Supports</t>
        </is>
      </c>
      <c r="H224" s="4" t="inlineStr">
        <is>
          <t>R030</t>
        </is>
      </c>
      <c r="I224" s="4" t="inlineStr">
        <is>
          <t>Codex: passage-to-statement review</t>
        </is>
      </c>
      <c r="J224" s="4" t="inlineStr">
        <is>
          <t>2026-09-24</t>
        </is>
      </c>
      <c r="K224" s="4" t="inlineStr">
        <is>
          <t>Read as combined support where a field has several sources. Attributed statements establish what was said, not the underlying allegation.</t>
        </is>
      </c>
    </row>
    <row r="225" ht="80" customHeight="1">
      <c r="A225" s="6" t="inlineStr">
        <is>
          <t>EV-0220</t>
        </is>
      </c>
      <c r="B225" s="7" t="inlineStr">
        <is>
          <t>C-IM12-01</t>
        </is>
      </c>
      <c r="C225" s="7" t="inlineStr">
        <is>
          <t>S020</t>
        </is>
      </c>
      <c r="D225" s="6" t="inlineStr">
        <is>
          <t>Defence platform calls for a national security strategy and ending Agnipath; foreign-policy platform stresses continuity in strategic autonomy. Proposes parliamentary select-committee oversight of the NSC and NSA.</t>
        </is>
      </c>
      <c r="E225" s="7" t="inlineStr">
        <is>
          <t>https://manifesto.inc.in/en/national-security/</t>
        </is>
      </c>
      <c r="F225" s="6" t="inlineStr">
        <is>
          <t>Defence and Foreign Policy</t>
        </is>
      </c>
      <c r="G225" s="6" t="inlineStr">
        <is>
          <t>Supports</t>
        </is>
      </c>
      <c r="H225" s="6" t="inlineStr">
        <is>
          <t>R020</t>
        </is>
      </c>
      <c r="I225" s="6" t="inlineStr">
        <is>
          <t>Codex: passage-to-statement review</t>
        </is>
      </c>
      <c r="J225" s="6" t="inlineStr">
        <is>
          <t>2026-09-24</t>
        </is>
      </c>
      <c r="K225" s="6" t="inlineStr">
        <is>
          <t>Read as combined support where a field has several sources. Attributed statements establish what was said, not the underlying allegation.</t>
        </is>
      </c>
    </row>
    <row r="226" ht="80" customHeight="1">
      <c r="A226" s="4" t="inlineStr">
        <is>
          <t>EV-0221</t>
        </is>
      </c>
      <c r="B226" s="5" t="inlineStr">
        <is>
          <t>C-CO01-01</t>
        </is>
      </c>
      <c r="C226" s="5" t="inlineStr">
        <is>
          <t>S010</t>
        </is>
      </c>
      <c r="D226" s="4" t="inlineStr">
        <is>
          <t>The Court stayed the conviction pending appeal, noting lack of reasons for the maximum two-year sentence and effects on voters. It also criticised the remarks and reserved the merits for the appellate court.</t>
        </is>
      </c>
      <c r="E226" s="5" t="inlineStr">
        <is>
          <t>https://api.sci.gov.in/supremecourt/2023/27941/27941_2023_4_55_45901_Order_04-Aug-2023.pdf</t>
        </is>
      </c>
      <c r="F226" s="4" t="inlineStr">
        <is>
          <t>Order paragraphs 4–11; pp.2–4</t>
        </is>
      </c>
      <c r="G226" s="4" t="inlineStr">
        <is>
          <t>Supports</t>
        </is>
      </c>
      <c r="H226" s="4" t="inlineStr">
        <is>
          <t>R010</t>
        </is>
      </c>
      <c r="I226" s="4" t="inlineStr">
        <is>
          <t>Codex: passage-to-statement review</t>
        </is>
      </c>
      <c r="J226" s="4" t="inlineStr">
        <is>
          <t>2026-09-24</t>
        </is>
      </c>
      <c r="K226" s="4" t="inlineStr">
        <is>
          <t>Read as combined support where a field has several sources. Attributed statements establish what was said, not the underlying allegation.</t>
        </is>
      </c>
    </row>
    <row r="227" ht="66" customHeight="1">
      <c r="A227" s="6" t="inlineStr">
        <is>
          <t>EV-0222</t>
        </is>
      </c>
      <c r="B227" s="7" t="inlineStr">
        <is>
          <t>C-CO01-01</t>
        </is>
      </c>
      <c r="C227" s="7" t="inlineStr">
        <is>
          <t>S011</t>
        </is>
      </c>
      <c r="D227" s="6" t="inlineStr">
        <is>
          <t>Lok Sabha Secretariat restored membership on 7 August 2023 after the Supreme Court stay. Disqualification operated from 23 March 2023 following the conviction.</t>
        </is>
      </c>
      <c r="E227" s="7" t="inlineStr">
        <is>
          <t>https://indianexpress.com/article/political-pulse/rahul-gandhi-returns-mp-lok-sabha-supreme-court-8880307/</t>
        </is>
      </c>
      <c r="F227" s="6" t="inlineStr">
        <is>
          <t>Opening and closing paragraphs</t>
        </is>
      </c>
      <c r="G227" s="6" t="inlineStr">
        <is>
          <t>Supports</t>
        </is>
      </c>
      <c r="H227" s="6" t="inlineStr">
        <is>
          <t>R011</t>
        </is>
      </c>
      <c r="I227" s="6" t="inlineStr">
        <is>
          <t>Codex: passage-to-statement review</t>
        </is>
      </c>
      <c r="J227" s="6" t="inlineStr">
        <is>
          <t>2026-09-24</t>
        </is>
      </c>
      <c r="K227" s="6" t="inlineStr">
        <is>
          <t>Read as combined support where a field has several sources. Attributed statements establish what was said, not the underlying allegation.</t>
        </is>
      </c>
    </row>
    <row r="228" ht="80" customHeight="1">
      <c r="A228" s="4" t="inlineStr">
        <is>
          <t>EV-0223</t>
        </is>
      </c>
      <c r="B228" s="5" t="inlineStr">
        <is>
          <t>C-CO01-02</t>
        </is>
      </c>
      <c r="C228" s="5" t="inlineStr">
        <is>
          <t>S010</t>
        </is>
      </c>
      <c r="D228" s="4" t="inlineStr">
        <is>
          <t>The Court stayed the conviction pending appeal, noting lack of reasons for the maximum two-year sentence and effects on voters. It also criticised the remarks and reserved the merits for the appellate court.</t>
        </is>
      </c>
      <c r="E228" s="5" t="inlineStr">
        <is>
          <t>https://api.sci.gov.in/supremecourt/2023/27941/27941_2023_4_55_45901_Order_04-Aug-2023.pdf</t>
        </is>
      </c>
      <c r="F228" s="4" t="inlineStr">
        <is>
          <t>Order paragraphs 4–11; pp.2–4</t>
        </is>
      </c>
      <c r="G228" s="4" t="inlineStr">
        <is>
          <t>Supports</t>
        </is>
      </c>
      <c r="H228" s="4" t="inlineStr">
        <is>
          <t>R010</t>
        </is>
      </c>
      <c r="I228" s="4" t="inlineStr">
        <is>
          <t>Codex: passage-to-statement review</t>
        </is>
      </c>
      <c r="J228" s="4" t="inlineStr">
        <is>
          <t>2026-09-24</t>
        </is>
      </c>
      <c r="K228" s="4" t="inlineStr">
        <is>
          <t>Read as combined support where a field has several sources. Attributed statements establish what was said, not the underlying allegation.</t>
        </is>
      </c>
    </row>
    <row r="229" ht="66" customHeight="1">
      <c r="A229" s="6" t="inlineStr">
        <is>
          <t>EV-0224</t>
        </is>
      </c>
      <c r="B229" s="7" t="inlineStr">
        <is>
          <t>C-CO01-02</t>
        </is>
      </c>
      <c r="C229" s="7" t="inlineStr">
        <is>
          <t>S011</t>
        </is>
      </c>
      <c r="D229" s="6" t="inlineStr">
        <is>
          <t>Lok Sabha Secretariat restored membership on 7 August 2023 after the Supreme Court stay. Disqualification operated from 23 March 2023 following the conviction.</t>
        </is>
      </c>
      <c r="E229" s="7" t="inlineStr">
        <is>
          <t>https://indianexpress.com/article/political-pulse/rahul-gandhi-returns-mp-lok-sabha-supreme-court-8880307/</t>
        </is>
      </c>
      <c r="F229" s="6" t="inlineStr">
        <is>
          <t>Opening and closing paragraphs</t>
        </is>
      </c>
      <c r="G229" s="6" t="inlineStr">
        <is>
          <t>Supports</t>
        </is>
      </c>
      <c r="H229" s="6" t="inlineStr">
        <is>
          <t>R011</t>
        </is>
      </c>
      <c r="I229" s="6" t="inlineStr">
        <is>
          <t>Codex: passage-to-statement review</t>
        </is>
      </c>
      <c r="J229" s="6" t="inlineStr">
        <is>
          <t>2026-09-24</t>
        </is>
      </c>
      <c r="K229" s="6" t="inlineStr">
        <is>
          <t>Read as combined support where a field has several sources. Attributed statements establish what was said, not the underlying allegation.</t>
        </is>
      </c>
    </row>
    <row r="230" ht="80" customHeight="1">
      <c r="A230" s="4" t="inlineStr">
        <is>
          <t>EV-0225</t>
        </is>
      </c>
      <c r="B230" s="5" t="inlineStr">
        <is>
          <t>C-CO01-03</t>
        </is>
      </c>
      <c r="C230" s="5" t="inlineStr">
        <is>
          <t>S010</t>
        </is>
      </c>
      <c r="D230" s="4" t="inlineStr">
        <is>
          <t>The Court stayed the conviction pending appeal, noting lack of reasons for the maximum two-year sentence and effects on voters. It also criticised the remarks and reserved the merits for the appellate court.</t>
        </is>
      </c>
      <c r="E230" s="5" t="inlineStr">
        <is>
          <t>https://api.sci.gov.in/supremecourt/2023/27941/27941_2023_4_55_45901_Order_04-Aug-2023.pdf</t>
        </is>
      </c>
      <c r="F230" s="4" t="inlineStr">
        <is>
          <t>Order paragraphs 4–11; pp.2–4</t>
        </is>
      </c>
      <c r="G230" s="4" t="inlineStr">
        <is>
          <t>Supports</t>
        </is>
      </c>
      <c r="H230" s="4" t="inlineStr">
        <is>
          <t>R010</t>
        </is>
      </c>
      <c r="I230" s="4" t="inlineStr">
        <is>
          <t>Codex: passage-to-statement review</t>
        </is>
      </c>
      <c r="J230" s="4" t="inlineStr">
        <is>
          <t>2026-09-24</t>
        </is>
      </c>
      <c r="K230" s="4" t="inlineStr">
        <is>
          <t>Read as combined support where a field has several sources. Attributed statements establish what was said, not the underlying allegation.</t>
        </is>
      </c>
    </row>
    <row r="231" ht="66" customHeight="1">
      <c r="A231" s="6" t="inlineStr">
        <is>
          <t>EV-0226</t>
        </is>
      </c>
      <c r="B231" s="7" t="inlineStr">
        <is>
          <t>C-CO01-03</t>
        </is>
      </c>
      <c r="C231" s="7" t="inlineStr">
        <is>
          <t>S011</t>
        </is>
      </c>
      <c r="D231" s="6" t="inlineStr">
        <is>
          <t>Lok Sabha Secretariat restored membership on 7 August 2023 after the Supreme Court stay. Disqualification operated from 23 March 2023 following the conviction.</t>
        </is>
      </c>
      <c r="E231" s="7" t="inlineStr">
        <is>
          <t>https://indianexpress.com/article/political-pulse/rahul-gandhi-returns-mp-lok-sabha-supreme-court-8880307/</t>
        </is>
      </c>
      <c r="F231" s="6" t="inlineStr">
        <is>
          <t>Opening and closing paragraphs</t>
        </is>
      </c>
      <c r="G231" s="6" t="inlineStr">
        <is>
          <t>Supports</t>
        </is>
      </c>
      <c r="H231" s="6" t="inlineStr">
        <is>
          <t>R011</t>
        </is>
      </c>
      <c r="I231" s="6" t="inlineStr">
        <is>
          <t>Codex: passage-to-statement review</t>
        </is>
      </c>
      <c r="J231" s="6" t="inlineStr">
        <is>
          <t>2026-09-24</t>
        </is>
      </c>
      <c r="K231" s="6" t="inlineStr">
        <is>
          <t>Read as combined support where a field has several sources. Attributed statements establish what was said, not the underlying allegation.</t>
        </is>
      </c>
    </row>
    <row r="232" ht="80" customHeight="1">
      <c r="A232" s="4" t="inlineStr">
        <is>
          <t>EV-0227</t>
        </is>
      </c>
      <c r="B232" s="5" t="inlineStr">
        <is>
          <t>C-CO02-01</t>
        </is>
      </c>
      <c r="C232" s="5" t="inlineStr">
        <is>
          <t>S012</t>
        </is>
      </c>
      <c r="D232" s="4" t="inlineStr">
        <is>
          <t>ED challenged refusal to take cognisance. Gandhis disputed the private-complaint basis in replies filed 18 September. ED alleges a conspiracy involving AJL assets; Young Indian acquired recovery rights over an AICC loan.</t>
        </is>
      </c>
      <c r="E232" s="5" t="inlineStr">
        <is>
          <t>https://indianexpress.com/article/legal-news/national-herald-case-gandhis-oppose-ed-plea-private-complaint-10889668/</t>
        </is>
      </c>
      <c r="F232" s="4" t="inlineStr">
        <is>
          <t>Case status, reply and The case; lines 59–88</t>
        </is>
      </c>
      <c r="G232" s="4" t="inlineStr">
        <is>
          <t>Supports</t>
        </is>
      </c>
      <c r="H232" s="4" t="inlineStr">
        <is>
          <t>R012</t>
        </is>
      </c>
      <c r="I232" s="4" t="inlineStr">
        <is>
          <t>Codex: passage-to-statement review</t>
        </is>
      </c>
      <c r="J232" s="4" t="inlineStr">
        <is>
          <t>2026-09-24</t>
        </is>
      </c>
      <c r="K232" s="4" t="inlineStr">
        <is>
          <t>Read as combined support where a field has several sources. Attributed statements establish what was said, not the underlying allegation.</t>
        </is>
      </c>
    </row>
    <row r="233" ht="94" customHeight="1">
      <c r="A233" s="6" t="inlineStr">
        <is>
          <t>EV-0228</t>
        </is>
      </c>
      <c r="B233" s="7" t="inlineStr">
        <is>
          <t>C-CO02-01</t>
        </is>
      </c>
      <c r="C233" s="7" t="inlineStr">
        <is>
          <t>S013</t>
        </is>
      </c>
      <c r="D233" s="6" t="inlineStr">
        <is>
          <t>ED prosecution complaint filed 15 April 2025; trial court refused cognisance 16 December 2025; ED challenged on 17 December. High Court hearing on 22 September 2026 was adjourned to 12 October. Gandhis contest jurisdiction.</t>
        </is>
      </c>
      <c r="E233" s="7" t="inlineStr">
        <is>
          <t>https://www.barandbench.com/news/only-case-where-ed-proceeded-on-private-complaint-sonia-and-rahul-gandhi-to-delhi-high-court-on-national-herald-case</t>
        </is>
      </c>
      <c r="F233" s="6" t="inlineStr">
        <is>
          <t>Paragraphs describing complaint, orders and adjournment; lines 48–73</t>
        </is>
      </c>
      <c r="G233" s="6" t="inlineStr">
        <is>
          <t>Supports</t>
        </is>
      </c>
      <c r="H233" s="6" t="inlineStr">
        <is>
          <t>R013</t>
        </is>
      </c>
      <c r="I233" s="6" t="inlineStr">
        <is>
          <t>Codex: passage-to-statement review</t>
        </is>
      </c>
      <c r="J233" s="6" t="inlineStr">
        <is>
          <t>2026-09-24</t>
        </is>
      </c>
      <c r="K233" s="6" t="inlineStr">
        <is>
          <t>Read as combined support where a field has several sources. Attributed statements establish what was said, not the underlying allegation.</t>
        </is>
      </c>
    </row>
    <row r="234" ht="80" customHeight="1">
      <c r="A234" s="4" t="inlineStr">
        <is>
          <t>EV-0229</t>
        </is>
      </c>
      <c r="B234" s="5" t="inlineStr">
        <is>
          <t>C-CO02-02</t>
        </is>
      </c>
      <c r="C234" s="5" t="inlineStr">
        <is>
          <t>S012</t>
        </is>
      </c>
      <c r="D234" s="4" t="inlineStr">
        <is>
          <t>ED challenged refusal to take cognisance. Gandhis disputed the private-complaint basis in replies filed 18 September. ED alleges a conspiracy involving AJL assets; Young Indian acquired recovery rights over an AICC loan.</t>
        </is>
      </c>
      <c r="E234" s="5" t="inlineStr">
        <is>
          <t>https://indianexpress.com/article/legal-news/national-herald-case-gandhis-oppose-ed-plea-private-complaint-10889668/</t>
        </is>
      </c>
      <c r="F234" s="4" t="inlineStr">
        <is>
          <t>Case status, reply and The case; lines 59–88</t>
        </is>
      </c>
      <c r="G234" s="4" t="inlineStr">
        <is>
          <t>Supports</t>
        </is>
      </c>
      <c r="H234" s="4" t="inlineStr">
        <is>
          <t>R012</t>
        </is>
      </c>
      <c r="I234" s="4" t="inlineStr">
        <is>
          <t>Codex: passage-to-statement review</t>
        </is>
      </c>
      <c r="J234" s="4" t="inlineStr">
        <is>
          <t>2026-09-24</t>
        </is>
      </c>
      <c r="K234" s="4" t="inlineStr">
        <is>
          <t>Read as combined support where a field has several sources. Attributed statements establish what was said, not the underlying allegation.</t>
        </is>
      </c>
    </row>
    <row r="235" ht="94" customHeight="1">
      <c r="A235" s="6" t="inlineStr">
        <is>
          <t>EV-0230</t>
        </is>
      </c>
      <c r="B235" s="7" t="inlineStr">
        <is>
          <t>C-CO02-02</t>
        </is>
      </c>
      <c r="C235" s="7" t="inlineStr">
        <is>
          <t>S013</t>
        </is>
      </c>
      <c r="D235" s="6" t="inlineStr">
        <is>
          <t>ED prosecution complaint filed 15 April 2025; trial court refused cognisance 16 December 2025; ED challenged on 17 December. High Court hearing on 22 September 2026 was adjourned to 12 October. Gandhis contest jurisdiction.</t>
        </is>
      </c>
      <c r="E235" s="7" t="inlineStr">
        <is>
          <t>https://www.barandbench.com/news/only-case-where-ed-proceeded-on-private-complaint-sonia-and-rahul-gandhi-to-delhi-high-court-on-national-herald-case</t>
        </is>
      </c>
      <c r="F235" s="6" t="inlineStr">
        <is>
          <t>Paragraphs describing complaint, orders and adjournment; lines 48–73</t>
        </is>
      </c>
      <c r="G235" s="6" t="inlineStr">
        <is>
          <t>Supports</t>
        </is>
      </c>
      <c r="H235" s="6" t="inlineStr">
        <is>
          <t>R013</t>
        </is>
      </c>
      <c r="I235" s="6" t="inlineStr">
        <is>
          <t>Codex: passage-to-statement review</t>
        </is>
      </c>
      <c r="J235" s="6" t="inlineStr">
        <is>
          <t>2026-09-24</t>
        </is>
      </c>
      <c r="K235" s="6" t="inlineStr">
        <is>
          <t>Read as combined support where a field has several sources. Attributed statements establish what was said, not the underlying allegation.</t>
        </is>
      </c>
    </row>
    <row r="236" ht="80" customHeight="1">
      <c r="A236" s="4" t="inlineStr">
        <is>
          <t>EV-0231</t>
        </is>
      </c>
      <c r="B236" s="5" t="inlineStr">
        <is>
          <t>C-CO02-03</t>
        </is>
      </c>
      <c r="C236" s="5" t="inlineStr">
        <is>
          <t>S012</t>
        </is>
      </c>
      <c r="D236" s="4" t="inlineStr">
        <is>
          <t>ED challenged refusal to take cognisance. Gandhis disputed the private-complaint basis in replies filed 18 September. ED alleges a conspiracy involving AJL assets; Young Indian acquired recovery rights over an AICC loan.</t>
        </is>
      </c>
      <c r="E236" s="5" t="inlineStr">
        <is>
          <t>https://indianexpress.com/article/legal-news/national-herald-case-gandhis-oppose-ed-plea-private-complaint-10889668/</t>
        </is>
      </c>
      <c r="F236" s="4" t="inlineStr">
        <is>
          <t>Case status, reply and The case; lines 59–88</t>
        </is>
      </c>
      <c r="G236" s="4" t="inlineStr">
        <is>
          <t>Supports</t>
        </is>
      </c>
      <c r="H236" s="4" t="inlineStr">
        <is>
          <t>R012</t>
        </is>
      </c>
      <c r="I236" s="4" t="inlineStr">
        <is>
          <t>Codex: passage-to-statement review</t>
        </is>
      </c>
      <c r="J236" s="4" t="inlineStr">
        <is>
          <t>2026-09-24</t>
        </is>
      </c>
      <c r="K236" s="4" t="inlineStr">
        <is>
          <t>Read as combined support where a field has several sources. Attributed statements establish what was said, not the underlying allegation.</t>
        </is>
      </c>
    </row>
    <row r="237" ht="94" customHeight="1">
      <c r="A237" s="6" t="inlineStr">
        <is>
          <t>EV-0232</t>
        </is>
      </c>
      <c r="B237" s="7" t="inlineStr">
        <is>
          <t>C-CO02-03</t>
        </is>
      </c>
      <c r="C237" s="7" t="inlineStr">
        <is>
          <t>S013</t>
        </is>
      </c>
      <c r="D237" s="6" t="inlineStr">
        <is>
          <t>ED prosecution complaint filed 15 April 2025; trial court refused cognisance 16 December 2025; ED challenged on 17 December. High Court hearing on 22 September 2026 was adjourned to 12 October. Gandhis contest jurisdiction.</t>
        </is>
      </c>
      <c r="E237" s="7" t="inlineStr">
        <is>
          <t>https://www.barandbench.com/news/only-case-where-ed-proceeded-on-private-complaint-sonia-and-rahul-gandhi-to-delhi-high-court-on-national-herald-case</t>
        </is>
      </c>
      <c r="F237" s="6" t="inlineStr">
        <is>
          <t>Paragraphs describing complaint, orders and adjournment; lines 48–73</t>
        </is>
      </c>
      <c r="G237" s="6" t="inlineStr">
        <is>
          <t>Supports</t>
        </is>
      </c>
      <c r="H237" s="6" t="inlineStr">
        <is>
          <t>R013</t>
        </is>
      </c>
      <c r="I237" s="6" t="inlineStr">
        <is>
          <t>Codex: passage-to-statement review</t>
        </is>
      </c>
      <c r="J237" s="6" t="inlineStr">
        <is>
          <t>2026-09-24</t>
        </is>
      </c>
      <c r="K237" s="6" t="inlineStr">
        <is>
          <t>Read as combined support where a field has several sources. Attributed statements establish what was said, not the underlying allegation.</t>
        </is>
      </c>
    </row>
    <row r="238" ht="80" customHeight="1">
      <c r="A238" s="4" t="inlineStr">
        <is>
          <t>EV-0233</t>
        </is>
      </c>
      <c r="B238" s="5" t="inlineStr">
        <is>
          <t>C-CO03-01</t>
        </is>
      </c>
      <c r="C238" s="5" t="inlineStr">
        <is>
          <t>S029</t>
        </is>
      </c>
      <c r="D238" s="4" t="inlineStr">
        <is>
          <t>Court closed Meenakshi Lekhi’s contempt petition after Gandhi’s unconditional apology for falsely attributing his campaign slogan to the Court; cautioned him about future statements.</t>
        </is>
      </c>
      <c r="E238" s="5" t="inlineStr">
        <is>
          <t>https://indianexpress.com/article/india/rafale-case-sc-closes-defamation-case-against-rahul-gandhi-says-he-needs-to-be-more-careful/</t>
        </is>
      </c>
      <c r="F238" s="4" t="inlineStr">
        <is>
          <t>Disposition and response; lines 61–78</t>
        </is>
      </c>
      <c r="G238" s="4" t="inlineStr">
        <is>
          <t>Supports</t>
        </is>
      </c>
      <c r="H238" s="4" t="inlineStr">
        <is>
          <t>R029</t>
        </is>
      </c>
      <c r="I238" s="4" t="inlineStr">
        <is>
          <t>Codex: passage-to-statement review</t>
        </is>
      </c>
      <c r="J238" s="4" t="inlineStr">
        <is>
          <t>2026-09-24</t>
        </is>
      </c>
      <c r="K238" s="4" t="inlineStr">
        <is>
          <t>Read as combined support where a field has several sources. Attributed statements establish what was said, not the underlying allegation.</t>
        </is>
      </c>
    </row>
    <row r="239" ht="80" customHeight="1">
      <c r="A239" s="6" t="inlineStr">
        <is>
          <t>EV-0234</t>
        </is>
      </c>
      <c r="B239" s="7" t="inlineStr">
        <is>
          <t>C-CO03-01</t>
        </is>
      </c>
      <c r="C239" s="7" t="inlineStr">
        <is>
          <t>S010</t>
        </is>
      </c>
      <c r="D239" s="6" t="inlineStr">
        <is>
          <t>The Court stayed the conviction pending appeal, noting lack of reasons for the maximum two-year sentence and effects on voters. It also criticised the remarks and reserved the merits for the appellate court.</t>
        </is>
      </c>
      <c r="E239" s="7" t="inlineStr">
        <is>
          <t>https://api.sci.gov.in/supremecourt/2023/27941/27941_2023_4_55_45901_Order_04-Aug-2023.pdf</t>
        </is>
      </c>
      <c r="F239" s="6" t="inlineStr">
        <is>
          <t>Order paragraphs 4–11; pp.2–4</t>
        </is>
      </c>
      <c r="G239" s="6" t="inlineStr">
        <is>
          <t>Supports</t>
        </is>
      </c>
      <c r="H239" s="6" t="inlineStr">
        <is>
          <t>R010</t>
        </is>
      </c>
      <c r="I239" s="6" t="inlineStr">
        <is>
          <t>Codex: passage-to-statement review</t>
        </is>
      </c>
      <c r="J239" s="6" t="inlineStr">
        <is>
          <t>2026-09-24</t>
        </is>
      </c>
      <c r="K239" s="6" t="inlineStr">
        <is>
          <t>Read as combined support where a field has several sources. Attributed statements establish what was said, not the underlying allegation.</t>
        </is>
      </c>
    </row>
    <row r="240" ht="80" customHeight="1">
      <c r="A240" s="4" t="inlineStr">
        <is>
          <t>EV-0235</t>
        </is>
      </c>
      <c r="B240" s="5" t="inlineStr">
        <is>
          <t>C-CO03-02</t>
        </is>
      </c>
      <c r="C240" s="5" t="inlineStr">
        <is>
          <t>S029</t>
        </is>
      </c>
      <c r="D240" s="4" t="inlineStr">
        <is>
          <t>Court closed Meenakshi Lekhi’s contempt petition after Gandhi’s unconditional apology for falsely attributing his campaign slogan to the Court; cautioned him about future statements.</t>
        </is>
      </c>
      <c r="E240" s="5" t="inlineStr">
        <is>
          <t>https://indianexpress.com/article/india/rafale-case-sc-closes-defamation-case-against-rahul-gandhi-says-he-needs-to-be-more-careful/</t>
        </is>
      </c>
      <c r="F240" s="4" t="inlineStr">
        <is>
          <t>Disposition and response; lines 61–78</t>
        </is>
      </c>
      <c r="G240" s="4" t="inlineStr">
        <is>
          <t>Supports</t>
        </is>
      </c>
      <c r="H240" s="4" t="inlineStr">
        <is>
          <t>R029</t>
        </is>
      </c>
      <c r="I240" s="4" t="inlineStr">
        <is>
          <t>Codex: passage-to-statement review</t>
        </is>
      </c>
      <c r="J240" s="4" t="inlineStr">
        <is>
          <t>2026-09-24</t>
        </is>
      </c>
      <c r="K240" s="4" t="inlineStr">
        <is>
          <t>Read as combined support where a field has several sources. Attributed statements establish what was said, not the underlying allegation.</t>
        </is>
      </c>
    </row>
    <row r="241" ht="80" customHeight="1">
      <c r="A241" s="6" t="inlineStr">
        <is>
          <t>EV-0236</t>
        </is>
      </c>
      <c r="B241" s="7" t="inlineStr">
        <is>
          <t>C-CO03-02</t>
        </is>
      </c>
      <c r="C241" s="7" t="inlineStr">
        <is>
          <t>S010</t>
        </is>
      </c>
      <c r="D241" s="6" t="inlineStr">
        <is>
          <t>The Court stayed the conviction pending appeal, noting lack of reasons for the maximum two-year sentence and effects on voters. It also criticised the remarks and reserved the merits for the appellate court.</t>
        </is>
      </c>
      <c r="E241" s="7" t="inlineStr">
        <is>
          <t>https://api.sci.gov.in/supremecourt/2023/27941/27941_2023_4_55_45901_Order_04-Aug-2023.pdf</t>
        </is>
      </c>
      <c r="F241" s="6" t="inlineStr">
        <is>
          <t>Order paragraphs 4–11; pp.2–4</t>
        </is>
      </c>
      <c r="G241" s="6" t="inlineStr">
        <is>
          <t>Supports</t>
        </is>
      </c>
      <c r="H241" s="6" t="inlineStr">
        <is>
          <t>R010</t>
        </is>
      </c>
      <c r="I241" s="6" t="inlineStr">
        <is>
          <t>Codex: passage-to-statement review</t>
        </is>
      </c>
      <c r="J241" s="6" t="inlineStr">
        <is>
          <t>2026-09-24</t>
        </is>
      </c>
      <c r="K241" s="6" t="inlineStr">
        <is>
          <t>Read as combined support where a field has several sources. Attributed statements establish what was said, not the underlying allegation.</t>
        </is>
      </c>
    </row>
    <row r="242" ht="80" customHeight="1">
      <c r="A242" s="4" t="inlineStr">
        <is>
          <t>EV-0237</t>
        </is>
      </c>
      <c r="B242" s="5" t="inlineStr">
        <is>
          <t>C-CO03-03</t>
        </is>
      </c>
      <c r="C242" s="5" t="inlineStr">
        <is>
          <t>S029</t>
        </is>
      </c>
      <c r="D242" s="4" t="inlineStr">
        <is>
          <t>Court closed Meenakshi Lekhi’s contempt petition after Gandhi’s unconditional apology for falsely attributing his campaign slogan to the Court; cautioned him about future statements.</t>
        </is>
      </c>
      <c r="E242" s="5" t="inlineStr">
        <is>
          <t>https://indianexpress.com/article/india/rafale-case-sc-closes-defamation-case-against-rahul-gandhi-says-he-needs-to-be-more-careful/</t>
        </is>
      </c>
      <c r="F242" s="4" t="inlineStr">
        <is>
          <t>Disposition and response; lines 61–78</t>
        </is>
      </c>
      <c r="G242" s="4" t="inlineStr">
        <is>
          <t>Supports</t>
        </is>
      </c>
      <c r="H242" s="4" t="inlineStr">
        <is>
          <t>R029</t>
        </is>
      </c>
      <c r="I242" s="4" t="inlineStr">
        <is>
          <t>Codex: passage-to-statement review</t>
        </is>
      </c>
      <c r="J242" s="4" t="inlineStr">
        <is>
          <t>2026-09-24</t>
        </is>
      </c>
      <c r="K242" s="4" t="inlineStr">
        <is>
          <t>Read as combined support where a field has several sources. Attributed statements establish what was said, not the underlying allegation.</t>
        </is>
      </c>
    </row>
    <row r="243" ht="80" customHeight="1">
      <c r="A243" s="6" t="inlineStr">
        <is>
          <t>EV-0238</t>
        </is>
      </c>
      <c r="B243" s="7" t="inlineStr">
        <is>
          <t>C-CO03-03</t>
        </is>
      </c>
      <c r="C243" s="7" t="inlineStr">
        <is>
          <t>S010</t>
        </is>
      </c>
      <c r="D243" s="6" t="inlineStr">
        <is>
          <t>The Court stayed the conviction pending appeal, noting lack of reasons for the maximum two-year sentence and effects on voters. It also criticised the remarks and reserved the merits for the appellate court.</t>
        </is>
      </c>
      <c r="E243" s="7" t="inlineStr">
        <is>
          <t>https://api.sci.gov.in/supremecourt/2023/27941/27941_2023_4_55_45901_Order_04-Aug-2023.pdf</t>
        </is>
      </c>
      <c r="F243" s="6" t="inlineStr">
        <is>
          <t>Order paragraphs 4–11; pp.2–4</t>
        </is>
      </c>
      <c r="G243" s="6" t="inlineStr">
        <is>
          <t>Supports</t>
        </is>
      </c>
      <c r="H243" s="6" t="inlineStr">
        <is>
          <t>R010</t>
        </is>
      </c>
      <c r="I243" s="6" t="inlineStr">
        <is>
          <t>Codex: passage-to-statement review</t>
        </is>
      </c>
      <c r="J243" s="6" t="inlineStr">
        <is>
          <t>2026-09-24</t>
        </is>
      </c>
      <c r="K243" s="6" t="inlineStr">
        <is>
          <t>Read as combined support where a field has several sources. Attributed statements establish what was said, not the underlying allegation.</t>
        </is>
      </c>
    </row>
    <row r="244" ht="80" customHeight="1">
      <c r="A244" s="4" t="inlineStr">
        <is>
          <t>EV-0239</t>
        </is>
      </c>
      <c r="B244" s="5" t="inlineStr">
        <is>
          <t>C-CO04-01</t>
        </is>
      </c>
      <c r="C244" s="5" t="inlineStr">
        <is>
          <t>S038</t>
        </is>
      </c>
      <c r="D244" s="4" t="inlineStr">
        <is>
          <t>Gandhi publicly repudiated the proposed ordinance protecting convicted legislators; BJP critics said this undermined Prime Minister Manmohan Singh. Gandhi framed his objection as opposition to compromise on corruption.</t>
        </is>
      </c>
      <c r="E244" s="5" t="inlineStr">
        <is>
          <t>https://www.ndtv.com/india-news/rahul-gandhi-calls-ordinance-on-convicted-lawmakers-nonsense-huge-embarrassment-for-pm-535906</t>
        </is>
      </c>
      <c r="F244" s="4" t="inlineStr">
        <is>
          <t>Press Club remarks and responses; lines 225–233</t>
        </is>
      </c>
      <c r="G244" s="4" t="inlineStr">
        <is>
          <t>Supports</t>
        </is>
      </c>
      <c r="H244" s="4" t="inlineStr">
        <is>
          <t>R038</t>
        </is>
      </c>
      <c r="I244" s="4" t="inlineStr">
        <is>
          <t>Codex: passage-to-statement review</t>
        </is>
      </c>
      <c r="J244" s="4" t="inlineStr">
        <is>
          <t>2026-09-24</t>
        </is>
      </c>
      <c r="K244" s="4" t="inlineStr">
        <is>
          <t>Read as combined support where a field has several sources. Attributed statements establish what was said, not the underlying allegation.</t>
        </is>
      </c>
    </row>
    <row r="245" ht="80" customHeight="1">
      <c r="A245" s="6" t="inlineStr">
        <is>
          <t>EV-0240</t>
        </is>
      </c>
      <c r="B245" s="7" t="inlineStr">
        <is>
          <t>C-CO04-01</t>
        </is>
      </c>
      <c r="C245" s="7" t="inlineStr">
        <is>
          <t>S039</t>
        </is>
      </c>
      <c r="D245" s="6" t="inlineStr">
        <is>
          <t>Cabinet withdrew the proposed ordinance and related bill after Gandhi’s public criticism.</t>
        </is>
      </c>
      <c r="E245" s="7" t="inlineStr">
        <is>
          <t>https://www.business-standard.com/article/politics/govt-bows-before-rahul-withdraws-ordinance-plan-113100200706_1.html</t>
        </is>
      </c>
      <c r="F245" s="6" t="inlineStr">
        <is>
          <t>Cabinet decision reported 2 October</t>
        </is>
      </c>
      <c r="G245" s="6" t="inlineStr">
        <is>
          <t>Supports</t>
        </is>
      </c>
      <c r="H245" s="6" t="inlineStr">
        <is>
          <t>R039</t>
        </is>
      </c>
      <c r="I245" s="6" t="inlineStr">
        <is>
          <t>Codex: passage-to-statement review</t>
        </is>
      </c>
      <c r="J245" s="6" t="inlineStr">
        <is>
          <t>2026-09-24</t>
        </is>
      </c>
      <c r="K245" s="6" t="inlineStr">
        <is>
          <t>Read as combined support where a field has several sources. Attributed statements establish what was said, not the underlying allegation.</t>
        </is>
      </c>
    </row>
    <row r="246" ht="80" customHeight="1">
      <c r="A246" s="4" t="inlineStr">
        <is>
          <t>EV-0241</t>
        </is>
      </c>
      <c r="B246" s="5" t="inlineStr">
        <is>
          <t>C-CO04-02</t>
        </is>
      </c>
      <c r="C246" s="5" t="inlineStr">
        <is>
          <t>S038</t>
        </is>
      </c>
      <c r="D246" s="4" t="inlineStr">
        <is>
          <t>Gandhi publicly repudiated the proposed ordinance protecting convicted legislators; BJP critics said this undermined Prime Minister Manmohan Singh. Gandhi framed his objection as opposition to compromise on corruption.</t>
        </is>
      </c>
      <c r="E246" s="5" t="inlineStr">
        <is>
          <t>https://www.ndtv.com/india-news/rahul-gandhi-calls-ordinance-on-convicted-lawmakers-nonsense-huge-embarrassment-for-pm-535906</t>
        </is>
      </c>
      <c r="F246" s="4" t="inlineStr">
        <is>
          <t>Press Club remarks and responses; lines 225–233</t>
        </is>
      </c>
      <c r="G246" s="4" t="inlineStr">
        <is>
          <t>Supports</t>
        </is>
      </c>
      <c r="H246" s="4" t="inlineStr">
        <is>
          <t>R038</t>
        </is>
      </c>
      <c r="I246" s="4" t="inlineStr">
        <is>
          <t>Codex: passage-to-statement review</t>
        </is>
      </c>
      <c r="J246" s="4" t="inlineStr">
        <is>
          <t>2026-09-24</t>
        </is>
      </c>
      <c r="K246" s="4" t="inlineStr">
        <is>
          <t>Read as combined support where a field has several sources. Attributed statements establish what was said, not the underlying allegation.</t>
        </is>
      </c>
    </row>
    <row r="247" ht="80" customHeight="1">
      <c r="A247" s="6" t="inlineStr">
        <is>
          <t>EV-0242</t>
        </is>
      </c>
      <c r="B247" s="7" t="inlineStr">
        <is>
          <t>C-CO04-02</t>
        </is>
      </c>
      <c r="C247" s="7" t="inlineStr">
        <is>
          <t>S039</t>
        </is>
      </c>
      <c r="D247" s="6" t="inlineStr">
        <is>
          <t>Cabinet withdrew the proposed ordinance and related bill after Gandhi’s public criticism.</t>
        </is>
      </c>
      <c r="E247" s="7" t="inlineStr">
        <is>
          <t>https://www.business-standard.com/article/politics/govt-bows-before-rahul-withdraws-ordinance-plan-113100200706_1.html</t>
        </is>
      </c>
      <c r="F247" s="6" t="inlineStr">
        <is>
          <t>Cabinet decision reported 2 October</t>
        </is>
      </c>
      <c r="G247" s="6" t="inlineStr">
        <is>
          <t>Supports</t>
        </is>
      </c>
      <c r="H247" s="6" t="inlineStr">
        <is>
          <t>R039</t>
        </is>
      </c>
      <c r="I247" s="6" t="inlineStr">
        <is>
          <t>Codex: passage-to-statement review</t>
        </is>
      </c>
      <c r="J247" s="6" t="inlineStr">
        <is>
          <t>2026-09-24</t>
        </is>
      </c>
      <c r="K247" s="6" t="inlineStr">
        <is>
          <t>Read as combined support where a field has several sources. Attributed statements establish what was said, not the underlying allegation.</t>
        </is>
      </c>
    </row>
    <row r="248" ht="80" customHeight="1">
      <c r="A248" s="4" t="inlineStr">
        <is>
          <t>EV-0243</t>
        </is>
      </c>
      <c r="B248" s="5" t="inlineStr">
        <is>
          <t>C-CO04-03</t>
        </is>
      </c>
      <c r="C248" s="5" t="inlineStr">
        <is>
          <t>S038</t>
        </is>
      </c>
      <c r="D248" s="4" t="inlineStr">
        <is>
          <t>Gandhi publicly repudiated the proposed ordinance protecting convicted legislators; BJP critics said this undermined Prime Minister Manmohan Singh. Gandhi framed his objection as opposition to compromise on corruption.</t>
        </is>
      </c>
      <c r="E248" s="5" t="inlineStr">
        <is>
          <t>https://www.ndtv.com/india-news/rahul-gandhi-calls-ordinance-on-convicted-lawmakers-nonsense-huge-embarrassment-for-pm-535906</t>
        </is>
      </c>
      <c r="F248" s="4" t="inlineStr">
        <is>
          <t>Press Club remarks and responses; lines 225–233</t>
        </is>
      </c>
      <c r="G248" s="4" t="inlineStr">
        <is>
          <t>Supports</t>
        </is>
      </c>
      <c r="H248" s="4" t="inlineStr">
        <is>
          <t>R038</t>
        </is>
      </c>
      <c r="I248" s="4" t="inlineStr">
        <is>
          <t>Codex: passage-to-statement review</t>
        </is>
      </c>
      <c r="J248" s="4" t="inlineStr">
        <is>
          <t>2026-09-24</t>
        </is>
      </c>
      <c r="K248" s="4" t="inlineStr">
        <is>
          <t>Read as combined support where a field has several sources. Attributed statements establish what was said, not the underlying allegation.</t>
        </is>
      </c>
    </row>
    <row r="249" ht="80" customHeight="1">
      <c r="A249" s="6" t="inlineStr">
        <is>
          <t>EV-0244</t>
        </is>
      </c>
      <c r="B249" s="7" t="inlineStr">
        <is>
          <t>C-CO04-03</t>
        </is>
      </c>
      <c r="C249" s="7" t="inlineStr">
        <is>
          <t>S039</t>
        </is>
      </c>
      <c r="D249" s="6" t="inlineStr">
        <is>
          <t>Cabinet withdrew the proposed ordinance and related bill after Gandhi’s public criticism.</t>
        </is>
      </c>
      <c r="E249" s="7" t="inlineStr">
        <is>
          <t>https://www.business-standard.com/article/politics/govt-bows-before-rahul-withdraws-ordinance-plan-113100200706_1.html</t>
        </is>
      </c>
      <c r="F249" s="6" t="inlineStr">
        <is>
          <t>Cabinet decision reported 2 October</t>
        </is>
      </c>
      <c r="G249" s="6" t="inlineStr">
        <is>
          <t>Supports</t>
        </is>
      </c>
      <c r="H249" s="6" t="inlineStr">
        <is>
          <t>R039</t>
        </is>
      </c>
      <c r="I249" s="6" t="inlineStr">
        <is>
          <t>Codex: passage-to-statement review</t>
        </is>
      </c>
      <c r="J249" s="6" t="inlineStr">
        <is>
          <t>2026-09-24</t>
        </is>
      </c>
      <c r="K249" s="6" t="inlineStr">
        <is>
          <t>Read as combined support where a field has several sources. Attributed statements establish what was said, not the underlying allegation.</t>
        </is>
      </c>
    </row>
    <row r="250" ht="80" customHeight="1">
      <c r="A250" s="4" t="inlineStr">
        <is>
          <t>EV-0245</t>
        </is>
      </c>
      <c r="B250" s="5" t="inlineStr">
        <is>
          <t>C-CO05-01</t>
        </is>
      </c>
      <c r="C250" s="5" t="inlineStr">
        <is>
          <t>S021</t>
        </is>
      </c>
      <c r="D250" s="4" t="inlineStr">
        <is>
          <t>Kerala Youth Congress figures criticised internal elections for factional conflict and diversion of resources; some favoured returning to nominations.</t>
        </is>
      </c>
      <c r="E250" s="5" t="inlineStr">
        <is>
          <t>https://indianexpress.com/article/political-pulse/in-kerala-youth-cong-dissent-over-rahuls-internal-election-system/</t>
        </is>
      </c>
      <c r="F250" s="4" t="inlineStr">
        <is>
          <t>Kerala Youth Congress camp; lines 101–110</t>
        </is>
      </c>
      <c r="G250" s="4" t="inlineStr">
        <is>
          <t>Supports</t>
        </is>
      </c>
      <c r="H250" s="4" t="inlineStr">
        <is>
          <t>R021</t>
        </is>
      </c>
      <c r="I250" s="4" t="inlineStr">
        <is>
          <t>Codex: passage-to-statement review</t>
        </is>
      </c>
      <c r="J250" s="4" t="inlineStr">
        <is>
          <t>2026-09-24</t>
        </is>
      </c>
      <c r="K250" s="4" t="inlineStr">
        <is>
          <t>Read as combined support where a field has several sources. Attributed statements establish what was said, not the underlying allegation.</t>
        </is>
      </c>
    </row>
    <row r="251" ht="66" customHeight="1">
      <c r="A251" s="6" t="inlineStr">
        <is>
          <t>EV-0246</t>
        </is>
      </c>
      <c r="B251" s="7" t="inlineStr">
        <is>
          <t>C-CO05-01</t>
        </is>
      </c>
      <c r="C251" s="7" t="inlineStr">
        <is>
          <t>S022</t>
        </is>
      </c>
      <c r="D251" s="6" t="inlineStr">
        <is>
          <t>IYC chief Rajiv Satav defended continued elections. Rahul’s reform replaced nominations in IYC/NSUI, aiming to reduce nepotism; critics alleged greater money influence.</t>
        </is>
      </c>
      <c r="E251" s="7" t="inlineStr">
        <is>
          <t>https://timesofindia.indiatimes.com/india/youth-congress-to-retain-internal-polls/articleshow/36734347.cms</t>
        </is>
      </c>
      <c r="F251" s="6" t="inlineStr">
        <is>
          <t>Internal reform and Rajiv Satav response; lines 119–133</t>
        </is>
      </c>
      <c r="G251" s="6" t="inlineStr">
        <is>
          <t>Supports</t>
        </is>
      </c>
      <c r="H251" s="6" t="inlineStr">
        <is>
          <t>R022</t>
        </is>
      </c>
      <c r="I251" s="6" t="inlineStr">
        <is>
          <t>Codex: passage-to-statement review</t>
        </is>
      </c>
      <c r="J251" s="6" t="inlineStr">
        <is>
          <t>2026-09-24</t>
        </is>
      </c>
      <c r="K251" s="6" t="inlineStr">
        <is>
          <t>Read as combined support where a field has several sources. Attributed statements establish what was said, not the underlying allegation.</t>
        </is>
      </c>
    </row>
    <row r="252" ht="80" customHeight="1">
      <c r="A252" s="4" t="inlineStr">
        <is>
          <t>EV-0247</t>
        </is>
      </c>
      <c r="B252" s="5" t="inlineStr">
        <is>
          <t>C-CO05-01</t>
        </is>
      </c>
      <c r="C252" s="5" t="inlineStr">
        <is>
          <t>S023</t>
        </is>
      </c>
      <c r="D252" s="4" t="inlineStr">
        <is>
          <t>Reuters depicts a recovery in Gandhi’s image after two marches. Analyst Rahul Verma credits mobilisation and clearer ideological opposition. Kharge was party president while Gandhi remained its prominent campaign face.</t>
        </is>
      </c>
      <c r="E252" s="5" t="inlineStr">
        <is>
          <t>https://www.marketscreener.com/news/latest/Ridiculed-for-a-decade-India-s-Rahul-Gandhi-slows-Modi-juggernaut-46900641/</t>
        </is>
      </c>
      <c r="F252" s="4" t="inlineStr">
        <is>
          <t>Opening and analyst Rahul Verma; lines 932–946</t>
        </is>
      </c>
      <c r="G252" s="4" t="inlineStr">
        <is>
          <t>Supports</t>
        </is>
      </c>
      <c r="H252" s="4" t="inlineStr">
        <is>
          <t>R023</t>
        </is>
      </c>
      <c r="I252" s="4" t="inlineStr">
        <is>
          <t>Codex: passage-to-statement review</t>
        </is>
      </c>
      <c r="J252" s="4" t="inlineStr">
        <is>
          <t>2026-09-24</t>
        </is>
      </c>
      <c r="K252" s="4" t="inlineStr">
        <is>
          <t>Read as combined support where a field has several sources. Attributed statements establish what was said, not the underlying allegation.</t>
        </is>
      </c>
    </row>
    <row r="253" ht="80" customHeight="1">
      <c r="A253" s="6" t="inlineStr">
        <is>
          <t>EV-0248</t>
        </is>
      </c>
      <c r="B253" s="7" t="inlineStr">
        <is>
          <t>C-CO05-02</t>
        </is>
      </c>
      <c r="C253" s="7" t="inlineStr">
        <is>
          <t>S021</t>
        </is>
      </c>
      <c r="D253" s="6" t="inlineStr">
        <is>
          <t>Kerala Youth Congress figures criticised internal elections for factional conflict and diversion of resources; some favoured returning to nominations.</t>
        </is>
      </c>
      <c r="E253" s="7" t="inlineStr">
        <is>
          <t>https://indianexpress.com/article/political-pulse/in-kerala-youth-cong-dissent-over-rahuls-internal-election-system/</t>
        </is>
      </c>
      <c r="F253" s="6" t="inlineStr">
        <is>
          <t>Kerala Youth Congress camp; lines 101–110</t>
        </is>
      </c>
      <c r="G253" s="6" t="inlineStr">
        <is>
          <t>Supports</t>
        </is>
      </c>
      <c r="H253" s="6" t="inlineStr">
        <is>
          <t>R021</t>
        </is>
      </c>
      <c r="I253" s="6" t="inlineStr">
        <is>
          <t>Codex: passage-to-statement review</t>
        </is>
      </c>
      <c r="J253" s="6" t="inlineStr">
        <is>
          <t>2026-09-24</t>
        </is>
      </c>
      <c r="K253" s="6" t="inlineStr">
        <is>
          <t>Read as combined support where a field has several sources. Attributed statements establish what was said, not the underlying allegation.</t>
        </is>
      </c>
    </row>
    <row r="254" ht="66" customHeight="1">
      <c r="A254" s="4" t="inlineStr">
        <is>
          <t>EV-0249</t>
        </is>
      </c>
      <c r="B254" s="5" t="inlineStr">
        <is>
          <t>C-CO05-02</t>
        </is>
      </c>
      <c r="C254" s="5" t="inlineStr">
        <is>
          <t>S022</t>
        </is>
      </c>
      <c r="D254" s="4" t="inlineStr">
        <is>
          <t>IYC chief Rajiv Satav defended continued elections. Rahul’s reform replaced nominations in IYC/NSUI, aiming to reduce nepotism; critics alleged greater money influence.</t>
        </is>
      </c>
      <c r="E254" s="5" t="inlineStr">
        <is>
          <t>https://timesofindia.indiatimes.com/india/youth-congress-to-retain-internal-polls/articleshow/36734347.cms</t>
        </is>
      </c>
      <c r="F254" s="4" t="inlineStr">
        <is>
          <t>Internal reform and Rajiv Satav response; lines 119–133</t>
        </is>
      </c>
      <c r="G254" s="4" t="inlineStr">
        <is>
          <t>Supports</t>
        </is>
      </c>
      <c r="H254" s="4" t="inlineStr">
        <is>
          <t>R022</t>
        </is>
      </c>
      <c r="I254" s="4" t="inlineStr">
        <is>
          <t>Codex: passage-to-statement review</t>
        </is>
      </c>
      <c r="J254" s="4" t="inlineStr">
        <is>
          <t>2026-09-24</t>
        </is>
      </c>
      <c r="K254" s="4" t="inlineStr">
        <is>
          <t>Read as combined support where a field has several sources. Attributed statements establish what was said, not the underlying allegation.</t>
        </is>
      </c>
    </row>
    <row r="255" ht="80" customHeight="1">
      <c r="A255" s="6" t="inlineStr">
        <is>
          <t>EV-0250</t>
        </is>
      </c>
      <c r="B255" s="7" t="inlineStr">
        <is>
          <t>C-CO05-02</t>
        </is>
      </c>
      <c r="C255" s="7" t="inlineStr">
        <is>
          <t>S023</t>
        </is>
      </c>
      <c r="D255" s="6" t="inlineStr">
        <is>
          <t>Reuters depicts a recovery in Gandhi’s image after two marches. Analyst Rahul Verma credits mobilisation and clearer ideological opposition. Kharge was party president while Gandhi remained its prominent campaign face.</t>
        </is>
      </c>
      <c r="E255" s="7" t="inlineStr">
        <is>
          <t>https://www.marketscreener.com/news/latest/Ridiculed-for-a-decade-India-s-Rahul-Gandhi-slows-Modi-juggernaut-46900641/</t>
        </is>
      </c>
      <c r="F255" s="6" t="inlineStr">
        <is>
          <t>Opening and analyst Rahul Verma; lines 932–946</t>
        </is>
      </c>
      <c r="G255" s="6" t="inlineStr">
        <is>
          <t>Supports</t>
        </is>
      </c>
      <c r="H255" s="6" t="inlineStr">
        <is>
          <t>R023</t>
        </is>
      </c>
      <c r="I255" s="6" t="inlineStr">
        <is>
          <t>Codex: passage-to-statement review</t>
        </is>
      </c>
      <c r="J255" s="6" t="inlineStr">
        <is>
          <t>2026-09-24</t>
        </is>
      </c>
      <c r="K255" s="6" t="inlineStr">
        <is>
          <t>Read as combined support where a field has several sources. Attributed statements establish what was said, not the underlying allegation.</t>
        </is>
      </c>
    </row>
    <row r="256" ht="80" customHeight="1">
      <c r="A256" s="4" t="inlineStr">
        <is>
          <t>EV-0251</t>
        </is>
      </c>
      <c r="B256" s="5" t="inlineStr">
        <is>
          <t>C-CO05-03</t>
        </is>
      </c>
      <c r="C256" s="5" t="inlineStr">
        <is>
          <t>S021</t>
        </is>
      </c>
      <c r="D256" s="4" t="inlineStr">
        <is>
          <t>Kerala Youth Congress figures criticised internal elections for factional conflict and diversion of resources; some favoured returning to nominations.</t>
        </is>
      </c>
      <c r="E256" s="5" t="inlineStr">
        <is>
          <t>https://indianexpress.com/article/political-pulse/in-kerala-youth-cong-dissent-over-rahuls-internal-election-system/</t>
        </is>
      </c>
      <c r="F256" s="4" t="inlineStr">
        <is>
          <t>Kerala Youth Congress camp; lines 101–110</t>
        </is>
      </c>
      <c r="G256" s="4" t="inlineStr">
        <is>
          <t>Supports</t>
        </is>
      </c>
      <c r="H256" s="4" t="inlineStr">
        <is>
          <t>R021</t>
        </is>
      </c>
      <c r="I256" s="4" t="inlineStr">
        <is>
          <t>Codex: passage-to-statement review</t>
        </is>
      </c>
      <c r="J256" s="4" t="inlineStr">
        <is>
          <t>2026-09-24</t>
        </is>
      </c>
      <c r="K256" s="4" t="inlineStr">
        <is>
          <t>Read as combined support where a field has several sources. Attributed statements establish what was said, not the underlying allegation.</t>
        </is>
      </c>
    </row>
    <row r="257" ht="66" customHeight="1">
      <c r="A257" s="6" t="inlineStr">
        <is>
          <t>EV-0252</t>
        </is>
      </c>
      <c r="B257" s="7" t="inlineStr">
        <is>
          <t>C-CO05-03</t>
        </is>
      </c>
      <c r="C257" s="7" t="inlineStr">
        <is>
          <t>S022</t>
        </is>
      </c>
      <c r="D257" s="6" t="inlineStr">
        <is>
          <t>IYC chief Rajiv Satav defended continued elections. Rahul’s reform replaced nominations in IYC/NSUI, aiming to reduce nepotism; critics alleged greater money influence.</t>
        </is>
      </c>
      <c r="E257" s="7" t="inlineStr">
        <is>
          <t>https://timesofindia.indiatimes.com/india/youth-congress-to-retain-internal-polls/articleshow/36734347.cms</t>
        </is>
      </c>
      <c r="F257" s="6" t="inlineStr">
        <is>
          <t>Internal reform and Rajiv Satav response; lines 119–133</t>
        </is>
      </c>
      <c r="G257" s="6" t="inlineStr">
        <is>
          <t>Supports</t>
        </is>
      </c>
      <c r="H257" s="6" t="inlineStr">
        <is>
          <t>R022</t>
        </is>
      </c>
      <c r="I257" s="6" t="inlineStr">
        <is>
          <t>Codex: passage-to-statement review</t>
        </is>
      </c>
      <c r="J257" s="6" t="inlineStr">
        <is>
          <t>2026-09-24</t>
        </is>
      </c>
      <c r="K257" s="6" t="inlineStr">
        <is>
          <t>Read as combined support where a field has several sources. Attributed statements establish what was said, not the underlying allegation.</t>
        </is>
      </c>
    </row>
    <row r="258" ht="80" customHeight="1">
      <c r="A258" s="4" t="inlineStr">
        <is>
          <t>EV-0253</t>
        </is>
      </c>
      <c r="B258" s="5" t="inlineStr">
        <is>
          <t>C-CO05-03</t>
        </is>
      </c>
      <c r="C258" s="5" t="inlineStr">
        <is>
          <t>S023</t>
        </is>
      </c>
      <c r="D258" s="4" t="inlineStr">
        <is>
          <t>Reuters depicts a recovery in Gandhi’s image after two marches. Analyst Rahul Verma credits mobilisation and clearer ideological opposition. Kharge was party president while Gandhi remained its prominent campaign face.</t>
        </is>
      </c>
      <c r="E258" s="5" t="inlineStr">
        <is>
          <t>https://www.marketscreener.com/news/latest/Ridiculed-for-a-decade-India-s-Rahul-Gandhi-slows-Modi-juggernaut-46900641/</t>
        </is>
      </c>
      <c r="F258" s="4" t="inlineStr">
        <is>
          <t>Opening and analyst Rahul Verma; lines 932–946</t>
        </is>
      </c>
      <c r="G258" s="4" t="inlineStr">
        <is>
          <t>Supports</t>
        </is>
      </c>
      <c r="H258" s="4" t="inlineStr">
        <is>
          <t>R023</t>
        </is>
      </c>
      <c r="I258" s="4" t="inlineStr">
        <is>
          <t>Codex: passage-to-statement review</t>
        </is>
      </c>
      <c r="J258" s="4" t="inlineStr">
        <is>
          <t>2026-09-24</t>
        </is>
      </c>
      <c r="K258" s="4" t="inlineStr">
        <is>
          <t>Read as combined support where a field has several sources. Attributed statements establish what was said, not the underlying allegation.</t>
        </is>
      </c>
    </row>
    <row r="259" ht="80" customHeight="1">
      <c r="A259" s="6" t="inlineStr">
        <is>
          <t>EV-0254</t>
        </is>
      </c>
      <c r="B259" s="7" t="inlineStr">
        <is>
          <t>C-CO06-01</t>
        </is>
      </c>
      <c r="C259" s="7" t="inlineStr">
        <is>
          <t>S031</t>
        </is>
      </c>
      <c r="D259" s="6" t="inlineStr">
        <is>
          <t>Gandhi alleged attempted deletions in Aland and additions in Rajura. EC rejected his charges, citing a 2023 FIR and data sharing; Congress said requested technical information remained missing.</t>
        </is>
      </c>
      <c r="E259" s="7" t="inlineStr">
        <is>
          <t>https://indianexpress.com/article/india/rahul-gandhi-vote-chori-cec-gyanesh-kumar-protecting-killing-democracy-10257103/</t>
        </is>
      </c>
      <c r="F259" s="6" t="inlineStr">
        <is>
          <t>Allegations and EC response; lines 20–54</t>
        </is>
      </c>
      <c r="G259" s="6" t="inlineStr">
        <is>
          <t>Supports</t>
        </is>
      </c>
      <c r="H259" s="6" t="inlineStr">
        <is>
          <t>R031</t>
        </is>
      </c>
      <c r="I259" s="6" t="inlineStr">
        <is>
          <t>Codex: passage-to-statement review</t>
        </is>
      </c>
      <c r="J259" s="6" t="inlineStr">
        <is>
          <t>2026-09-24</t>
        </is>
      </c>
      <c r="K259" s="6" t="inlineStr">
        <is>
          <t>Read as combined support where a field has several sources. Attributed statements establish what was said, not the underlying allegation.</t>
        </is>
      </c>
    </row>
    <row r="260" ht="94" customHeight="1">
      <c r="A260" s="4" t="inlineStr">
        <is>
          <t>EV-0255</t>
        </is>
      </c>
      <c r="B260" s="5" t="inlineStr">
        <is>
          <t>C-CO06-01</t>
        </is>
      </c>
      <c r="C260" s="5" t="inlineStr">
        <is>
          <t>S030</t>
        </is>
      </c>
      <c r="D260" s="4" t="inlineStr">
        <is>
          <t>Gandhi alleged widespread election rigging and demanded accountability. ECI said internal notes were routine scrutiny and final decisions were unanimous and legally grounded.</t>
        </is>
      </c>
      <c r="E260" s="5" t="inlineStr">
        <is>
          <t>https://timesofindia.indiatimes.com/india/rahul-gandhi-press-conference-on-ec-gyanesh-kumar-resignation-sir-congress-vote-chori-election-bjp/articleshow/134457370.cms</t>
        </is>
      </c>
      <c r="F260" s="4" t="inlineStr">
        <is>
          <t>Press conference and ECI response; lines 150–156,183</t>
        </is>
      </c>
      <c r="G260" s="4" t="inlineStr">
        <is>
          <t>Supports</t>
        </is>
      </c>
      <c r="H260" s="4" t="inlineStr">
        <is>
          <t>R030</t>
        </is>
      </c>
      <c r="I260" s="4" t="inlineStr">
        <is>
          <t>Codex: passage-to-statement review</t>
        </is>
      </c>
      <c r="J260" s="4" t="inlineStr">
        <is>
          <t>2026-09-24</t>
        </is>
      </c>
      <c r="K260" s="4" t="inlineStr">
        <is>
          <t>Read as combined support where a field has several sources. Attributed statements establish what was said, not the underlying allegation.</t>
        </is>
      </c>
    </row>
    <row r="261" ht="80" customHeight="1">
      <c r="A261" s="6" t="inlineStr">
        <is>
          <t>EV-0256</t>
        </is>
      </c>
      <c r="B261" s="7" t="inlineStr">
        <is>
          <t>C-CO06-02</t>
        </is>
      </c>
      <c r="C261" s="7" t="inlineStr">
        <is>
          <t>S031</t>
        </is>
      </c>
      <c r="D261" s="6" t="inlineStr">
        <is>
          <t>Gandhi alleged attempted deletions in Aland and additions in Rajura. EC rejected his charges, citing a 2023 FIR and data sharing; Congress said requested technical information remained missing.</t>
        </is>
      </c>
      <c r="E261" s="7" t="inlineStr">
        <is>
          <t>https://indianexpress.com/article/india/rahul-gandhi-vote-chori-cec-gyanesh-kumar-protecting-killing-democracy-10257103/</t>
        </is>
      </c>
      <c r="F261" s="6" t="inlineStr">
        <is>
          <t>Allegations and EC response; lines 20–54</t>
        </is>
      </c>
      <c r="G261" s="6" t="inlineStr">
        <is>
          <t>Supports</t>
        </is>
      </c>
      <c r="H261" s="6" t="inlineStr">
        <is>
          <t>R031</t>
        </is>
      </c>
      <c r="I261" s="6" t="inlineStr">
        <is>
          <t>Codex: passage-to-statement review</t>
        </is>
      </c>
      <c r="J261" s="6" t="inlineStr">
        <is>
          <t>2026-09-24</t>
        </is>
      </c>
      <c r="K261" s="6" t="inlineStr">
        <is>
          <t>Read as combined support where a field has several sources. Attributed statements establish what was said, not the underlying allegation.</t>
        </is>
      </c>
    </row>
    <row r="262" ht="94" customHeight="1">
      <c r="A262" s="4" t="inlineStr">
        <is>
          <t>EV-0257</t>
        </is>
      </c>
      <c r="B262" s="5" t="inlineStr">
        <is>
          <t>C-CO06-02</t>
        </is>
      </c>
      <c r="C262" s="5" t="inlineStr">
        <is>
          <t>S030</t>
        </is>
      </c>
      <c r="D262" s="4" t="inlineStr">
        <is>
          <t>Gandhi alleged widespread election rigging and demanded accountability. ECI said internal notes were routine scrutiny and final decisions were unanimous and legally grounded.</t>
        </is>
      </c>
      <c r="E262" s="5" t="inlineStr">
        <is>
          <t>https://timesofindia.indiatimes.com/india/rahul-gandhi-press-conference-on-ec-gyanesh-kumar-resignation-sir-congress-vote-chori-election-bjp/articleshow/134457370.cms</t>
        </is>
      </c>
      <c r="F262" s="4" t="inlineStr">
        <is>
          <t>Press conference and ECI response; lines 150–156,183</t>
        </is>
      </c>
      <c r="G262" s="4" t="inlineStr">
        <is>
          <t>Supports</t>
        </is>
      </c>
      <c r="H262" s="4" t="inlineStr">
        <is>
          <t>R030</t>
        </is>
      </c>
      <c r="I262" s="4" t="inlineStr">
        <is>
          <t>Codex: passage-to-statement review</t>
        </is>
      </c>
      <c r="J262" s="4" t="inlineStr">
        <is>
          <t>2026-09-24</t>
        </is>
      </c>
      <c r="K262" s="4" t="inlineStr">
        <is>
          <t>Read as combined support where a field has several sources. Attributed statements establish what was said, not the underlying allegation.</t>
        </is>
      </c>
    </row>
    <row r="263" ht="80" customHeight="1">
      <c r="A263" s="6" t="inlineStr">
        <is>
          <t>EV-0258</t>
        </is>
      </c>
      <c r="B263" s="7" t="inlineStr">
        <is>
          <t>C-CO06-03</t>
        </is>
      </c>
      <c r="C263" s="7" t="inlineStr">
        <is>
          <t>S031</t>
        </is>
      </c>
      <c r="D263" s="6" t="inlineStr">
        <is>
          <t>Gandhi alleged attempted deletions in Aland and additions in Rajura. EC rejected his charges, citing a 2023 FIR and data sharing; Congress said requested technical information remained missing.</t>
        </is>
      </c>
      <c r="E263" s="7" t="inlineStr">
        <is>
          <t>https://indianexpress.com/article/india/rahul-gandhi-vote-chori-cec-gyanesh-kumar-protecting-killing-democracy-10257103/</t>
        </is>
      </c>
      <c r="F263" s="6" t="inlineStr">
        <is>
          <t>Allegations and EC response; lines 20–54</t>
        </is>
      </c>
      <c r="G263" s="6" t="inlineStr">
        <is>
          <t>Supports</t>
        </is>
      </c>
      <c r="H263" s="6" t="inlineStr">
        <is>
          <t>R031</t>
        </is>
      </c>
      <c r="I263" s="6" t="inlineStr">
        <is>
          <t>Codex: passage-to-statement review</t>
        </is>
      </c>
      <c r="J263" s="6" t="inlineStr">
        <is>
          <t>2026-09-24</t>
        </is>
      </c>
      <c r="K263" s="6" t="inlineStr">
        <is>
          <t>Read as combined support where a field has several sources. Attributed statements establish what was said, not the underlying allegation.</t>
        </is>
      </c>
    </row>
    <row r="264" ht="94" customHeight="1">
      <c r="A264" s="4" t="inlineStr">
        <is>
          <t>EV-0259</t>
        </is>
      </c>
      <c r="B264" s="5" t="inlineStr">
        <is>
          <t>C-CO06-03</t>
        </is>
      </c>
      <c r="C264" s="5" t="inlineStr">
        <is>
          <t>S030</t>
        </is>
      </c>
      <c r="D264" s="4" t="inlineStr">
        <is>
          <t>Gandhi alleged widespread election rigging and demanded accountability. ECI said internal notes were routine scrutiny and final decisions were unanimous and legally grounded.</t>
        </is>
      </c>
      <c r="E264" s="5" t="inlineStr">
        <is>
          <t>https://timesofindia.indiatimes.com/india/rahul-gandhi-press-conference-on-ec-gyanesh-kumar-resignation-sir-congress-vote-chori-election-bjp/articleshow/134457370.cms</t>
        </is>
      </c>
      <c r="F264" s="4" t="inlineStr">
        <is>
          <t>Press conference and ECI response; lines 150–156,183</t>
        </is>
      </c>
      <c r="G264" s="4" t="inlineStr">
        <is>
          <t>Supports</t>
        </is>
      </c>
      <c r="H264" s="4" t="inlineStr">
        <is>
          <t>R030</t>
        </is>
      </c>
      <c r="I264" s="4" t="inlineStr">
        <is>
          <t>Codex: passage-to-statement review</t>
        </is>
      </c>
      <c r="J264" s="4" t="inlineStr">
        <is>
          <t>2026-09-24</t>
        </is>
      </c>
      <c r="K264" s="4" t="inlineStr">
        <is>
          <t>Read as combined support where a field has several sources. Attributed statements establish what was said, not the underlying allegation.</t>
        </is>
      </c>
    </row>
    <row r="265" ht="66" customHeight="1">
      <c r="A265" s="6" t="inlineStr">
        <is>
          <t>EV-0260</t>
        </is>
      </c>
      <c r="B265" s="7" t="inlineStr">
        <is>
          <t>C-CO07-01</t>
        </is>
      </c>
      <c r="C265" s="7" t="inlineStr">
        <is>
          <t>S034</t>
        </is>
      </c>
      <c r="D265" s="6" t="inlineStr">
        <is>
          <t>Congress won 28 of 403 UP seats in 2012. Gandhi accepted campaign responsibility and said organisation was weak; contemporary coverage compared him with Akhilesh Yadav.</t>
        </is>
      </c>
      <c r="E265" s="7" t="inlineStr">
        <is>
          <t>https://www.ndtv.com/assembly/i-take-responsibility-says-rahul-gandhi-about-up-results-470319</t>
        </is>
      </c>
      <c r="F265" s="6" t="inlineStr">
        <is>
          <t>Result and campaign; lines 284–294</t>
        </is>
      </c>
      <c r="G265" s="6" t="inlineStr">
        <is>
          <t>Supports</t>
        </is>
      </c>
      <c r="H265" s="6" t="inlineStr">
        <is>
          <t>R034</t>
        </is>
      </c>
      <c r="I265" s="6" t="inlineStr">
        <is>
          <t>Codex: passage-to-statement review</t>
        </is>
      </c>
      <c r="J265" s="6" t="inlineStr">
        <is>
          <t>2026-09-24</t>
        </is>
      </c>
      <c r="K265" s="6" t="inlineStr">
        <is>
          <t>Read as combined support where a field has several sources. Attributed statements establish what was said, not the underlying allegation.</t>
        </is>
      </c>
    </row>
    <row r="266" ht="80" customHeight="1">
      <c r="A266" s="4" t="inlineStr">
        <is>
          <t>EV-0261</t>
        </is>
      </c>
      <c r="B266" s="5" t="inlineStr">
        <is>
          <t>C-CO07-01</t>
        </is>
      </c>
      <c r="C266" s="5" t="inlineStr">
        <is>
          <t>S014</t>
        </is>
      </c>
      <c r="D266" s="4" t="inlineStr">
        <is>
          <t>Letter public on 3 July; resignation offered 25 May. Gandhi accepted responsibility for the 2019 defeat. Congress won 52 seats. He called for accountability and said institutional neutrality had been weakened.</t>
        </is>
      </c>
      <c r="E266" s="5" t="inlineStr">
        <is>
          <t>https://www.ndtv.com/india-news/rahul-gandhis-open-letter-full-text-at-times-i-stood-completely-alone-2063455</t>
        </is>
      </c>
      <c r="F266" s="4" t="inlineStr">
        <is>
          <t>Resignation discussion; lines 225–248</t>
        </is>
      </c>
      <c r="G266" s="4" t="inlineStr">
        <is>
          <t>Supports</t>
        </is>
      </c>
      <c r="H266" s="4" t="inlineStr">
        <is>
          <t>R014</t>
        </is>
      </c>
      <c r="I266" s="4" t="inlineStr">
        <is>
          <t>Codex: passage-to-statement review</t>
        </is>
      </c>
      <c r="J266" s="4" t="inlineStr">
        <is>
          <t>2026-09-24</t>
        </is>
      </c>
      <c r="K266" s="4" t="inlineStr">
        <is>
          <t>Read as combined support where a field has several sources. Attributed statements establish what was said, not the underlying allegation.</t>
        </is>
      </c>
    </row>
    <row r="267" ht="80" customHeight="1">
      <c r="A267" s="6" t="inlineStr">
        <is>
          <t>EV-0262</t>
        </is>
      </c>
      <c r="B267" s="7" t="inlineStr">
        <is>
          <t>C-CO07-01</t>
        </is>
      </c>
      <c r="C267" s="7" t="inlineStr">
        <is>
          <t>S026</t>
        </is>
      </c>
      <c r="D267" s="6" t="inlineStr">
        <is>
          <t>Congress won 6 of 61 seats contested in Bihar in 2025. Interviewed losing candidates criticised organisation, nominations, war rooms, alliance coordination and the voter-rights campaign.</t>
        </is>
      </c>
      <c r="E267" s="7" t="inlineStr">
        <is>
          <t>https://indianexpress.com/article/political-pulse/congress-camps-bihar-post-mortem-rahul-yatra-fiasco-allavaru-problem-weak-structure-10375553/</t>
        </is>
      </c>
      <c r="F267" s="6" t="inlineStr">
        <is>
          <t>Opening; interviews with ten losing candidates; lines 17–52</t>
        </is>
      </c>
      <c r="G267" s="6" t="inlineStr">
        <is>
          <t>Supports</t>
        </is>
      </c>
      <c r="H267" s="6" t="inlineStr">
        <is>
          <t>R026</t>
        </is>
      </c>
      <c r="I267" s="6" t="inlineStr">
        <is>
          <t>Codex: passage-to-statement review</t>
        </is>
      </c>
      <c r="J267" s="6" t="inlineStr">
        <is>
          <t>2026-09-24</t>
        </is>
      </c>
      <c r="K267" s="6" t="inlineStr">
        <is>
          <t>Read as combined support where a field has several sources. Attributed statements establish what was said, not the underlying allegation.</t>
        </is>
      </c>
    </row>
    <row r="268" ht="80" customHeight="1">
      <c r="A268" s="4" t="inlineStr">
        <is>
          <t>EV-0263</t>
        </is>
      </c>
      <c r="B268" s="5" t="inlineStr">
        <is>
          <t>C-CO07-01</t>
        </is>
      </c>
      <c r="C268" s="5" t="inlineStr">
        <is>
          <t>S027</t>
        </is>
      </c>
      <c r="D268" s="4" t="inlineStr">
        <is>
          <t>Unnamed meeting participants said Gandhi accepted shared responsibility while questioning whether organisation alone explained allied parties’ losses. Congress publicly alleged roll-revision malpractice.</t>
        </is>
      </c>
      <c r="E268" s="5" t="inlineStr">
        <is>
          <t>https://indianexpress.com/article/political-pulse/rahul-equallyresponsible-bihar-loss-poll-review-10390484/</t>
        </is>
      </c>
      <c r="F268" s="4" t="inlineStr">
        <is>
          <t>Review meeting; lines 18–27</t>
        </is>
      </c>
      <c r="G268" s="4" t="inlineStr">
        <is>
          <t>Supports</t>
        </is>
      </c>
      <c r="H268" s="4" t="inlineStr">
        <is>
          <t>R027</t>
        </is>
      </c>
      <c r="I268" s="4" t="inlineStr">
        <is>
          <t>Codex: passage-to-statement review</t>
        </is>
      </c>
      <c r="J268" s="4" t="inlineStr">
        <is>
          <t>2026-09-24</t>
        </is>
      </c>
      <c r="K268" s="4" t="inlineStr">
        <is>
          <t>Read as combined support where a field has several sources. Attributed statements establish what was said, not the underlying allegation.</t>
        </is>
      </c>
    </row>
    <row r="269" ht="66" customHeight="1">
      <c r="A269" s="6" t="inlineStr">
        <is>
          <t>EV-0264</t>
        </is>
      </c>
      <c r="B269" s="7" t="inlineStr">
        <is>
          <t>C-CO07-02</t>
        </is>
      </c>
      <c r="C269" s="7" t="inlineStr">
        <is>
          <t>S034</t>
        </is>
      </c>
      <c r="D269" s="6" t="inlineStr">
        <is>
          <t>Congress won 28 of 403 UP seats in 2012. Gandhi accepted campaign responsibility and said organisation was weak; contemporary coverage compared him with Akhilesh Yadav.</t>
        </is>
      </c>
      <c r="E269" s="7" t="inlineStr">
        <is>
          <t>https://www.ndtv.com/assembly/i-take-responsibility-says-rahul-gandhi-about-up-results-470319</t>
        </is>
      </c>
      <c r="F269" s="6" t="inlineStr">
        <is>
          <t>Result and campaign; lines 284–294</t>
        </is>
      </c>
      <c r="G269" s="6" t="inlineStr">
        <is>
          <t>Supports</t>
        </is>
      </c>
      <c r="H269" s="6" t="inlineStr">
        <is>
          <t>R034</t>
        </is>
      </c>
      <c r="I269" s="6" t="inlineStr">
        <is>
          <t>Codex: passage-to-statement review</t>
        </is>
      </c>
      <c r="J269" s="6" t="inlineStr">
        <is>
          <t>2026-09-24</t>
        </is>
      </c>
      <c r="K269" s="6" t="inlineStr">
        <is>
          <t>Read as combined support where a field has several sources. Attributed statements establish what was said, not the underlying allegation.</t>
        </is>
      </c>
    </row>
    <row r="270" ht="80" customHeight="1">
      <c r="A270" s="4" t="inlineStr">
        <is>
          <t>EV-0265</t>
        </is>
      </c>
      <c r="B270" s="5" t="inlineStr">
        <is>
          <t>C-CO07-02</t>
        </is>
      </c>
      <c r="C270" s="5" t="inlineStr">
        <is>
          <t>S014</t>
        </is>
      </c>
      <c r="D270" s="4" t="inlineStr">
        <is>
          <t>Letter public on 3 July; resignation offered 25 May. Gandhi accepted responsibility for the 2019 defeat. Congress won 52 seats. He called for accountability and said institutional neutrality had been weakened.</t>
        </is>
      </c>
      <c r="E270" s="5" t="inlineStr">
        <is>
          <t>https://www.ndtv.com/india-news/rahul-gandhis-open-letter-full-text-at-times-i-stood-completely-alone-2063455</t>
        </is>
      </c>
      <c r="F270" s="4" t="inlineStr">
        <is>
          <t>Resignation discussion; lines 225–248</t>
        </is>
      </c>
      <c r="G270" s="4" t="inlineStr">
        <is>
          <t>Supports</t>
        </is>
      </c>
      <c r="H270" s="4" t="inlineStr">
        <is>
          <t>R014</t>
        </is>
      </c>
      <c r="I270" s="4" t="inlineStr">
        <is>
          <t>Codex: passage-to-statement review</t>
        </is>
      </c>
      <c r="J270" s="4" t="inlineStr">
        <is>
          <t>2026-09-24</t>
        </is>
      </c>
      <c r="K270" s="4" t="inlineStr">
        <is>
          <t>Read as combined support where a field has several sources. Attributed statements establish what was said, not the underlying allegation.</t>
        </is>
      </c>
    </row>
    <row r="271" ht="80" customHeight="1">
      <c r="A271" s="6" t="inlineStr">
        <is>
          <t>EV-0266</t>
        </is>
      </c>
      <c r="B271" s="7" t="inlineStr">
        <is>
          <t>C-CO07-02</t>
        </is>
      </c>
      <c r="C271" s="7" t="inlineStr">
        <is>
          <t>S026</t>
        </is>
      </c>
      <c r="D271" s="6" t="inlineStr">
        <is>
          <t>Congress won 6 of 61 seats contested in Bihar in 2025. Interviewed losing candidates criticised organisation, nominations, war rooms, alliance coordination and the voter-rights campaign.</t>
        </is>
      </c>
      <c r="E271" s="7" t="inlineStr">
        <is>
          <t>https://indianexpress.com/article/political-pulse/congress-camps-bihar-post-mortem-rahul-yatra-fiasco-allavaru-problem-weak-structure-10375553/</t>
        </is>
      </c>
      <c r="F271" s="6" t="inlineStr">
        <is>
          <t>Opening; interviews with ten losing candidates; lines 17–52</t>
        </is>
      </c>
      <c r="G271" s="6" t="inlineStr">
        <is>
          <t>Supports</t>
        </is>
      </c>
      <c r="H271" s="6" t="inlineStr">
        <is>
          <t>R026</t>
        </is>
      </c>
      <c r="I271" s="6" t="inlineStr">
        <is>
          <t>Codex: passage-to-statement review</t>
        </is>
      </c>
      <c r="J271" s="6" t="inlineStr">
        <is>
          <t>2026-09-24</t>
        </is>
      </c>
      <c r="K271" s="6" t="inlineStr">
        <is>
          <t>Read as combined support where a field has several sources. Attributed statements establish what was said, not the underlying allegation.</t>
        </is>
      </c>
    </row>
    <row r="272" ht="80" customHeight="1">
      <c r="A272" s="4" t="inlineStr">
        <is>
          <t>EV-0267</t>
        </is>
      </c>
      <c r="B272" s="5" t="inlineStr">
        <is>
          <t>C-CO07-02</t>
        </is>
      </c>
      <c r="C272" s="5" t="inlineStr">
        <is>
          <t>S027</t>
        </is>
      </c>
      <c r="D272" s="4" t="inlineStr">
        <is>
          <t>Unnamed meeting participants said Gandhi accepted shared responsibility while questioning whether organisation alone explained allied parties’ losses. Congress publicly alleged roll-revision malpractice.</t>
        </is>
      </c>
      <c r="E272" s="5" t="inlineStr">
        <is>
          <t>https://indianexpress.com/article/political-pulse/rahul-equallyresponsible-bihar-loss-poll-review-10390484/</t>
        </is>
      </c>
      <c r="F272" s="4" t="inlineStr">
        <is>
          <t>Review meeting; lines 18–27</t>
        </is>
      </c>
      <c r="G272" s="4" t="inlineStr">
        <is>
          <t>Supports</t>
        </is>
      </c>
      <c r="H272" s="4" t="inlineStr">
        <is>
          <t>R027</t>
        </is>
      </c>
      <c r="I272" s="4" t="inlineStr">
        <is>
          <t>Codex: passage-to-statement review</t>
        </is>
      </c>
      <c r="J272" s="4" t="inlineStr">
        <is>
          <t>2026-09-24</t>
        </is>
      </c>
      <c r="K272" s="4" t="inlineStr">
        <is>
          <t>Read as combined support where a field has several sources. Attributed statements establish what was said, not the underlying allegation.</t>
        </is>
      </c>
    </row>
    <row r="273" ht="66" customHeight="1">
      <c r="A273" s="6" t="inlineStr">
        <is>
          <t>EV-0268</t>
        </is>
      </c>
      <c r="B273" s="7" t="inlineStr">
        <is>
          <t>C-CO07-03</t>
        </is>
      </c>
      <c r="C273" s="7" t="inlineStr">
        <is>
          <t>S034</t>
        </is>
      </c>
      <c r="D273" s="6" t="inlineStr">
        <is>
          <t>Congress won 28 of 403 UP seats in 2012. Gandhi accepted campaign responsibility and said organisation was weak; contemporary coverage compared him with Akhilesh Yadav.</t>
        </is>
      </c>
      <c r="E273" s="7" t="inlineStr">
        <is>
          <t>https://www.ndtv.com/assembly/i-take-responsibility-says-rahul-gandhi-about-up-results-470319</t>
        </is>
      </c>
      <c r="F273" s="6" t="inlineStr">
        <is>
          <t>Result and campaign; lines 284–294</t>
        </is>
      </c>
      <c r="G273" s="6" t="inlineStr">
        <is>
          <t>Supports</t>
        </is>
      </c>
      <c r="H273" s="6" t="inlineStr">
        <is>
          <t>R034</t>
        </is>
      </c>
      <c r="I273" s="6" t="inlineStr">
        <is>
          <t>Codex: passage-to-statement review</t>
        </is>
      </c>
      <c r="J273" s="6" t="inlineStr">
        <is>
          <t>2026-09-24</t>
        </is>
      </c>
      <c r="K273" s="6" t="inlineStr">
        <is>
          <t>Read as combined support where a field has several sources. Attributed statements establish what was said, not the underlying allegation.</t>
        </is>
      </c>
    </row>
    <row r="274" ht="80" customHeight="1">
      <c r="A274" s="4" t="inlineStr">
        <is>
          <t>EV-0269</t>
        </is>
      </c>
      <c r="B274" s="5" t="inlineStr">
        <is>
          <t>C-CO07-03</t>
        </is>
      </c>
      <c r="C274" s="5" t="inlineStr">
        <is>
          <t>S014</t>
        </is>
      </c>
      <c r="D274" s="4" t="inlineStr">
        <is>
          <t>Letter public on 3 July; resignation offered 25 May. Gandhi accepted responsibility for the 2019 defeat. Congress won 52 seats. He called for accountability and said institutional neutrality had been weakened.</t>
        </is>
      </c>
      <c r="E274" s="5" t="inlineStr">
        <is>
          <t>https://www.ndtv.com/india-news/rahul-gandhis-open-letter-full-text-at-times-i-stood-completely-alone-2063455</t>
        </is>
      </c>
      <c r="F274" s="4" t="inlineStr">
        <is>
          <t>Resignation discussion; lines 225–248</t>
        </is>
      </c>
      <c r="G274" s="4" t="inlineStr">
        <is>
          <t>Supports</t>
        </is>
      </c>
      <c r="H274" s="4" t="inlineStr">
        <is>
          <t>R014</t>
        </is>
      </c>
      <c r="I274" s="4" t="inlineStr">
        <is>
          <t>Codex: passage-to-statement review</t>
        </is>
      </c>
      <c r="J274" s="4" t="inlineStr">
        <is>
          <t>2026-09-24</t>
        </is>
      </c>
      <c r="K274" s="4" t="inlineStr">
        <is>
          <t>Read as combined support where a field has several sources. Attributed statements establish what was said, not the underlying allegation.</t>
        </is>
      </c>
    </row>
    <row r="275" ht="80" customHeight="1">
      <c r="A275" s="6" t="inlineStr">
        <is>
          <t>EV-0270</t>
        </is>
      </c>
      <c r="B275" s="7" t="inlineStr">
        <is>
          <t>C-CO07-03</t>
        </is>
      </c>
      <c r="C275" s="7" t="inlineStr">
        <is>
          <t>S026</t>
        </is>
      </c>
      <c r="D275" s="6" t="inlineStr">
        <is>
          <t>Congress won 6 of 61 seats contested in Bihar in 2025. Interviewed losing candidates criticised organisation, nominations, war rooms, alliance coordination and the voter-rights campaign.</t>
        </is>
      </c>
      <c r="E275" s="7" t="inlineStr">
        <is>
          <t>https://indianexpress.com/article/political-pulse/congress-camps-bihar-post-mortem-rahul-yatra-fiasco-allavaru-problem-weak-structure-10375553/</t>
        </is>
      </c>
      <c r="F275" s="6" t="inlineStr">
        <is>
          <t>Opening; interviews with ten losing candidates; lines 17–52</t>
        </is>
      </c>
      <c r="G275" s="6" t="inlineStr">
        <is>
          <t>Supports</t>
        </is>
      </c>
      <c r="H275" s="6" t="inlineStr">
        <is>
          <t>R026</t>
        </is>
      </c>
      <c r="I275" s="6" t="inlineStr">
        <is>
          <t>Codex: passage-to-statement review</t>
        </is>
      </c>
      <c r="J275" s="6" t="inlineStr">
        <is>
          <t>2026-09-24</t>
        </is>
      </c>
      <c r="K275" s="6" t="inlineStr">
        <is>
          <t>Read as combined support where a field has several sources. Attributed statements establish what was said, not the underlying allegation.</t>
        </is>
      </c>
    </row>
    <row r="276" ht="80" customHeight="1">
      <c r="A276" s="4" t="inlineStr">
        <is>
          <t>EV-0271</t>
        </is>
      </c>
      <c r="B276" s="5" t="inlineStr">
        <is>
          <t>C-CO07-03</t>
        </is>
      </c>
      <c r="C276" s="5" t="inlineStr">
        <is>
          <t>S027</t>
        </is>
      </c>
      <c r="D276" s="4" t="inlineStr">
        <is>
          <t>Unnamed meeting participants said Gandhi accepted shared responsibility while questioning whether organisation alone explained allied parties’ losses. Congress publicly alleged roll-revision malpractice.</t>
        </is>
      </c>
      <c r="E276" s="5" t="inlineStr">
        <is>
          <t>https://indianexpress.com/article/political-pulse/rahul-equallyresponsible-bihar-loss-poll-review-10390484/</t>
        </is>
      </c>
      <c r="F276" s="4" t="inlineStr">
        <is>
          <t>Review meeting; lines 18–27</t>
        </is>
      </c>
      <c r="G276" s="4" t="inlineStr">
        <is>
          <t>Supports</t>
        </is>
      </c>
      <c r="H276" s="4" t="inlineStr">
        <is>
          <t>R027</t>
        </is>
      </c>
      <c r="I276" s="4" t="inlineStr">
        <is>
          <t>Codex: passage-to-statement review</t>
        </is>
      </c>
      <c r="J276" s="4" t="inlineStr">
        <is>
          <t>2026-09-24</t>
        </is>
      </c>
      <c r="K276" s="4" t="inlineStr">
        <is>
          <t>Read as combined support where a field has several sources. Attributed statements establish what was said, not the underlying allegation.</t>
        </is>
      </c>
    </row>
    <row r="277" ht="80" customHeight="1">
      <c r="A277" s="6" t="inlineStr">
        <is>
          <t>EV-0272</t>
        </is>
      </c>
      <c r="B277" s="7" t="inlineStr">
        <is>
          <t>C-LA01-01</t>
        </is>
      </c>
      <c r="C277" s="7" t="inlineStr">
        <is>
          <t>S023</t>
        </is>
      </c>
      <c r="D277" s="6" t="inlineStr">
        <is>
          <t>Reuters depicts a recovery in Gandhi’s image after two marches. Analyst Rahul Verma credits mobilisation and clearer ideological opposition. Kharge was party president while Gandhi remained its prominent campaign face.</t>
        </is>
      </c>
      <c r="E277" s="7" t="inlineStr">
        <is>
          <t>https://www.marketscreener.com/news/latest/Ridiculed-for-a-decade-India-s-Rahul-Gandhi-slows-Modi-juggernaut-46900641/</t>
        </is>
      </c>
      <c r="F277" s="6" t="inlineStr">
        <is>
          <t>Opening and analyst Rahul Verma; lines 932–946</t>
        </is>
      </c>
      <c r="G277" s="6" t="inlineStr">
        <is>
          <t>Supports</t>
        </is>
      </c>
      <c r="H277" s="6" t="inlineStr">
        <is>
          <t>R023</t>
        </is>
      </c>
      <c r="I277" s="6" t="inlineStr">
        <is>
          <t>Codex: passage-to-statement review</t>
        </is>
      </c>
      <c r="J277" s="6" t="inlineStr">
        <is>
          <t>2026-09-24</t>
        </is>
      </c>
      <c r="K277" s="6" t="inlineStr">
        <is>
          <t>Read as combined support where a field has several sources. Attributed statements establish what was said, not the underlying allegation.</t>
        </is>
      </c>
    </row>
    <row r="278" ht="80" customHeight="1">
      <c r="A278" s="4" t="inlineStr">
        <is>
          <t>EV-0273</t>
        </is>
      </c>
      <c r="B278" s="5" t="inlineStr">
        <is>
          <t>C-LA02-01</t>
        </is>
      </c>
      <c r="C278" s="5" t="inlineStr">
        <is>
          <t>S024</t>
        </is>
      </c>
      <c r="D278" s="4" t="inlineStr">
        <is>
          <t>Authors distinguish the coalition era through 2014 from BJP dominance thereafter. The 2024 result weakened rather than ended BJP centrality; INDIA still lacked unified leadership, programme and organisation.</t>
        </is>
      </c>
      <c r="E278" s="5" t="inlineStr">
        <is>
          <t>https://carnegieendowment.org/research/2024/09/india-election-bjp-party-politics</t>
        </is>
      </c>
      <c r="F278" s="4" t="inlineStr">
        <is>
          <t>Evolution of party systems; 2024 interpretation; lines 61–104</t>
        </is>
      </c>
      <c r="G278" s="4" t="inlineStr">
        <is>
          <t>Supports</t>
        </is>
      </c>
      <c r="H278" s="4" t="inlineStr">
        <is>
          <t>R024</t>
        </is>
      </c>
      <c r="I278" s="4" t="inlineStr">
        <is>
          <t>Codex: passage-to-statement review</t>
        </is>
      </c>
      <c r="J278" s="4" t="inlineStr">
        <is>
          <t>2026-09-24</t>
        </is>
      </c>
      <c r="K278" s="4" t="inlineStr">
        <is>
          <t>Read as combined support where a field has several sources. Attributed statements establish what was said, not the underlying allegation.</t>
        </is>
      </c>
    </row>
    <row r="279" ht="80" customHeight="1">
      <c r="A279" s="6" t="inlineStr">
        <is>
          <t>EV-0274</t>
        </is>
      </c>
      <c r="B279" s="7" t="inlineStr">
        <is>
          <t>C-LA03-01</t>
        </is>
      </c>
      <c r="C279" s="7" t="inlineStr">
        <is>
          <t>S021</t>
        </is>
      </c>
      <c r="D279" s="6" t="inlineStr">
        <is>
          <t>Kerala Youth Congress figures criticised internal elections for factional conflict and diversion of resources; some favoured returning to nominations.</t>
        </is>
      </c>
      <c r="E279" s="7" t="inlineStr">
        <is>
          <t>https://indianexpress.com/article/political-pulse/in-kerala-youth-cong-dissent-over-rahuls-internal-election-system/</t>
        </is>
      </c>
      <c r="F279" s="6" t="inlineStr">
        <is>
          <t>Kerala Youth Congress camp; lines 101–110</t>
        </is>
      </c>
      <c r="G279" s="6" t="inlineStr">
        <is>
          <t>Supports</t>
        </is>
      </c>
      <c r="H279" s="6" t="inlineStr">
        <is>
          <t>R021</t>
        </is>
      </c>
      <c r="I279" s="6" t="inlineStr">
        <is>
          <t>Codex: passage-to-statement review</t>
        </is>
      </c>
      <c r="J279" s="6" t="inlineStr">
        <is>
          <t>2026-09-24</t>
        </is>
      </c>
      <c r="K279" s="6" t="inlineStr">
        <is>
          <t>Read as combined support where a field has several sources. Attributed statements establish what was said, not the underlying allegation.</t>
        </is>
      </c>
    </row>
    <row r="280" ht="66" customHeight="1">
      <c r="A280" s="4" t="inlineStr">
        <is>
          <t>EV-0275</t>
        </is>
      </c>
      <c r="B280" s="5" t="inlineStr">
        <is>
          <t>C-LA03-01</t>
        </is>
      </c>
      <c r="C280" s="5" t="inlineStr">
        <is>
          <t>S022</t>
        </is>
      </c>
      <c r="D280" s="4" t="inlineStr">
        <is>
          <t>IYC chief Rajiv Satav defended continued elections. Rahul’s reform replaced nominations in IYC/NSUI, aiming to reduce nepotism; critics alleged greater money influence.</t>
        </is>
      </c>
      <c r="E280" s="5" t="inlineStr">
        <is>
          <t>https://timesofindia.indiatimes.com/india/youth-congress-to-retain-internal-polls/articleshow/36734347.cms</t>
        </is>
      </c>
      <c r="F280" s="4" t="inlineStr">
        <is>
          <t>Internal reform and Rajiv Satav response; lines 119–133</t>
        </is>
      </c>
      <c r="G280" s="4" t="inlineStr">
        <is>
          <t>Supports</t>
        </is>
      </c>
      <c r="H280" s="4" t="inlineStr">
        <is>
          <t>R022</t>
        </is>
      </c>
      <c r="I280" s="4" t="inlineStr">
        <is>
          <t>Codex: passage-to-statement review</t>
        </is>
      </c>
      <c r="J280" s="4" t="inlineStr">
        <is>
          <t>2026-09-24</t>
        </is>
      </c>
      <c r="K280" s="4" t="inlineStr">
        <is>
          <t>Read as combined support where a field has several sources. Attributed statements establish what was said, not the underlying allegation.</t>
        </is>
      </c>
    </row>
    <row r="281" ht="66" customHeight="1">
      <c r="A281" s="6" t="inlineStr">
        <is>
          <t>EV-0276</t>
        </is>
      </c>
      <c r="B281" s="7" t="inlineStr">
        <is>
          <t>C-LA04-01</t>
        </is>
      </c>
      <c r="C281" s="7" t="inlineStr">
        <is>
          <t>S035</t>
        </is>
      </c>
      <c r="D281" s="6" t="inlineStr">
        <is>
          <t>Gandhi supported the government’s caste-enumeration decision, sought funding and a timeline, and repeated the demand to lift the reservation cap. Government criticised Congress’s earlier record.</t>
        </is>
      </c>
      <c r="E281" s="7" t="inlineStr">
        <is>
          <t>https://indianexpress.com/article/india/rahul-gandhi-caste-census-population-congress-centre-cabinet-9975117/</t>
        </is>
      </c>
      <c r="F281" s="6" t="inlineStr">
        <is>
          <t>Government decision and reactions; lines 20–40</t>
        </is>
      </c>
      <c r="G281" s="6" t="inlineStr">
        <is>
          <t>Supports</t>
        </is>
      </c>
      <c r="H281" s="6" t="inlineStr">
        <is>
          <t>R035</t>
        </is>
      </c>
      <c r="I281" s="6" t="inlineStr">
        <is>
          <t>Codex: passage-to-statement review</t>
        </is>
      </c>
      <c r="J281" s="6" t="inlineStr">
        <is>
          <t>2026-09-24</t>
        </is>
      </c>
      <c r="K281" s="6" t="inlineStr">
        <is>
          <t>Read as combined support where a field has several sources. Attributed statements establish what was said, not the underlying allegation.</t>
        </is>
      </c>
    </row>
    <row r="282" ht="66" customHeight="1">
      <c r="A282" s="4" t="inlineStr">
        <is>
          <t>EV-0277</t>
        </is>
      </c>
      <c r="B282" s="5" t="inlineStr">
        <is>
          <t>C-LA04-01</t>
        </is>
      </c>
      <c r="C282" s="5" t="inlineStr">
        <is>
          <t>S036</t>
        </is>
      </c>
      <c r="D282" s="4" t="inlineStr">
        <is>
          <t>Home Ministry reports CCPA decision to include caste enumeration in the forthcoming census. Amit Shah attributes it to the Modi government and criticises Congress.</t>
        </is>
      </c>
      <c r="E282" s="5" t="inlineStr">
        <is>
          <t>https://www.pib.gov.in/PressReleasePage.aspx?PRID=2125576</t>
        </is>
      </c>
      <c r="F282" s="4" t="inlineStr">
        <is>
          <t>Release 2125576; lines 20–25</t>
        </is>
      </c>
      <c r="G282" s="4" t="inlineStr">
        <is>
          <t>Supports</t>
        </is>
      </c>
      <c r="H282" s="4" t="inlineStr">
        <is>
          <t>R036</t>
        </is>
      </c>
      <c r="I282" s="4" t="inlineStr">
        <is>
          <t>Codex: passage-to-statement review</t>
        </is>
      </c>
      <c r="J282" s="4" t="inlineStr">
        <is>
          <t>2026-09-24</t>
        </is>
      </c>
      <c r="K282" s="4" t="inlineStr">
        <is>
          <t>Read as combined support where a field has several sources. Attributed statements establish what was said, not the underlying allegation.</t>
        </is>
      </c>
    </row>
    <row r="283" ht="80" customHeight="1">
      <c r="A283" s="6" t="inlineStr">
        <is>
          <t>EV-0278</t>
        </is>
      </c>
      <c r="B283" s="7" t="inlineStr">
        <is>
          <t>C-LA05-01</t>
        </is>
      </c>
      <c r="C283" s="7" t="inlineStr">
        <is>
          <t>S026</t>
        </is>
      </c>
      <c r="D283" s="6" t="inlineStr">
        <is>
          <t>Congress won 6 of 61 seats contested in Bihar in 2025. Interviewed losing candidates criticised organisation, nominations, war rooms, alliance coordination and the voter-rights campaign.</t>
        </is>
      </c>
      <c r="E283" s="7" t="inlineStr">
        <is>
          <t>https://indianexpress.com/article/political-pulse/congress-camps-bihar-post-mortem-rahul-yatra-fiasco-allavaru-problem-weak-structure-10375553/</t>
        </is>
      </c>
      <c r="F283" s="6" t="inlineStr">
        <is>
          <t>Opening; interviews with ten losing candidates; lines 17–52</t>
        </is>
      </c>
      <c r="G283" s="6" t="inlineStr">
        <is>
          <t>Supports</t>
        </is>
      </c>
      <c r="H283" s="6" t="inlineStr">
        <is>
          <t>R026</t>
        </is>
      </c>
      <c r="I283" s="6" t="inlineStr">
        <is>
          <t>Codex: passage-to-statement review</t>
        </is>
      </c>
      <c r="J283" s="6" t="inlineStr">
        <is>
          <t>2026-09-24</t>
        </is>
      </c>
      <c r="K283" s="6" t="inlineStr">
        <is>
          <t>Read as combined support where a field has several sources. Attributed statements establish what was said, not the underlying allegation.</t>
        </is>
      </c>
    </row>
    <row r="284" ht="80" customHeight="1">
      <c r="A284" s="4" t="inlineStr">
        <is>
          <t>EV-0279</t>
        </is>
      </c>
      <c r="B284" s="5" t="inlineStr">
        <is>
          <t>C-LA05-01</t>
        </is>
      </c>
      <c r="C284" s="5" t="inlineStr">
        <is>
          <t>S027</t>
        </is>
      </c>
      <c r="D284" s="4" t="inlineStr">
        <is>
          <t>Unnamed meeting participants said Gandhi accepted shared responsibility while questioning whether organisation alone explained allied parties’ losses. Congress publicly alleged roll-revision malpractice.</t>
        </is>
      </c>
      <c r="E284" s="5" t="inlineStr">
        <is>
          <t>https://indianexpress.com/article/political-pulse/rahul-equallyresponsible-bihar-loss-poll-review-10390484/</t>
        </is>
      </c>
      <c r="F284" s="4" t="inlineStr">
        <is>
          <t>Review meeting; lines 18–27</t>
        </is>
      </c>
      <c r="G284" s="4" t="inlineStr">
        <is>
          <t>Supports</t>
        </is>
      </c>
      <c r="H284" s="4" t="inlineStr">
        <is>
          <t>R027</t>
        </is>
      </c>
      <c r="I284" s="4" t="inlineStr">
        <is>
          <t>Codex: passage-to-statement review</t>
        </is>
      </c>
      <c r="J284" s="4" t="inlineStr">
        <is>
          <t>2026-09-24</t>
        </is>
      </c>
      <c r="K284" s="4" t="inlineStr">
        <is>
          <t>Read as combined support where a field has several sources. Attributed statements establish what was said, not the underlying allegation.</t>
        </is>
      </c>
    </row>
    <row r="285" ht="66" customHeight="1">
      <c r="A285" s="6" t="inlineStr">
        <is>
          <t>EV-0280</t>
        </is>
      </c>
      <c r="B285" s="7" t="inlineStr">
        <is>
          <t>C-LA06-01</t>
        </is>
      </c>
      <c r="C285" s="7" t="inlineStr">
        <is>
          <t>S002</t>
        </is>
      </c>
      <c r="D285" s="6" t="inlineStr">
        <is>
          <t>Rahul Gandhi is listed as the present Leader of Opposition, with tenure beginning 9 June 2024.</t>
        </is>
      </c>
      <c r="E285" s="7" t="inlineStr">
        <is>
          <t>https://sansad.in/ls/about/leader-of-opposition</t>
        </is>
      </c>
      <c r="F285" s="6" t="inlineStr">
        <is>
          <t>Present leader; lines 23–31</t>
        </is>
      </c>
      <c r="G285" s="6" t="inlineStr">
        <is>
          <t>Supports</t>
        </is>
      </c>
      <c r="H285" s="6" t="inlineStr">
        <is>
          <t>R002</t>
        </is>
      </c>
      <c r="I285" s="6" t="inlineStr">
        <is>
          <t>Codex: passage-to-statement review</t>
        </is>
      </c>
      <c r="J285" s="6" t="inlineStr">
        <is>
          <t>2026-09-24</t>
        </is>
      </c>
      <c r="K285" s="6" t="inlineStr">
        <is>
          <t>Read as combined support where a field has several sources. Attributed statements establish what was said, not the underlying allegation.</t>
        </is>
      </c>
    </row>
    <row r="286" ht="80" customHeight="1">
      <c r="A286" s="4" t="inlineStr">
        <is>
          <t>EV-0281</t>
        </is>
      </c>
      <c r="B286" s="5" t="inlineStr">
        <is>
          <t>C-LA06-01</t>
        </is>
      </c>
      <c r="C286" s="5" t="inlineStr">
        <is>
          <t>S003</t>
        </is>
      </c>
      <c r="D286" s="4" t="inlineStr">
        <is>
          <t>INC MP for Rae Bareli, fifth term, start 9 June 2024. PRS records 17 debates, 64 questions and zero private member bills for 24 June 2024–13 August 2026. Attendance is N/A because the LoP does not sign the register.</t>
        </is>
      </c>
      <c r="E286" s="5" t="inlineStr">
        <is>
          <t>https://prsindia.org/mptrack/18-lok-sabha/rahul-gandhi</t>
        </is>
      </c>
      <c r="F286" s="4" t="inlineStr">
        <is>
          <t>Profile and Parliamentary Activity; data through 13 August 2026</t>
        </is>
      </c>
      <c r="G286" s="4" t="inlineStr">
        <is>
          <t>Supports</t>
        </is>
      </c>
      <c r="H286" s="4" t="inlineStr">
        <is>
          <t>R003</t>
        </is>
      </c>
      <c r="I286" s="4" t="inlineStr">
        <is>
          <t>Codex: passage-to-statement review</t>
        </is>
      </c>
      <c r="J286" s="4" t="inlineStr">
        <is>
          <t>2026-09-24</t>
        </is>
      </c>
      <c r="K286" s="4" t="inlineStr">
        <is>
          <t>Read as combined support where a field has several sources. Attributed statements establish what was said, not the underlying allegation.</t>
        </is>
      </c>
    </row>
    <row r="287" ht="80" customHeight="1">
      <c r="A287" s="6" t="inlineStr">
        <is>
          <t>EV-0282</t>
        </is>
      </c>
      <c r="B287" s="7" t="inlineStr">
        <is>
          <t>C-LA06-01</t>
        </is>
      </c>
      <c r="C287" s="7" t="inlineStr">
        <is>
          <t>S023</t>
        </is>
      </c>
      <c r="D287" s="6" t="inlineStr">
        <is>
          <t>Reuters depicts a recovery in Gandhi’s image after two marches. Analyst Rahul Verma credits mobilisation and clearer ideological opposition. Kharge was party president while Gandhi remained its prominent campaign face.</t>
        </is>
      </c>
      <c r="E287" s="7" t="inlineStr">
        <is>
          <t>https://www.marketscreener.com/news/latest/Ridiculed-for-a-decade-India-s-Rahul-Gandhi-slows-Modi-juggernaut-46900641/</t>
        </is>
      </c>
      <c r="F287" s="6" t="inlineStr">
        <is>
          <t>Opening and analyst Rahul Verma; lines 932–946</t>
        </is>
      </c>
      <c r="G287" s="6" t="inlineStr">
        <is>
          <t>Supports</t>
        </is>
      </c>
      <c r="H287" s="6" t="inlineStr">
        <is>
          <t>R023</t>
        </is>
      </c>
      <c r="I287" s="6" t="inlineStr">
        <is>
          <t>Codex: passage-to-statement review</t>
        </is>
      </c>
      <c r="J287" s="6" t="inlineStr">
        <is>
          <t>2026-09-24</t>
        </is>
      </c>
      <c r="K287" s="6" t="inlineStr">
        <is>
          <t>Read as combined support where a field has several sources. Attributed statements establish what was said, not the underlying allegation.</t>
        </is>
      </c>
    </row>
    <row r="288" ht="66" customHeight="1">
      <c r="A288" s="4" t="inlineStr">
        <is>
          <t>EV-0283</t>
        </is>
      </c>
      <c r="B288" s="5" t="inlineStr">
        <is>
          <t>C-LA06-01</t>
        </is>
      </c>
      <c r="C288" s="5" t="inlineStr">
        <is>
          <t>S035</t>
        </is>
      </c>
      <c r="D288" s="4" t="inlineStr">
        <is>
          <t>Gandhi supported the government’s caste-enumeration decision, sought funding and a timeline, and repeated the demand to lift the reservation cap. Government criticised Congress’s earlier record.</t>
        </is>
      </c>
      <c r="E288" s="5" t="inlineStr">
        <is>
          <t>https://indianexpress.com/article/india/rahul-gandhi-caste-census-population-congress-centre-cabinet-9975117/</t>
        </is>
      </c>
      <c r="F288" s="4" t="inlineStr">
        <is>
          <t>Government decision and reactions; lines 20–40</t>
        </is>
      </c>
      <c r="G288" s="4" t="inlineStr">
        <is>
          <t>Supports</t>
        </is>
      </c>
      <c r="H288" s="4" t="inlineStr">
        <is>
          <t>R035</t>
        </is>
      </c>
      <c r="I288" s="4" t="inlineStr">
        <is>
          <t>Codex: passage-to-statement review</t>
        </is>
      </c>
      <c r="J288" s="4" t="inlineStr">
        <is>
          <t>2026-09-24</t>
        </is>
      </c>
      <c r="K288" s="4" t="inlineStr">
        <is>
          <t>Read as combined support where a field has several sources. Attributed statements establish what was said, not the underlying allegation.</t>
        </is>
      </c>
    </row>
    <row r="289" ht="80" customHeight="1">
      <c r="A289" s="6" t="inlineStr">
        <is>
          <t>EV-0284</t>
        </is>
      </c>
      <c r="B289" s="7" t="inlineStr">
        <is>
          <t>C-CT-P1-01-01</t>
        </is>
      </c>
      <c r="C289" s="7" t="inlineStr">
        <is>
          <t>S024</t>
        </is>
      </c>
      <c r="D289" s="6" t="inlineStr">
        <is>
          <t>Authors distinguish the coalition era through 2014 from BJP dominance thereafter. The 2024 result weakened rather than ended BJP centrality; INDIA still lacked unified leadership, programme and organisation.</t>
        </is>
      </c>
      <c r="E289" s="7" t="inlineStr">
        <is>
          <t>https://carnegieendowment.org/research/2024/09/india-election-bjp-party-politics</t>
        </is>
      </c>
      <c r="F289" s="6" t="inlineStr">
        <is>
          <t>Evolution of party systems; 2024 interpretation; lines 61–104</t>
        </is>
      </c>
      <c r="G289" s="6" t="inlineStr">
        <is>
          <t>Supports</t>
        </is>
      </c>
      <c r="H289" s="6" t="inlineStr">
        <is>
          <t>R024</t>
        </is>
      </c>
      <c r="I289" s="6" t="inlineStr">
        <is>
          <t>Codex: passage-to-statement review</t>
        </is>
      </c>
      <c r="J289" s="6" t="inlineStr">
        <is>
          <t>2026-09-24</t>
        </is>
      </c>
      <c r="K289" s="6" t="inlineStr">
        <is>
          <t>Read as combined support where a field has several sources. Attributed statements establish what was said, not the underlying allegation.</t>
        </is>
      </c>
    </row>
    <row r="290" ht="80" customHeight="1">
      <c r="A290" s="4" t="inlineStr">
        <is>
          <t>EV-0285</t>
        </is>
      </c>
      <c r="B290" s="5" t="inlineStr">
        <is>
          <t>C-CT-P1-01-01</t>
        </is>
      </c>
      <c r="C290" s="5" t="inlineStr">
        <is>
          <t>S004</t>
        </is>
      </c>
      <c r="D290" s="4" t="inlineStr">
        <is>
          <t>Born 19 June 1970 to Rajiv and Sonia Gandhi. Entered electoral politics in 2004; AICC general secretary from 24 September 2007; vice-president January 2013; president from 16 December 2017. Lists the 2022–23 and 2024 yatras.</t>
        </is>
      </c>
      <c r="E290" s="5" t="inlineStr">
        <is>
          <t>https://inc.in/leadership/past-party-presidents/shri-rahul-gandhi</t>
        </is>
      </c>
      <c r="F290" s="4" t="inlineStr">
        <is>
          <t>Family; Political journey; Presidency; Post-presidency</t>
        </is>
      </c>
      <c r="G290" s="4" t="inlineStr">
        <is>
          <t>Supports</t>
        </is>
      </c>
      <c r="H290" s="4" t="inlineStr">
        <is>
          <t>R004</t>
        </is>
      </c>
      <c r="I290" s="4" t="inlineStr">
        <is>
          <t>Codex: passage-to-statement review</t>
        </is>
      </c>
      <c r="J290" s="4" t="inlineStr">
        <is>
          <t>2026-09-24</t>
        </is>
      </c>
      <c r="K290" s="4" t="inlineStr">
        <is>
          <t>Read as combined support where a field has several sources. Attributed statements establish what was said, not the underlying allegation.</t>
        </is>
      </c>
    </row>
    <row r="291" ht="80" customHeight="1">
      <c r="A291" s="6" t="inlineStr">
        <is>
          <t>EV-0286</t>
        </is>
      </c>
      <c r="B291" s="7" t="inlineStr">
        <is>
          <t>C-CT-P1-02-01</t>
        </is>
      </c>
      <c r="C291" s="7" t="inlineStr">
        <is>
          <t>S038</t>
        </is>
      </c>
      <c r="D291" s="6" t="inlineStr">
        <is>
          <t>Gandhi publicly repudiated the proposed ordinance protecting convicted legislators; BJP critics said this undermined Prime Minister Manmohan Singh. Gandhi framed his objection as opposition to compromise on corruption.</t>
        </is>
      </c>
      <c r="E291" s="7" t="inlineStr">
        <is>
          <t>https://www.ndtv.com/india-news/rahul-gandhi-calls-ordinance-on-convicted-lawmakers-nonsense-huge-embarrassment-for-pm-535906</t>
        </is>
      </c>
      <c r="F291" s="6" t="inlineStr">
        <is>
          <t>Press Club remarks and responses; lines 225–233</t>
        </is>
      </c>
      <c r="G291" s="6" t="inlineStr">
        <is>
          <t>Supports</t>
        </is>
      </c>
      <c r="H291" s="6" t="inlineStr">
        <is>
          <t>R038</t>
        </is>
      </c>
      <c r="I291" s="6" t="inlineStr">
        <is>
          <t>Codex: passage-to-statement review</t>
        </is>
      </c>
      <c r="J291" s="6" t="inlineStr">
        <is>
          <t>2026-09-24</t>
        </is>
      </c>
      <c r="K291" s="6" t="inlineStr">
        <is>
          <t>Read as combined support where a field has several sources. Attributed statements establish what was said, not the underlying allegation.</t>
        </is>
      </c>
    </row>
    <row r="292" ht="80" customHeight="1">
      <c r="A292" s="4" t="inlineStr">
        <is>
          <t>EV-0287</t>
        </is>
      </c>
      <c r="B292" s="5" t="inlineStr">
        <is>
          <t>C-CT-P1-02-01</t>
        </is>
      </c>
      <c r="C292" s="5" t="inlineStr">
        <is>
          <t>S039</t>
        </is>
      </c>
      <c r="D292" s="4" t="inlineStr">
        <is>
          <t>Cabinet withdrew the proposed ordinance and related bill after Gandhi’s public criticism.</t>
        </is>
      </c>
      <c r="E292" s="5" t="inlineStr">
        <is>
          <t>https://www.business-standard.com/article/politics/govt-bows-before-rahul-withdraws-ordinance-plan-113100200706_1.html</t>
        </is>
      </c>
      <c r="F292" s="4" t="inlineStr">
        <is>
          <t>Cabinet decision reported 2 October</t>
        </is>
      </c>
      <c r="G292" s="4" t="inlineStr">
        <is>
          <t>Supports</t>
        </is>
      </c>
      <c r="H292" s="4" t="inlineStr">
        <is>
          <t>R039</t>
        </is>
      </c>
      <c r="I292" s="4" t="inlineStr">
        <is>
          <t>Codex: passage-to-statement review</t>
        </is>
      </c>
      <c r="J292" s="4" t="inlineStr">
        <is>
          <t>2026-09-24</t>
        </is>
      </c>
      <c r="K292" s="4" t="inlineStr">
        <is>
          <t>Read as combined support where a field has several sources. Attributed statements establish what was said, not the underlying allegation.</t>
        </is>
      </c>
    </row>
    <row r="293" ht="66" customHeight="1">
      <c r="A293" s="6" t="inlineStr">
        <is>
          <t>EV-0288</t>
        </is>
      </c>
      <c r="B293" s="7" t="inlineStr">
        <is>
          <t>C-CT-P1-03-01</t>
        </is>
      </c>
      <c r="C293" s="7" t="inlineStr">
        <is>
          <t>S009</t>
        </is>
      </c>
      <c r="D293" s="6" t="inlineStr">
        <is>
          <t>Rahul Gandhi, INC, won Amethi with 390179 votes against Chandra Parkash Mishra Matiyari, BSP, 99326.</t>
        </is>
      </c>
      <c r="E293" s="7" t="inlineStr">
        <is>
          <t>https://www.elections.in/parliamentary-constituencies/2004-election-results.html</t>
        </is>
      </c>
      <c r="F293" s="6" t="inlineStr">
        <is>
          <t>Uttar Pradesh, constituency 21 Amethi; line 545</t>
        </is>
      </c>
      <c r="G293" s="6" t="inlineStr">
        <is>
          <t>Supports</t>
        </is>
      </c>
      <c r="H293" s="6" t="inlineStr">
        <is>
          <t>R009</t>
        </is>
      </c>
      <c r="I293" s="6" t="inlineStr">
        <is>
          <t>Codex: passage-to-statement review</t>
        </is>
      </c>
      <c r="J293" s="6" t="inlineStr">
        <is>
          <t>2026-09-24</t>
        </is>
      </c>
      <c r="K293" s="6" t="inlineStr">
        <is>
          <t>Read as combined support where a field has several sources. Attributed statements establish what was said, not the underlying allegation.</t>
        </is>
      </c>
    </row>
    <row r="294" ht="80" customHeight="1">
      <c r="A294" s="4" t="inlineStr">
        <is>
          <t>EV-0289</t>
        </is>
      </c>
      <c r="B294" s="5" t="inlineStr">
        <is>
          <t>C-CT-P1-03-01</t>
        </is>
      </c>
      <c r="C294" s="5" t="inlineStr">
        <is>
          <t>S008</t>
        </is>
      </c>
      <c r="D294" s="4" t="inlineStr">
        <is>
          <t>2009: Gandhi 464195, Asheesh Shukla 93997, 71.78%. 2014: Gandhi 408651, Smriti Irani 300748.</t>
        </is>
      </c>
      <c r="E294" s="5" t="inlineStr">
        <is>
          <t>https://www.moneycontrol.com/elections/lok-sabha-election/uttar-pradesh/constituencies/amethi-constituency-s24led2008p037/</t>
        </is>
      </c>
      <c r="F294" s="4" t="inlineStr">
        <is>
          <t>Past election results; lines 459–466 and 510–520</t>
        </is>
      </c>
      <c r="G294" s="4" t="inlineStr">
        <is>
          <t>Supports</t>
        </is>
      </c>
      <c r="H294" s="4" t="inlineStr">
        <is>
          <t>R008</t>
        </is>
      </c>
      <c r="I294" s="4" t="inlineStr">
        <is>
          <t>Codex: passage-to-statement review</t>
        </is>
      </c>
      <c r="J294" s="4" t="inlineStr">
        <is>
          <t>2026-09-24</t>
        </is>
      </c>
      <c r="K294" s="4" t="inlineStr">
        <is>
          <t>Read as combined support where a field has several sources. Attributed statements establish what was said, not the underlying allegation.</t>
        </is>
      </c>
    </row>
    <row r="295" ht="66" customHeight="1">
      <c r="A295" s="6" t="inlineStr">
        <is>
          <t>EV-0290</t>
        </is>
      </c>
      <c r="B295" s="7" t="inlineStr">
        <is>
          <t>C-CT-P1-06-01</t>
        </is>
      </c>
      <c r="C295" s="7" t="inlineStr">
        <is>
          <t>S034</t>
        </is>
      </c>
      <c r="D295" s="6" t="inlineStr">
        <is>
          <t>Congress won 28 of 403 UP seats in 2012. Gandhi accepted campaign responsibility and said organisation was weak; contemporary coverage compared him with Akhilesh Yadav.</t>
        </is>
      </c>
      <c r="E295" s="7" t="inlineStr">
        <is>
          <t>https://www.ndtv.com/assembly/i-take-responsibility-says-rahul-gandhi-about-up-results-470319</t>
        </is>
      </c>
      <c r="F295" s="6" t="inlineStr">
        <is>
          <t>Result and campaign; lines 284–294</t>
        </is>
      </c>
      <c r="G295" s="6" t="inlineStr">
        <is>
          <t>Supports</t>
        </is>
      </c>
      <c r="H295" s="6" t="inlineStr">
        <is>
          <t>R034</t>
        </is>
      </c>
      <c r="I295" s="6" t="inlineStr">
        <is>
          <t>Codex: passage-to-statement review</t>
        </is>
      </c>
      <c r="J295" s="6" t="inlineStr">
        <is>
          <t>2026-09-24</t>
        </is>
      </c>
      <c r="K295" s="6" t="inlineStr">
        <is>
          <t>Read as combined support where a field has several sources. Attributed statements establish what was said, not the underlying allegation.</t>
        </is>
      </c>
    </row>
    <row r="296" ht="80" customHeight="1">
      <c r="A296" s="4" t="inlineStr">
        <is>
          <t>EV-0291</t>
        </is>
      </c>
      <c r="B296" s="5" t="inlineStr">
        <is>
          <t>C-CT-P1-07-01</t>
        </is>
      </c>
      <c r="C296" s="5" t="inlineStr">
        <is>
          <t>S021</t>
        </is>
      </c>
      <c r="D296" s="4" t="inlineStr">
        <is>
          <t>Kerala Youth Congress figures criticised internal elections for factional conflict and diversion of resources; some favoured returning to nominations.</t>
        </is>
      </c>
      <c r="E296" s="5" t="inlineStr">
        <is>
          <t>https://indianexpress.com/article/political-pulse/in-kerala-youth-cong-dissent-over-rahuls-internal-election-system/</t>
        </is>
      </c>
      <c r="F296" s="4" t="inlineStr">
        <is>
          <t>Kerala Youth Congress camp; lines 101–110</t>
        </is>
      </c>
      <c r="G296" s="4" t="inlineStr">
        <is>
          <t>Supports</t>
        </is>
      </c>
      <c r="H296" s="4" t="inlineStr">
        <is>
          <t>R021</t>
        </is>
      </c>
      <c r="I296" s="4" t="inlineStr">
        <is>
          <t>Codex: passage-to-statement review</t>
        </is>
      </c>
      <c r="J296" s="4" t="inlineStr">
        <is>
          <t>2026-09-24</t>
        </is>
      </c>
      <c r="K296" s="4" t="inlineStr">
        <is>
          <t>Read as combined support where a field has several sources. Attributed statements establish what was said, not the underlying allegation.</t>
        </is>
      </c>
    </row>
    <row r="297" ht="66" customHeight="1">
      <c r="A297" s="6" t="inlineStr">
        <is>
          <t>EV-0292</t>
        </is>
      </c>
      <c r="B297" s="7" t="inlineStr">
        <is>
          <t>C-CT-P1-07-01</t>
        </is>
      </c>
      <c r="C297" s="7" t="inlineStr">
        <is>
          <t>S022</t>
        </is>
      </c>
      <c r="D297" s="6" t="inlineStr">
        <is>
          <t>IYC chief Rajiv Satav defended continued elections. Rahul’s reform replaced nominations in IYC/NSUI, aiming to reduce nepotism; critics alleged greater money influence.</t>
        </is>
      </c>
      <c r="E297" s="7" t="inlineStr">
        <is>
          <t>https://timesofindia.indiatimes.com/india/youth-congress-to-retain-internal-polls/articleshow/36734347.cms</t>
        </is>
      </c>
      <c r="F297" s="6" t="inlineStr">
        <is>
          <t>Internal reform and Rajiv Satav response; lines 119–133</t>
        </is>
      </c>
      <c r="G297" s="6" t="inlineStr">
        <is>
          <t>Supports</t>
        </is>
      </c>
      <c r="H297" s="6" t="inlineStr">
        <is>
          <t>R022</t>
        </is>
      </c>
      <c r="I297" s="6" t="inlineStr">
        <is>
          <t>Codex: passage-to-statement review</t>
        </is>
      </c>
      <c r="J297" s="6" t="inlineStr">
        <is>
          <t>2026-09-24</t>
        </is>
      </c>
      <c r="K297" s="6" t="inlineStr">
        <is>
          <t>Read as combined support where a field has several sources. Attributed statements establish what was said, not the underlying allegation.</t>
        </is>
      </c>
    </row>
    <row r="298" ht="80" customHeight="1">
      <c r="A298" s="4" t="inlineStr">
        <is>
          <t>EV-0293</t>
        </is>
      </c>
      <c r="B298" s="5" t="inlineStr">
        <is>
          <t>C-CT-P1-08-01</t>
        </is>
      </c>
      <c r="C298" s="5" t="inlineStr">
        <is>
          <t>S004</t>
        </is>
      </c>
      <c r="D298" s="4" t="inlineStr">
        <is>
          <t>Born 19 June 1970 to Rajiv and Sonia Gandhi. Entered electoral politics in 2004; AICC general secretary from 24 September 2007; vice-president January 2013; president from 16 December 2017. Lists the 2022–23 and 2024 yatras.</t>
        </is>
      </c>
      <c r="E298" s="5" t="inlineStr">
        <is>
          <t>https://inc.in/leadership/past-party-presidents/shri-rahul-gandhi</t>
        </is>
      </c>
      <c r="F298" s="4" t="inlineStr">
        <is>
          <t>Family; Political journey; Presidency; Post-presidency</t>
        </is>
      </c>
      <c r="G298" s="4" t="inlineStr">
        <is>
          <t>Supports</t>
        </is>
      </c>
      <c r="H298" s="4" t="inlineStr">
        <is>
          <t>R004</t>
        </is>
      </c>
      <c r="I298" s="4" t="inlineStr">
        <is>
          <t>Codex: passage-to-statement review</t>
        </is>
      </c>
      <c r="J298" s="4" t="inlineStr">
        <is>
          <t>2026-09-24</t>
        </is>
      </c>
      <c r="K298" s="4" t="inlineStr">
        <is>
          <t>Read as combined support where a field has several sources. Attributed statements establish what was said, not the underlying allegation.</t>
        </is>
      </c>
    </row>
    <row r="299" ht="66" customHeight="1">
      <c r="A299" s="6" t="inlineStr">
        <is>
          <t>EV-0294</t>
        </is>
      </c>
      <c r="B299" s="7" t="inlineStr">
        <is>
          <t>C-CT-P1-08-01</t>
        </is>
      </c>
      <c r="C299" s="7" t="inlineStr">
        <is>
          <t>S034</t>
        </is>
      </c>
      <c r="D299" s="6" t="inlineStr">
        <is>
          <t>Congress won 28 of 403 UP seats in 2012. Gandhi accepted campaign responsibility and said organisation was weak; contemporary coverage compared him with Akhilesh Yadav.</t>
        </is>
      </c>
      <c r="E299" s="7" t="inlineStr">
        <is>
          <t>https://www.ndtv.com/assembly/i-take-responsibility-says-rahul-gandhi-about-up-results-470319</t>
        </is>
      </c>
      <c r="F299" s="6" t="inlineStr">
        <is>
          <t>Result and campaign; lines 284–294</t>
        </is>
      </c>
      <c r="G299" s="6" t="inlineStr">
        <is>
          <t>Supports</t>
        </is>
      </c>
      <c r="H299" s="6" t="inlineStr">
        <is>
          <t>R034</t>
        </is>
      </c>
      <c r="I299" s="6" t="inlineStr">
        <is>
          <t>Codex: passage-to-statement review</t>
        </is>
      </c>
      <c r="J299" s="6" t="inlineStr">
        <is>
          <t>2026-09-24</t>
        </is>
      </c>
      <c r="K299" s="6" t="inlineStr">
        <is>
          <t>Read as combined support where a field has several sources. Attributed statements establish what was said, not the underlying allegation.</t>
        </is>
      </c>
    </row>
    <row r="300" ht="66" customHeight="1">
      <c r="A300" s="4" t="inlineStr">
        <is>
          <t>EV-0295</t>
        </is>
      </c>
      <c r="B300" s="5" t="inlineStr">
        <is>
          <t>C-CT-P1-09-01</t>
        </is>
      </c>
      <c r="C300" s="5" t="inlineStr">
        <is>
          <t>S009</t>
        </is>
      </c>
      <c r="D300" s="4" t="inlineStr">
        <is>
          <t>Rahul Gandhi, INC, won Amethi with 390179 votes against Chandra Parkash Mishra Matiyari, BSP, 99326.</t>
        </is>
      </c>
      <c r="E300" s="5" t="inlineStr">
        <is>
          <t>https://www.elections.in/parliamentary-constituencies/2004-election-results.html</t>
        </is>
      </c>
      <c r="F300" s="4" t="inlineStr">
        <is>
          <t>Uttar Pradesh, constituency 21 Amethi; line 545</t>
        </is>
      </c>
      <c r="G300" s="4" t="inlineStr">
        <is>
          <t>Supports</t>
        </is>
      </c>
      <c r="H300" s="4" t="inlineStr">
        <is>
          <t>R009</t>
        </is>
      </c>
      <c r="I300" s="4" t="inlineStr">
        <is>
          <t>Codex: passage-to-statement review</t>
        </is>
      </c>
      <c r="J300" s="4" t="inlineStr">
        <is>
          <t>2026-09-24</t>
        </is>
      </c>
      <c r="K300" s="4" t="inlineStr">
        <is>
          <t>Read as combined support where a field has several sources. Attributed statements establish what was said, not the underlying allegation.</t>
        </is>
      </c>
    </row>
    <row r="301" ht="80" customHeight="1">
      <c r="A301" s="6" t="inlineStr">
        <is>
          <t>EV-0296</t>
        </is>
      </c>
      <c r="B301" s="7" t="inlineStr">
        <is>
          <t>C-CT-P1-09-01</t>
        </is>
      </c>
      <c r="C301" s="7" t="inlineStr">
        <is>
          <t>S008</t>
        </is>
      </c>
      <c r="D301" s="6" t="inlineStr">
        <is>
          <t>2009: Gandhi 464195, Asheesh Shukla 93997, 71.78%. 2014: Gandhi 408651, Smriti Irani 300748.</t>
        </is>
      </c>
      <c r="E301" s="7" t="inlineStr">
        <is>
          <t>https://www.moneycontrol.com/elections/lok-sabha-election/uttar-pradesh/constituencies/amethi-constituency-s24led2008p037/</t>
        </is>
      </c>
      <c r="F301" s="6" t="inlineStr">
        <is>
          <t>Past election results; lines 459–466 and 510–520</t>
        </is>
      </c>
      <c r="G301" s="6" t="inlineStr">
        <is>
          <t>Supports</t>
        </is>
      </c>
      <c r="H301" s="6" t="inlineStr">
        <is>
          <t>R008</t>
        </is>
      </c>
      <c r="I301" s="6" t="inlineStr">
        <is>
          <t>Codex: passage-to-statement review</t>
        </is>
      </c>
      <c r="J301" s="6" t="inlineStr">
        <is>
          <t>2026-09-24</t>
        </is>
      </c>
      <c r="K301" s="6" t="inlineStr">
        <is>
          <t>Read as combined support where a field has several sources. Attributed statements establish what was said, not the underlying allegation.</t>
        </is>
      </c>
    </row>
    <row r="302" ht="66" customHeight="1">
      <c r="A302" s="4" t="inlineStr">
        <is>
          <t>EV-0297</t>
        </is>
      </c>
      <c r="B302" s="5" t="inlineStr">
        <is>
          <t>C-CT-P1-09-01</t>
        </is>
      </c>
      <c r="C302" s="5" t="inlineStr">
        <is>
          <t>S034</t>
        </is>
      </c>
      <c r="D302" s="4" t="inlineStr">
        <is>
          <t>Congress won 28 of 403 UP seats in 2012. Gandhi accepted campaign responsibility and said organisation was weak; contemporary coverage compared him with Akhilesh Yadav.</t>
        </is>
      </c>
      <c r="E302" s="5" t="inlineStr">
        <is>
          <t>https://www.ndtv.com/assembly/i-take-responsibility-says-rahul-gandhi-about-up-results-470319</t>
        </is>
      </c>
      <c r="F302" s="4" t="inlineStr">
        <is>
          <t>Result and campaign; lines 284–294</t>
        </is>
      </c>
      <c r="G302" s="4" t="inlineStr">
        <is>
          <t>Supports</t>
        </is>
      </c>
      <c r="H302" s="4" t="inlineStr">
        <is>
          <t>R034</t>
        </is>
      </c>
      <c r="I302" s="4" t="inlineStr">
        <is>
          <t>Codex: passage-to-statement review</t>
        </is>
      </c>
      <c r="J302" s="4" t="inlineStr">
        <is>
          <t>2026-09-24</t>
        </is>
      </c>
      <c r="K302" s="4" t="inlineStr">
        <is>
          <t>Read as combined support where a field has several sources. Attributed statements establish what was said, not the underlying allegation.</t>
        </is>
      </c>
    </row>
    <row r="303" ht="80" customHeight="1">
      <c r="A303" s="6" t="inlineStr">
        <is>
          <t>EV-0298</t>
        </is>
      </c>
      <c r="B303" s="7" t="inlineStr">
        <is>
          <t>C-CT-P1-10-01</t>
        </is>
      </c>
      <c r="C303" s="7" t="inlineStr">
        <is>
          <t>S004</t>
        </is>
      </c>
      <c r="D303" s="6" t="inlineStr">
        <is>
          <t>Born 19 June 1970 to Rajiv and Sonia Gandhi. Entered electoral politics in 2004; AICC general secretary from 24 September 2007; vice-president January 2013; president from 16 December 2017. Lists the 2022–23 and 2024 yatras.</t>
        </is>
      </c>
      <c r="E303" s="7" t="inlineStr">
        <is>
          <t>https://inc.in/leadership/past-party-presidents/shri-rahul-gandhi</t>
        </is>
      </c>
      <c r="F303" s="6" t="inlineStr">
        <is>
          <t>Family; Political journey; Presidency; Post-presidency</t>
        </is>
      </c>
      <c r="G303" s="6" t="inlineStr">
        <is>
          <t>Supports</t>
        </is>
      </c>
      <c r="H303" s="6" t="inlineStr">
        <is>
          <t>R004</t>
        </is>
      </c>
      <c r="I303" s="6" t="inlineStr">
        <is>
          <t>Codex: passage-to-statement review</t>
        </is>
      </c>
      <c r="J303" s="6" t="inlineStr">
        <is>
          <t>2026-09-24</t>
        </is>
      </c>
      <c r="K303" s="6" t="inlineStr">
        <is>
          <t>Read as combined support where a field has several sources. Attributed statements establish what was said, not the underlying allegation.</t>
        </is>
      </c>
    </row>
    <row r="304" ht="66" customHeight="1">
      <c r="A304" s="4" t="inlineStr">
        <is>
          <t>EV-0299</t>
        </is>
      </c>
      <c r="B304" s="5" t="inlineStr">
        <is>
          <t>C-CT-P1-10-01</t>
        </is>
      </c>
      <c r="C304" s="5" t="inlineStr">
        <is>
          <t>S009</t>
        </is>
      </c>
      <c r="D304" s="4" t="inlineStr">
        <is>
          <t>Rahul Gandhi, INC, won Amethi with 390179 votes against Chandra Parkash Mishra Matiyari, BSP, 99326.</t>
        </is>
      </c>
      <c r="E304" s="5" t="inlineStr">
        <is>
          <t>https://www.elections.in/parliamentary-constituencies/2004-election-results.html</t>
        </is>
      </c>
      <c r="F304" s="4" t="inlineStr">
        <is>
          <t>Uttar Pradesh, constituency 21 Amethi; line 545</t>
        </is>
      </c>
      <c r="G304" s="4" t="inlineStr">
        <is>
          <t>Supports</t>
        </is>
      </c>
      <c r="H304" s="4" t="inlineStr">
        <is>
          <t>R009</t>
        </is>
      </c>
      <c r="I304" s="4" t="inlineStr">
        <is>
          <t>Codex: passage-to-statement review</t>
        </is>
      </c>
      <c r="J304" s="4" t="inlineStr">
        <is>
          <t>2026-09-24</t>
        </is>
      </c>
      <c r="K304" s="4" t="inlineStr">
        <is>
          <t>Read as combined support where a field has several sources. Attributed statements establish what was said, not the underlying allegation.</t>
        </is>
      </c>
    </row>
    <row r="305" ht="80" customHeight="1">
      <c r="A305" s="6" t="inlineStr">
        <is>
          <t>EV-0300</t>
        </is>
      </c>
      <c r="B305" s="7" t="inlineStr">
        <is>
          <t>C-CT-P1-10-01</t>
        </is>
      </c>
      <c r="C305" s="7" t="inlineStr">
        <is>
          <t>S008</t>
        </is>
      </c>
      <c r="D305" s="6" t="inlineStr">
        <is>
          <t>2009: Gandhi 464195, Asheesh Shukla 93997, 71.78%. 2014: Gandhi 408651, Smriti Irani 300748.</t>
        </is>
      </c>
      <c r="E305" s="7" t="inlineStr">
        <is>
          <t>https://www.moneycontrol.com/elections/lok-sabha-election/uttar-pradesh/constituencies/amethi-constituency-s24led2008p037/</t>
        </is>
      </c>
      <c r="F305" s="6" t="inlineStr">
        <is>
          <t>Past election results; lines 459–466 and 510–520</t>
        </is>
      </c>
      <c r="G305" s="6" t="inlineStr">
        <is>
          <t>Supports</t>
        </is>
      </c>
      <c r="H305" s="6" t="inlineStr">
        <is>
          <t>R008</t>
        </is>
      </c>
      <c r="I305" s="6" t="inlineStr">
        <is>
          <t>Codex: passage-to-statement review</t>
        </is>
      </c>
      <c r="J305" s="6" t="inlineStr">
        <is>
          <t>2026-09-24</t>
        </is>
      </c>
      <c r="K305" s="6" t="inlineStr">
        <is>
          <t>Read as combined support where a field has several sources. Attributed statements establish what was said, not the underlying allegation.</t>
        </is>
      </c>
    </row>
    <row r="306" ht="80" customHeight="1">
      <c r="A306" s="4" t="inlineStr">
        <is>
          <t>EV-0301</t>
        </is>
      </c>
      <c r="B306" s="5" t="inlineStr">
        <is>
          <t>C-CT-P2-01-01</t>
        </is>
      </c>
      <c r="C306" s="5" t="inlineStr">
        <is>
          <t>S024</t>
        </is>
      </c>
      <c r="D306" s="4" t="inlineStr">
        <is>
          <t>Authors distinguish the coalition era through 2014 from BJP dominance thereafter. The 2024 result weakened rather than ended BJP centrality; INDIA still lacked unified leadership, programme and organisation.</t>
        </is>
      </c>
      <c r="E306" s="5" t="inlineStr">
        <is>
          <t>https://carnegieendowment.org/research/2024/09/india-election-bjp-party-politics</t>
        </is>
      </c>
      <c r="F306" s="4" t="inlineStr">
        <is>
          <t>Evolution of party systems; 2024 interpretation; lines 61–104</t>
        </is>
      </c>
      <c r="G306" s="4" t="inlineStr">
        <is>
          <t>Supports</t>
        </is>
      </c>
      <c r="H306" s="4" t="inlineStr">
        <is>
          <t>R024</t>
        </is>
      </c>
      <c r="I306" s="4" t="inlineStr">
        <is>
          <t>Codex: passage-to-statement review</t>
        </is>
      </c>
      <c r="J306" s="4" t="inlineStr">
        <is>
          <t>2026-09-24</t>
        </is>
      </c>
      <c r="K306" s="4" t="inlineStr">
        <is>
          <t>Read as combined support where a field has several sources. Attributed statements establish what was said, not the underlying allegation.</t>
        </is>
      </c>
    </row>
    <row r="307" ht="80" customHeight="1">
      <c r="A307" s="6" t="inlineStr">
        <is>
          <t>EV-0302</t>
        </is>
      </c>
      <c r="B307" s="7" t="inlineStr">
        <is>
          <t>C-CT-P2-01-01</t>
        </is>
      </c>
      <c r="C307" s="7" t="inlineStr">
        <is>
          <t>S014</t>
        </is>
      </c>
      <c r="D307" s="6" t="inlineStr">
        <is>
          <t>Letter public on 3 July; resignation offered 25 May. Gandhi accepted responsibility for the 2019 defeat. Congress won 52 seats. He called for accountability and said institutional neutrality had been weakened.</t>
        </is>
      </c>
      <c r="E307" s="7" t="inlineStr">
        <is>
          <t>https://www.ndtv.com/india-news/rahul-gandhis-open-letter-full-text-at-times-i-stood-completely-alone-2063455</t>
        </is>
      </c>
      <c r="F307" s="6" t="inlineStr">
        <is>
          <t>Resignation discussion; lines 225–248</t>
        </is>
      </c>
      <c r="G307" s="6" t="inlineStr">
        <is>
          <t>Supports</t>
        </is>
      </c>
      <c r="H307" s="6" t="inlineStr">
        <is>
          <t>R014</t>
        </is>
      </c>
      <c r="I307" s="6" t="inlineStr">
        <is>
          <t>Codex: passage-to-statement review</t>
        </is>
      </c>
      <c r="J307" s="6" t="inlineStr">
        <is>
          <t>2026-09-24</t>
        </is>
      </c>
      <c r="K307" s="6" t="inlineStr">
        <is>
          <t>Read as combined support where a field has several sources. Attributed statements establish what was said, not the underlying allegation.</t>
        </is>
      </c>
    </row>
    <row r="308" ht="94" customHeight="1">
      <c r="A308" s="4" t="inlineStr">
        <is>
          <t>EV-0303</t>
        </is>
      </c>
      <c r="B308" s="5" t="inlineStr">
        <is>
          <t>C-CT-P2-02-01</t>
        </is>
      </c>
      <c r="C308" s="5" t="inlineStr">
        <is>
          <t>S032</t>
        </is>
      </c>
      <c r="D308" s="4" t="inlineStr">
        <is>
          <t>2013 law required consent for specified private/PPP acquisition and social-impact assessment. 2015 bill proposed exemptions for five project classes; referred to a joint committee on 12 May.</t>
        </is>
      </c>
      <c r="E308" s="5" t="inlineStr">
        <is>
          <t>https://prsindia.org/billtrack/the-right-to-fair-compensation-and-transparency-in-land-acquisition-rehabilitation-and-resettlement-second-amendment-bill-2015</t>
        </is>
      </c>
      <c r="F308" s="4" t="inlineStr">
        <is>
          <t>Introduction and Table 1</t>
        </is>
      </c>
      <c r="G308" s="4" t="inlineStr">
        <is>
          <t>Supports</t>
        </is>
      </c>
      <c r="H308" s="4" t="inlineStr">
        <is>
          <t>R032</t>
        </is>
      </c>
      <c r="I308" s="4" t="inlineStr">
        <is>
          <t>Codex: passage-to-statement review</t>
        </is>
      </c>
      <c r="J308" s="4" t="inlineStr">
        <is>
          <t>2026-09-24</t>
        </is>
      </c>
      <c r="K308" s="4" t="inlineStr">
        <is>
          <t>Read as combined support where a field has several sources. Attributed statements establish what was said, not the underlying allegation.</t>
        </is>
      </c>
    </row>
    <row r="309" ht="94" customHeight="1">
      <c r="A309" s="6" t="inlineStr">
        <is>
          <t>EV-0304</t>
        </is>
      </c>
      <c r="B309" s="7" t="inlineStr">
        <is>
          <t>C-CT-P2-02-01</t>
        </is>
      </c>
      <c r="C309" s="7" t="inlineStr">
        <is>
          <t>S037</t>
        </is>
      </c>
      <c r="D309" s="6" t="inlineStr">
        <is>
          <t>Gandhi opposed the land-acquisition amendments inside and outside Parliament; NDA allies Shiv Sena and Akali Dal also raised reservations.</t>
        </is>
      </c>
      <c r="E309" s="7" t="inlineStr">
        <is>
          <t>https://economictimes.indiatimes.com/news/politics-and-nation/rahul-gandhi-vows-to-oppose-land-bill-inside-and-outside-parliament/articleshow/47249971.cms</t>
        </is>
      </c>
      <c r="F309" s="6" t="inlineStr">
        <is>
          <t>Parliamentary debate report</t>
        </is>
      </c>
      <c r="G309" s="6" t="inlineStr">
        <is>
          <t>Supports</t>
        </is>
      </c>
      <c r="H309" s="6" t="inlineStr">
        <is>
          <t>R037</t>
        </is>
      </c>
      <c r="I309" s="6" t="inlineStr">
        <is>
          <t>Codex: passage-to-statement review</t>
        </is>
      </c>
      <c r="J309" s="6" t="inlineStr">
        <is>
          <t>2026-09-24</t>
        </is>
      </c>
      <c r="K309" s="6" t="inlineStr">
        <is>
          <t>Read as combined support where a field has several sources. Attributed statements establish what was said, not the underlying allegation.</t>
        </is>
      </c>
    </row>
    <row r="310" ht="80" customHeight="1">
      <c r="A310" s="4" t="inlineStr">
        <is>
          <t>EV-0305</t>
        </is>
      </c>
      <c r="B310" s="5" t="inlineStr">
        <is>
          <t>C-CT-P2-03-01</t>
        </is>
      </c>
      <c r="C310" s="5" t="inlineStr">
        <is>
          <t>S008</t>
        </is>
      </c>
      <c r="D310" s="4" t="inlineStr">
        <is>
          <t>2009: Gandhi 464195, Asheesh Shukla 93997, 71.78%. 2014: Gandhi 408651, Smriti Irani 300748.</t>
        </is>
      </c>
      <c r="E310" s="5" t="inlineStr">
        <is>
          <t>https://www.moneycontrol.com/elections/lok-sabha-election/uttar-pradesh/constituencies/amethi-constituency-s24led2008p037/</t>
        </is>
      </c>
      <c r="F310" s="4" t="inlineStr">
        <is>
          <t>Past election results; lines 459–466 and 510–520</t>
        </is>
      </c>
      <c r="G310" s="4" t="inlineStr">
        <is>
          <t>Supports</t>
        </is>
      </c>
      <c r="H310" s="4" t="inlineStr">
        <is>
          <t>R008</t>
        </is>
      </c>
      <c r="I310" s="4" t="inlineStr">
        <is>
          <t>Codex: passage-to-statement review</t>
        </is>
      </c>
      <c r="J310" s="4" t="inlineStr">
        <is>
          <t>2026-09-24</t>
        </is>
      </c>
      <c r="K310" s="4" t="inlineStr">
        <is>
          <t>Read as combined support where a field has several sources. Attributed statements establish what was said, not the underlying allegation.</t>
        </is>
      </c>
    </row>
    <row r="311" ht="66" customHeight="1">
      <c r="A311" s="6" t="inlineStr">
        <is>
          <t>EV-0306</t>
        </is>
      </c>
      <c r="B311" s="7" t="inlineStr">
        <is>
          <t>C-CT-P2-03-01</t>
        </is>
      </c>
      <c r="C311" s="7" t="inlineStr">
        <is>
          <t>S007</t>
        </is>
      </c>
      <c r="D311" s="6" t="inlineStr">
        <is>
          <t>Wayanad: Gandhi 706367 versus P.P. Suneer 274597; total votes 1092197; margin 431770. Amethi: Gandhi 413394 versus Smriti Irani 468514; total votes 942453; loss margin 55120.</t>
        </is>
      </c>
      <c r="E311" s="7" t="inlineStr">
        <is>
          <t>https://adrindia.org/sites/default/files/Analysis_of_Vote_Share_Margin_Of_Victory_Lok_Sabha__2019.pdf</t>
        </is>
      </c>
      <c r="F311" s="6" t="inlineStr">
        <is>
          <t>Printed pp.26 and 69; Wayanad and Amethi</t>
        </is>
      </c>
      <c r="G311" s="6" t="inlineStr">
        <is>
          <t>Supports</t>
        </is>
      </c>
      <c r="H311" s="6" t="inlineStr">
        <is>
          <t>R007</t>
        </is>
      </c>
      <c r="I311" s="6" t="inlineStr">
        <is>
          <t>Codex: passage-to-statement review</t>
        </is>
      </c>
      <c r="J311" s="6" t="inlineStr">
        <is>
          <t>2026-09-24</t>
        </is>
      </c>
      <c r="K311" s="6" t="inlineStr">
        <is>
          <t>Read as combined support where a field has several sources. Attributed statements establish what was said, not the underlying allegation.</t>
        </is>
      </c>
    </row>
    <row r="312" ht="66" customHeight="1">
      <c r="A312" s="4" t="inlineStr">
        <is>
          <t>EV-0307</t>
        </is>
      </c>
      <c r="B312" s="5" t="inlineStr">
        <is>
          <t>C-CT-P2-03-01</t>
        </is>
      </c>
      <c r="C312" s="5" t="inlineStr">
        <is>
          <t>S041</t>
        </is>
      </c>
      <c r="D312" s="4" t="inlineStr">
        <is>
          <t>Wayanad Rahul Gandhi INC; victory margin 431770; vote share 64.67%.</t>
        </is>
      </c>
      <c r="E312" s="5" t="inlineStr">
        <is>
          <t>https://www.ceo.kerala.gov.in/electedmembers</t>
        </is>
      </c>
      <c r="F312" s="4" t="inlineStr">
        <is>
          <t>2019 Lok Sabha; Wayanad row</t>
        </is>
      </c>
      <c r="G312" s="4" t="inlineStr">
        <is>
          <t>Supports</t>
        </is>
      </c>
      <c r="H312" s="4" t="inlineStr">
        <is>
          <t>R041</t>
        </is>
      </c>
      <c r="I312" s="4" t="inlineStr">
        <is>
          <t>Codex: passage-to-statement review</t>
        </is>
      </c>
      <c r="J312" s="4" t="inlineStr">
        <is>
          <t>2026-09-24</t>
        </is>
      </c>
      <c r="K312" s="4" t="inlineStr">
        <is>
          <t>Read as combined support where a field has several sources. Attributed statements establish what was said, not the underlying allegation.</t>
        </is>
      </c>
    </row>
    <row r="313" ht="94" customHeight="1">
      <c r="A313" s="6" t="inlineStr">
        <is>
          <t>EV-0308</t>
        </is>
      </c>
      <c r="B313" s="7" t="inlineStr">
        <is>
          <t>C-CT-P2-04-01</t>
        </is>
      </c>
      <c r="C313" s="7" t="inlineStr">
        <is>
          <t>S037</t>
        </is>
      </c>
      <c r="D313" s="6" t="inlineStr">
        <is>
          <t>Gandhi opposed the land-acquisition amendments inside and outside Parliament; NDA allies Shiv Sena and Akali Dal also raised reservations.</t>
        </is>
      </c>
      <c r="E313" s="7" t="inlineStr">
        <is>
          <t>https://economictimes.indiatimes.com/news/politics-and-nation/rahul-gandhi-vows-to-oppose-land-bill-inside-and-outside-parliament/articleshow/47249971.cms</t>
        </is>
      </c>
      <c r="F313" s="6" t="inlineStr">
        <is>
          <t>Parliamentary debate report</t>
        </is>
      </c>
      <c r="G313" s="6" t="inlineStr">
        <is>
          <t>Supports</t>
        </is>
      </c>
      <c r="H313" s="6" t="inlineStr">
        <is>
          <t>R037</t>
        </is>
      </c>
      <c r="I313" s="6" t="inlineStr">
        <is>
          <t>Codex: passage-to-statement review</t>
        </is>
      </c>
      <c r="J313" s="6" t="inlineStr">
        <is>
          <t>2026-09-24</t>
        </is>
      </c>
      <c r="K313" s="6" t="inlineStr">
        <is>
          <t>Read as combined support where a field has several sources. Attributed statements establish what was said, not the underlying allegation.</t>
        </is>
      </c>
    </row>
    <row r="314" ht="66" customHeight="1">
      <c r="A314" s="4" t="inlineStr">
        <is>
          <t>EV-0309</t>
        </is>
      </c>
      <c r="B314" s="5" t="inlineStr">
        <is>
          <t>C-CT-P2-04-01</t>
        </is>
      </c>
      <c r="C314" s="5" t="inlineStr">
        <is>
          <t>S028</t>
        </is>
      </c>
      <c r="D314" s="4" t="inlineStr">
        <is>
          <t>Gandhi campaigned on a Rs 72000 transfer under NYAY if Congress came to power. He criticised GST’s effect on poor people and promised protection of tribal land.</t>
        </is>
      </c>
      <c r="E314" s="5" t="inlineStr">
        <is>
          <t>https://www.ndtv.com/india-news/rs-72-000-will-be-given-to-beneficiaries-under-nyay-scheme-rahul-gandhi-2031993</t>
        </is>
      </c>
      <c r="F314" s="4" t="inlineStr">
        <is>
          <t>Simdega speech; lines 231–242</t>
        </is>
      </c>
      <c r="G314" s="4" t="inlineStr">
        <is>
          <t>Supports</t>
        </is>
      </c>
      <c r="H314" s="4" t="inlineStr">
        <is>
          <t>R028</t>
        </is>
      </c>
      <c r="I314" s="4" t="inlineStr">
        <is>
          <t>Codex: passage-to-statement review</t>
        </is>
      </c>
      <c r="J314" s="4" t="inlineStr">
        <is>
          <t>2026-09-24</t>
        </is>
      </c>
      <c r="K314" s="4" t="inlineStr">
        <is>
          <t>Read as combined support where a field has several sources. Attributed statements establish what was said, not the underlying allegation.</t>
        </is>
      </c>
    </row>
    <row r="315" ht="80" customHeight="1">
      <c r="A315" s="6" t="inlineStr">
        <is>
          <t>EV-0310</t>
        </is>
      </c>
      <c r="B315" s="7" t="inlineStr">
        <is>
          <t>C-CT-P2-04-01</t>
        </is>
      </c>
      <c r="C315" s="7" t="inlineStr">
        <is>
          <t>S014</t>
        </is>
      </c>
      <c r="D315" s="6" t="inlineStr">
        <is>
          <t>Letter public on 3 July; resignation offered 25 May. Gandhi accepted responsibility for the 2019 defeat. Congress won 52 seats. He called for accountability and said institutional neutrality had been weakened.</t>
        </is>
      </c>
      <c r="E315" s="7" t="inlineStr">
        <is>
          <t>https://www.ndtv.com/india-news/rahul-gandhis-open-letter-full-text-at-times-i-stood-completely-alone-2063455</t>
        </is>
      </c>
      <c r="F315" s="6" t="inlineStr">
        <is>
          <t>Resignation discussion; lines 225–248</t>
        </is>
      </c>
      <c r="G315" s="6" t="inlineStr">
        <is>
          <t>Supports</t>
        </is>
      </c>
      <c r="H315" s="6" t="inlineStr">
        <is>
          <t>R014</t>
        </is>
      </c>
      <c r="I315" s="6" t="inlineStr">
        <is>
          <t>Codex: passage-to-statement review</t>
        </is>
      </c>
      <c r="J315" s="6" t="inlineStr">
        <is>
          <t>2026-09-24</t>
        </is>
      </c>
      <c r="K315" s="6" t="inlineStr">
        <is>
          <t>Read as combined support where a field has several sources. Attributed statements establish what was said, not the underlying allegation.</t>
        </is>
      </c>
    </row>
    <row r="316" ht="80" customHeight="1">
      <c r="A316" s="4" t="inlineStr">
        <is>
          <t>EV-0311</t>
        </is>
      </c>
      <c r="B316" s="5" t="inlineStr">
        <is>
          <t>C-CT-P2-06-01</t>
        </is>
      </c>
      <c r="C316" s="5" t="inlineStr">
        <is>
          <t>S014</t>
        </is>
      </c>
      <c r="D316" s="4" t="inlineStr">
        <is>
          <t>Letter public on 3 July; resignation offered 25 May. Gandhi accepted responsibility for the 2019 defeat. Congress won 52 seats. He called for accountability and said institutional neutrality had been weakened.</t>
        </is>
      </c>
      <c r="E316" s="5" t="inlineStr">
        <is>
          <t>https://www.ndtv.com/india-news/rahul-gandhis-open-letter-full-text-at-times-i-stood-completely-alone-2063455</t>
        </is>
      </c>
      <c r="F316" s="4" t="inlineStr">
        <is>
          <t>Resignation discussion; lines 225–248</t>
        </is>
      </c>
      <c r="G316" s="4" t="inlineStr">
        <is>
          <t>Supports</t>
        </is>
      </c>
      <c r="H316" s="4" t="inlineStr">
        <is>
          <t>R014</t>
        </is>
      </c>
      <c r="I316" s="4" t="inlineStr">
        <is>
          <t>Codex: passage-to-statement review</t>
        </is>
      </c>
      <c r="J316" s="4" t="inlineStr">
        <is>
          <t>2026-09-24</t>
        </is>
      </c>
      <c r="K316" s="4" t="inlineStr">
        <is>
          <t>Read as combined support where a field has several sources. Attributed statements establish what was said, not the underlying allegation.</t>
        </is>
      </c>
    </row>
    <row r="317" ht="80" customHeight="1">
      <c r="A317" s="6" t="inlineStr">
        <is>
          <t>EV-0312</t>
        </is>
      </c>
      <c r="B317" s="7" t="inlineStr">
        <is>
          <t>C-CT-P2-07-01</t>
        </is>
      </c>
      <c r="C317" s="7" t="inlineStr">
        <is>
          <t>S004</t>
        </is>
      </c>
      <c r="D317" s="6" t="inlineStr">
        <is>
          <t>Born 19 June 1970 to Rajiv and Sonia Gandhi. Entered electoral politics in 2004; AICC general secretary from 24 September 2007; vice-president January 2013; president from 16 December 2017. Lists the 2022–23 and 2024 yatras.</t>
        </is>
      </c>
      <c r="E317" s="7" t="inlineStr">
        <is>
          <t>https://inc.in/leadership/past-party-presidents/shri-rahul-gandhi</t>
        </is>
      </c>
      <c r="F317" s="6" t="inlineStr">
        <is>
          <t>Family; Political journey; Presidency; Post-presidency</t>
        </is>
      </c>
      <c r="G317" s="6" t="inlineStr">
        <is>
          <t>Supports</t>
        </is>
      </c>
      <c r="H317" s="6" t="inlineStr">
        <is>
          <t>R004</t>
        </is>
      </c>
      <c r="I317" s="6" t="inlineStr">
        <is>
          <t>Codex: passage-to-statement review</t>
        </is>
      </c>
      <c r="J317" s="6" t="inlineStr">
        <is>
          <t>2026-09-24</t>
        </is>
      </c>
      <c r="K317" s="6" t="inlineStr">
        <is>
          <t>Read as combined support where a field has several sources. Attributed statements establish what was said, not the underlying allegation.</t>
        </is>
      </c>
    </row>
    <row r="318" ht="80" customHeight="1">
      <c r="A318" s="4" t="inlineStr">
        <is>
          <t>EV-0313</t>
        </is>
      </c>
      <c r="B318" s="5" t="inlineStr">
        <is>
          <t>C-CT-P2-07-01</t>
        </is>
      </c>
      <c r="C318" s="5" t="inlineStr">
        <is>
          <t>S021</t>
        </is>
      </c>
      <c r="D318" s="4" t="inlineStr">
        <is>
          <t>Kerala Youth Congress figures criticised internal elections for factional conflict and diversion of resources; some favoured returning to nominations.</t>
        </is>
      </c>
      <c r="E318" s="5" t="inlineStr">
        <is>
          <t>https://indianexpress.com/article/political-pulse/in-kerala-youth-cong-dissent-over-rahuls-internal-election-system/</t>
        </is>
      </c>
      <c r="F318" s="4" t="inlineStr">
        <is>
          <t>Kerala Youth Congress camp; lines 101–110</t>
        </is>
      </c>
      <c r="G318" s="4" t="inlineStr">
        <is>
          <t>Supports</t>
        </is>
      </c>
      <c r="H318" s="4" t="inlineStr">
        <is>
          <t>R021</t>
        </is>
      </c>
      <c r="I318" s="4" t="inlineStr">
        <is>
          <t>Codex: passage-to-statement review</t>
        </is>
      </c>
      <c r="J318" s="4" t="inlineStr">
        <is>
          <t>2026-09-24</t>
        </is>
      </c>
      <c r="K318" s="4" t="inlineStr">
        <is>
          <t>Read as combined support where a field has several sources. Attributed statements establish what was said, not the underlying allegation.</t>
        </is>
      </c>
    </row>
    <row r="319" ht="66" customHeight="1">
      <c r="A319" s="6" t="inlineStr">
        <is>
          <t>EV-0314</t>
        </is>
      </c>
      <c r="B319" s="7" t="inlineStr">
        <is>
          <t>C-CT-P2-07-01</t>
        </is>
      </c>
      <c r="C319" s="7" t="inlineStr">
        <is>
          <t>S022</t>
        </is>
      </c>
      <c r="D319" s="6" t="inlineStr">
        <is>
          <t>IYC chief Rajiv Satav defended continued elections. Rahul’s reform replaced nominations in IYC/NSUI, aiming to reduce nepotism; critics alleged greater money influence.</t>
        </is>
      </c>
      <c r="E319" s="7" t="inlineStr">
        <is>
          <t>https://timesofindia.indiatimes.com/india/youth-congress-to-retain-internal-polls/articleshow/36734347.cms</t>
        </is>
      </c>
      <c r="F319" s="6" t="inlineStr">
        <is>
          <t>Internal reform and Rajiv Satav response; lines 119–133</t>
        </is>
      </c>
      <c r="G319" s="6" t="inlineStr">
        <is>
          <t>Supports</t>
        </is>
      </c>
      <c r="H319" s="6" t="inlineStr">
        <is>
          <t>R022</t>
        </is>
      </c>
      <c r="I319" s="6" t="inlineStr">
        <is>
          <t>Codex: passage-to-statement review</t>
        </is>
      </c>
      <c r="J319" s="6" t="inlineStr">
        <is>
          <t>2026-09-24</t>
        </is>
      </c>
      <c r="K319" s="6" t="inlineStr">
        <is>
          <t>Read as combined support where a field has several sources. Attributed statements establish what was said, not the underlying allegation.</t>
        </is>
      </c>
    </row>
    <row r="320" ht="80" customHeight="1">
      <c r="A320" s="4" t="inlineStr">
        <is>
          <t>EV-0315</t>
        </is>
      </c>
      <c r="B320" s="5" t="inlineStr">
        <is>
          <t>C-CT-P2-07-01</t>
        </is>
      </c>
      <c r="C320" s="5" t="inlineStr">
        <is>
          <t>S014</t>
        </is>
      </c>
      <c r="D320" s="4" t="inlineStr">
        <is>
          <t>Letter public on 3 July; resignation offered 25 May. Gandhi accepted responsibility for the 2019 defeat. Congress won 52 seats. He called for accountability and said institutional neutrality had been weakened.</t>
        </is>
      </c>
      <c r="E320" s="5" t="inlineStr">
        <is>
          <t>https://www.ndtv.com/india-news/rahul-gandhis-open-letter-full-text-at-times-i-stood-completely-alone-2063455</t>
        </is>
      </c>
      <c r="F320" s="4" t="inlineStr">
        <is>
          <t>Resignation discussion; lines 225–248</t>
        </is>
      </c>
      <c r="G320" s="4" t="inlineStr">
        <is>
          <t>Supports</t>
        </is>
      </c>
      <c r="H320" s="4" t="inlineStr">
        <is>
          <t>R014</t>
        </is>
      </c>
      <c r="I320" s="4" t="inlineStr">
        <is>
          <t>Codex: passage-to-statement review</t>
        </is>
      </c>
      <c r="J320" s="4" t="inlineStr">
        <is>
          <t>2026-09-24</t>
        </is>
      </c>
      <c r="K320" s="4" t="inlineStr">
        <is>
          <t>Read as combined support where a field has several sources. Attributed statements establish what was said, not the underlying allegation.</t>
        </is>
      </c>
    </row>
    <row r="321" ht="94" customHeight="1">
      <c r="A321" s="6" t="inlineStr">
        <is>
          <t>EV-0316</t>
        </is>
      </c>
      <c r="B321" s="7" t="inlineStr">
        <is>
          <t>C-CT-P2-08-01</t>
        </is>
      </c>
      <c r="C321" s="7" t="inlineStr">
        <is>
          <t>S037</t>
        </is>
      </c>
      <c r="D321" s="6" t="inlineStr">
        <is>
          <t>Gandhi opposed the land-acquisition amendments inside and outside Parliament; NDA allies Shiv Sena and Akali Dal also raised reservations.</t>
        </is>
      </c>
      <c r="E321" s="7" t="inlineStr">
        <is>
          <t>https://economictimes.indiatimes.com/news/politics-and-nation/rahul-gandhi-vows-to-oppose-land-bill-inside-and-outside-parliament/articleshow/47249971.cms</t>
        </is>
      </c>
      <c r="F321" s="6" t="inlineStr">
        <is>
          <t>Parliamentary debate report</t>
        </is>
      </c>
      <c r="G321" s="6" t="inlineStr">
        <is>
          <t>Supports</t>
        </is>
      </c>
      <c r="H321" s="6" t="inlineStr">
        <is>
          <t>R037</t>
        </is>
      </c>
      <c r="I321" s="6" t="inlineStr">
        <is>
          <t>Codex: passage-to-statement review</t>
        </is>
      </c>
      <c r="J321" s="6" t="inlineStr">
        <is>
          <t>2026-09-24</t>
        </is>
      </c>
      <c r="K321" s="6" t="inlineStr">
        <is>
          <t>Read as combined support where a field has several sources. Attributed statements establish what was said, not the underlying allegation.</t>
        </is>
      </c>
    </row>
    <row r="322" ht="66" customHeight="1">
      <c r="A322" s="4" t="inlineStr">
        <is>
          <t>EV-0317</t>
        </is>
      </c>
      <c r="B322" s="5" t="inlineStr">
        <is>
          <t>C-CT-P2-08-01</t>
        </is>
      </c>
      <c r="C322" s="5" t="inlineStr">
        <is>
          <t>S028</t>
        </is>
      </c>
      <c r="D322" s="4" t="inlineStr">
        <is>
          <t>Gandhi campaigned on a Rs 72000 transfer under NYAY if Congress came to power. He criticised GST’s effect on poor people and promised protection of tribal land.</t>
        </is>
      </c>
      <c r="E322" s="5" t="inlineStr">
        <is>
          <t>https://www.ndtv.com/india-news/rs-72-000-will-be-given-to-beneficiaries-under-nyay-scheme-rahul-gandhi-2031993</t>
        </is>
      </c>
      <c r="F322" s="4" t="inlineStr">
        <is>
          <t>Simdega speech; lines 231–242</t>
        </is>
      </c>
      <c r="G322" s="4" t="inlineStr">
        <is>
          <t>Supports</t>
        </is>
      </c>
      <c r="H322" s="4" t="inlineStr">
        <is>
          <t>R028</t>
        </is>
      </c>
      <c r="I322" s="4" t="inlineStr">
        <is>
          <t>Codex: passage-to-statement review</t>
        </is>
      </c>
      <c r="J322" s="4" t="inlineStr">
        <is>
          <t>2026-09-24</t>
        </is>
      </c>
      <c r="K322" s="4" t="inlineStr">
        <is>
          <t>Read as combined support where a field has several sources. Attributed statements establish what was said, not the underlying allegation.</t>
        </is>
      </c>
    </row>
    <row r="323" ht="66" customHeight="1">
      <c r="A323" s="6" t="inlineStr">
        <is>
          <t>EV-0318</t>
        </is>
      </c>
      <c r="B323" s="7" t="inlineStr">
        <is>
          <t>C-CT-P2-09-01</t>
        </is>
      </c>
      <c r="C323" s="7" t="inlineStr">
        <is>
          <t>S007</t>
        </is>
      </c>
      <c r="D323" s="6" t="inlineStr">
        <is>
          <t>Wayanad: Gandhi 706367 versus P.P. Suneer 274597; total votes 1092197; margin 431770. Amethi: Gandhi 413394 versus Smriti Irani 468514; total votes 942453; loss margin 55120.</t>
        </is>
      </c>
      <c r="E323" s="7" t="inlineStr">
        <is>
          <t>https://adrindia.org/sites/default/files/Analysis_of_Vote_Share_Margin_Of_Victory_Lok_Sabha__2019.pdf</t>
        </is>
      </c>
      <c r="F323" s="6" t="inlineStr">
        <is>
          <t>Printed pp.26 and 69; Wayanad and Amethi</t>
        </is>
      </c>
      <c r="G323" s="6" t="inlineStr">
        <is>
          <t>Supports</t>
        </is>
      </c>
      <c r="H323" s="6" t="inlineStr">
        <is>
          <t>R007</t>
        </is>
      </c>
      <c r="I323" s="6" t="inlineStr">
        <is>
          <t>Codex: passage-to-statement review</t>
        </is>
      </c>
      <c r="J323" s="6" t="inlineStr">
        <is>
          <t>2026-09-24</t>
        </is>
      </c>
      <c r="K323" s="6" t="inlineStr">
        <is>
          <t>Read as combined support where a field has several sources. Attributed statements establish what was said, not the underlying allegation.</t>
        </is>
      </c>
    </row>
    <row r="324" ht="66" customHeight="1">
      <c r="A324" s="4" t="inlineStr">
        <is>
          <t>EV-0319</t>
        </is>
      </c>
      <c r="B324" s="5" t="inlineStr">
        <is>
          <t>C-CT-P2-09-01</t>
        </is>
      </c>
      <c r="C324" s="5" t="inlineStr">
        <is>
          <t>S041</t>
        </is>
      </c>
      <c r="D324" s="4" t="inlineStr">
        <is>
          <t>Wayanad Rahul Gandhi INC; victory margin 431770; vote share 64.67%.</t>
        </is>
      </c>
      <c r="E324" s="5" t="inlineStr">
        <is>
          <t>https://www.ceo.kerala.gov.in/electedmembers</t>
        </is>
      </c>
      <c r="F324" s="4" t="inlineStr">
        <is>
          <t>2019 Lok Sabha; Wayanad row</t>
        </is>
      </c>
      <c r="G324" s="4" t="inlineStr">
        <is>
          <t>Supports</t>
        </is>
      </c>
      <c r="H324" s="4" t="inlineStr">
        <is>
          <t>R041</t>
        </is>
      </c>
      <c r="I324" s="4" t="inlineStr">
        <is>
          <t>Codex: passage-to-statement review</t>
        </is>
      </c>
      <c r="J324" s="4" t="inlineStr">
        <is>
          <t>2026-09-24</t>
        </is>
      </c>
      <c r="K324" s="4" t="inlineStr">
        <is>
          <t>Read as combined support where a field has several sources. Attributed statements establish what was said, not the underlying allegation.</t>
        </is>
      </c>
    </row>
    <row r="325" ht="80" customHeight="1">
      <c r="A325" s="6" t="inlineStr">
        <is>
          <t>EV-0320</t>
        </is>
      </c>
      <c r="B325" s="7" t="inlineStr">
        <is>
          <t>C-CT-P2-10-01</t>
        </is>
      </c>
      <c r="C325" s="7" t="inlineStr">
        <is>
          <t>S021</t>
        </is>
      </c>
      <c r="D325" s="6" t="inlineStr">
        <is>
          <t>Kerala Youth Congress figures criticised internal elections for factional conflict and diversion of resources; some favoured returning to nominations.</t>
        </is>
      </c>
      <c r="E325" s="7" t="inlineStr">
        <is>
          <t>https://indianexpress.com/article/political-pulse/in-kerala-youth-cong-dissent-over-rahuls-internal-election-system/</t>
        </is>
      </c>
      <c r="F325" s="6" t="inlineStr">
        <is>
          <t>Kerala Youth Congress camp; lines 101–110</t>
        </is>
      </c>
      <c r="G325" s="6" t="inlineStr">
        <is>
          <t>Supports</t>
        </is>
      </c>
      <c r="H325" s="6" t="inlineStr">
        <is>
          <t>R021</t>
        </is>
      </c>
      <c r="I325" s="6" t="inlineStr">
        <is>
          <t>Codex: passage-to-statement review</t>
        </is>
      </c>
      <c r="J325" s="6" t="inlineStr">
        <is>
          <t>2026-09-24</t>
        </is>
      </c>
      <c r="K325" s="6" t="inlineStr">
        <is>
          <t>Read as combined support where a field has several sources. Attributed statements establish what was said, not the underlying allegation.</t>
        </is>
      </c>
    </row>
    <row r="326" ht="66" customHeight="1">
      <c r="A326" s="4" t="inlineStr">
        <is>
          <t>EV-0321</t>
        </is>
      </c>
      <c r="B326" s="5" t="inlineStr">
        <is>
          <t>C-CT-P2-10-01</t>
        </is>
      </c>
      <c r="C326" s="5" t="inlineStr">
        <is>
          <t>S022</t>
        </is>
      </c>
      <c r="D326" s="4" t="inlineStr">
        <is>
          <t>IYC chief Rajiv Satav defended continued elections. Rahul’s reform replaced nominations in IYC/NSUI, aiming to reduce nepotism; critics alleged greater money influence.</t>
        </is>
      </c>
      <c r="E326" s="5" t="inlineStr">
        <is>
          <t>https://timesofindia.indiatimes.com/india/youth-congress-to-retain-internal-polls/articleshow/36734347.cms</t>
        </is>
      </c>
      <c r="F326" s="4" t="inlineStr">
        <is>
          <t>Internal reform and Rajiv Satav response; lines 119–133</t>
        </is>
      </c>
      <c r="G326" s="4" t="inlineStr">
        <is>
          <t>Supports</t>
        </is>
      </c>
      <c r="H326" s="4" t="inlineStr">
        <is>
          <t>R022</t>
        </is>
      </c>
      <c r="I326" s="4" t="inlineStr">
        <is>
          <t>Codex: passage-to-statement review</t>
        </is>
      </c>
      <c r="J326" s="4" t="inlineStr">
        <is>
          <t>2026-09-24</t>
        </is>
      </c>
      <c r="K326" s="4" t="inlineStr">
        <is>
          <t>Read as combined support where a field has several sources. Attributed statements establish what was said, not the underlying allegation.</t>
        </is>
      </c>
    </row>
    <row r="327" ht="80" customHeight="1">
      <c r="A327" s="6" t="inlineStr">
        <is>
          <t>EV-0322</t>
        </is>
      </c>
      <c r="B327" s="7" t="inlineStr">
        <is>
          <t>C-CT-P2-10-01</t>
        </is>
      </c>
      <c r="C327" s="7" t="inlineStr">
        <is>
          <t>S008</t>
        </is>
      </c>
      <c r="D327" s="6" t="inlineStr">
        <is>
          <t>2009: Gandhi 464195, Asheesh Shukla 93997, 71.78%. 2014: Gandhi 408651, Smriti Irani 300748.</t>
        </is>
      </c>
      <c r="E327" s="7" t="inlineStr">
        <is>
          <t>https://www.moneycontrol.com/elections/lok-sabha-election/uttar-pradesh/constituencies/amethi-constituency-s24led2008p037/</t>
        </is>
      </c>
      <c r="F327" s="6" t="inlineStr">
        <is>
          <t>Past election results; lines 459–466 and 510–520</t>
        </is>
      </c>
      <c r="G327" s="6" t="inlineStr">
        <is>
          <t>Supports</t>
        </is>
      </c>
      <c r="H327" s="6" t="inlineStr">
        <is>
          <t>R008</t>
        </is>
      </c>
      <c r="I327" s="6" t="inlineStr">
        <is>
          <t>Codex: passage-to-statement review</t>
        </is>
      </c>
      <c r="J327" s="6" t="inlineStr">
        <is>
          <t>2026-09-24</t>
        </is>
      </c>
      <c r="K327" s="6" t="inlineStr">
        <is>
          <t>Read as combined support where a field has several sources. Attributed statements establish what was said, not the underlying allegation.</t>
        </is>
      </c>
    </row>
    <row r="328" ht="80" customHeight="1">
      <c r="A328" s="4" t="inlineStr">
        <is>
          <t>EV-0323</t>
        </is>
      </c>
      <c r="B328" s="5" t="inlineStr">
        <is>
          <t>C-CT-P3-01-01</t>
        </is>
      </c>
      <c r="C328" s="5" t="inlineStr">
        <is>
          <t>S014</t>
        </is>
      </c>
      <c r="D328" s="4" t="inlineStr">
        <is>
          <t>Letter public on 3 July; resignation offered 25 May. Gandhi accepted responsibility for the 2019 defeat. Congress won 52 seats. He called for accountability and said institutional neutrality had been weakened.</t>
        </is>
      </c>
      <c r="E328" s="5" t="inlineStr">
        <is>
          <t>https://www.ndtv.com/india-news/rahul-gandhis-open-letter-full-text-at-times-i-stood-completely-alone-2063455</t>
        </is>
      </c>
      <c r="F328" s="4" t="inlineStr">
        <is>
          <t>Resignation discussion; lines 225–248</t>
        </is>
      </c>
      <c r="G328" s="4" t="inlineStr">
        <is>
          <t>Supports</t>
        </is>
      </c>
      <c r="H328" s="4" t="inlineStr">
        <is>
          <t>R014</t>
        </is>
      </c>
      <c r="I328" s="4" t="inlineStr">
        <is>
          <t>Codex: passage-to-statement review</t>
        </is>
      </c>
      <c r="J328" s="4" t="inlineStr">
        <is>
          <t>2026-09-24</t>
        </is>
      </c>
      <c r="K328" s="4" t="inlineStr">
        <is>
          <t>Read as combined support where a field has several sources. Attributed statements establish what was said, not the underlying allegation.</t>
        </is>
      </c>
    </row>
    <row r="329" ht="80" customHeight="1">
      <c r="A329" s="6" t="inlineStr">
        <is>
          <t>EV-0324</t>
        </is>
      </c>
      <c r="B329" s="7" t="inlineStr">
        <is>
          <t>C-CT-P3-01-01</t>
        </is>
      </c>
      <c r="C329" s="7" t="inlineStr">
        <is>
          <t>S023</t>
        </is>
      </c>
      <c r="D329" s="6" t="inlineStr">
        <is>
          <t>Reuters depicts a recovery in Gandhi’s image after two marches. Analyst Rahul Verma credits mobilisation and clearer ideological opposition. Kharge was party president while Gandhi remained its prominent campaign face.</t>
        </is>
      </c>
      <c r="E329" s="7" t="inlineStr">
        <is>
          <t>https://www.marketscreener.com/news/latest/Ridiculed-for-a-decade-India-s-Rahul-Gandhi-slows-Modi-juggernaut-46900641/</t>
        </is>
      </c>
      <c r="F329" s="6" t="inlineStr">
        <is>
          <t>Opening and analyst Rahul Verma; lines 932–946</t>
        </is>
      </c>
      <c r="G329" s="6" t="inlineStr">
        <is>
          <t>Supports</t>
        </is>
      </c>
      <c r="H329" s="6" t="inlineStr">
        <is>
          <t>R023</t>
        </is>
      </c>
      <c r="I329" s="6" t="inlineStr">
        <is>
          <t>Codex: passage-to-statement review</t>
        </is>
      </c>
      <c r="J329" s="6" t="inlineStr">
        <is>
          <t>2026-09-24</t>
        </is>
      </c>
      <c r="K329" s="6" t="inlineStr">
        <is>
          <t>Read as combined support where a field has several sources. Attributed statements establish what was said, not the underlying allegation.</t>
        </is>
      </c>
    </row>
    <row r="330" ht="80" customHeight="1">
      <c r="A330" s="4" t="inlineStr">
        <is>
          <t>EV-0325</t>
        </is>
      </c>
      <c r="B330" s="5" t="inlineStr">
        <is>
          <t>C-CT-P3-02-01</t>
        </is>
      </c>
      <c r="C330" s="5" t="inlineStr">
        <is>
          <t>S010</t>
        </is>
      </c>
      <c r="D330" s="4" t="inlineStr">
        <is>
          <t>The Court stayed the conviction pending appeal, noting lack of reasons for the maximum two-year sentence and effects on voters. It also criticised the remarks and reserved the merits for the appellate court.</t>
        </is>
      </c>
      <c r="E330" s="5" t="inlineStr">
        <is>
          <t>https://api.sci.gov.in/supremecourt/2023/27941/27941_2023_4_55_45901_Order_04-Aug-2023.pdf</t>
        </is>
      </c>
      <c r="F330" s="4" t="inlineStr">
        <is>
          <t>Order paragraphs 4–11; pp.2–4</t>
        </is>
      </c>
      <c r="G330" s="4" t="inlineStr">
        <is>
          <t>Supports</t>
        </is>
      </c>
      <c r="H330" s="4" t="inlineStr">
        <is>
          <t>R010</t>
        </is>
      </c>
      <c r="I330" s="4" t="inlineStr">
        <is>
          <t>Codex: passage-to-statement review</t>
        </is>
      </c>
      <c r="J330" s="4" t="inlineStr">
        <is>
          <t>2026-09-24</t>
        </is>
      </c>
      <c r="K330" s="4" t="inlineStr">
        <is>
          <t>Read as combined support where a field has several sources. Attributed statements establish what was said, not the underlying allegation.</t>
        </is>
      </c>
    </row>
    <row r="331" ht="66" customHeight="1">
      <c r="A331" s="6" t="inlineStr">
        <is>
          <t>EV-0326</t>
        </is>
      </c>
      <c r="B331" s="7" t="inlineStr">
        <is>
          <t>C-CT-P3-02-01</t>
        </is>
      </c>
      <c r="C331" s="7" t="inlineStr">
        <is>
          <t>S011</t>
        </is>
      </c>
      <c r="D331" s="6" t="inlineStr">
        <is>
          <t>Lok Sabha Secretariat restored membership on 7 August 2023 after the Supreme Court stay. Disqualification operated from 23 March 2023 following the conviction.</t>
        </is>
      </c>
      <c r="E331" s="7" t="inlineStr">
        <is>
          <t>https://indianexpress.com/article/political-pulse/rahul-gandhi-returns-mp-lok-sabha-supreme-court-8880307/</t>
        </is>
      </c>
      <c r="F331" s="6" t="inlineStr">
        <is>
          <t>Opening and closing paragraphs</t>
        </is>
      </c>
      <c r="G331" s="6" t="inlineStr">
        <is>
          <t>Supports</t>
        </is>
      </c>
      <c r="H331" s="6" t="inlineStr">
        <is>
          <t>R011</t>
        </is>
      </c>
      <c r="I331" s="6" t="inlineStr">
        <is>
          <t>Codex: passage-to-statement review</t>
        </is>
      </c>
      <c r="J331" s="6" t="inlineStr">
        <is>
          <t>2026-09-24</t>
        </is>
      </c>
      <c r="K331" s="6" t="inlineStr">
        <is>
          <t>Read as combined support where a field has several sources. Attributed statements establish what was said, not the underlying allegation.</t>
        </is>
      </c>
    </row>
    <row r="332" ht="66" customHeight="1">
      <c r="A332" s="4" t="inlineStr">
        <is>
          <t>EV-0327</t>
        </is>
      </c>
      <c r="B332" s="5" t="inlineStr">
        <is>
          <t>C-CT-P3-03-01</t>
        </is>
      </c>
      <c r="C332" s="5" t="inlineStr">
        <is>
          <t>S042</t>
        </is>
      </c>
      <c r="D332" s="4" t="inlineStr">
        <is>
          <t>Wayanad term displayed 23 May 2019–5 June 2024. PRS records 51% attendance, 8 debates, 99 questions and zero private bills. Lists railway, farmers and connectivity interventions.</t>
        </is>
      </c>
      <c r="E332" s="5" t="inlineStr">
        <is>
          <t>https://prsindia.org/mptrack/17-lok-sabha/rahul-gandhi</t>
        </is>
      </c>
      <c r="F332" s="4" t="inlineStr">
        <is>
          <t>Profile; activity from 1 June 2019 to 10 February 2024</t>
        </is>
      </c>
      <c r="G332" s="4" t="inlineStr">
        <is>
          <t>Supports</t>
        </is>
      </c>
      <c r="H332" s="4" t="inlineStr">
        <is>
          <t>R042</t>
        </is>
      </c>
      <c r="I332" s="4" t="inlineStr">
        <is>
          <t>Codex: passage-to-statement review</t>
        </is>
      </c>
      <c r="J332" s="4" t="inlineStr">
        <is>
          <t>2026-09-24</t>
        </is>
      </c>
      <c r="K332" s="4" t="inlineStr">
        <is>
          <t>Read as combined support where a field has several sources. Attributed statements establish what was said, not the underlying allegation.</t>
        </is>
      </c>
    </row>
    <row r="333" ht="66" customHeight="1">
      <c r="A333" s="6" t="inlineStr">
        <is>
          <t>EV-0328</t>
        </is>
      </c>
      <c r="B333" s="7" t="inlineStr">
        <is>
          <t>C-CT-P3-03-01</t>
        </is>
      </c>
      <c r="C333" s="7" t="inlineStr">
        <is>
          <t>S011</t>
        </is>
      </c>
      <c r="D333" s="6" t="inlineStr">
        <is>
          <t>Lok Sabha Secretariat restored membership on 7 August 2023 after the Supreme Court stay. Disqualification operated from 23 March 2023 following the conviction.</t>
        </is>
      </c>
      <c r="E333" s="7" t="inlineStr">
        <is>
          <t>https://indianexpress.com/article/political-pulse/rahul-gandhi-returns-mp-lok-sabha-supreme-court-8880307/</t>
        </is>
      </c>
      <c r="F333" s="6" t="inlineStr">
        <is>
          <t>Opening and closing paragraphs</t>
        </is>
      </c>
      <c r="G333" s="6" t="inlineStr">
        <is>
          <t>Supports</t>
        </is>
      </c>
      <c r="H333" s="6" t="inlineStr">
        <is>
          <t>R011</t>
        </is>
      </c>
      <c r="I333" s="6" t="inlineStr">
        <is>
          <t>Codex: passage-to-statement review</t>
        </is>
      </c>
      <c r="J333" s="6" t="inlineStr">
        <is>
          <t>2026-09-24</t>
        </is>
      </c>
      <c r="K333" s="6" t="inlineStr">
        <is>
          <t>Read as combined support where a field has several sources. Attributed statements establish what was said, not the underlying allegation.</t>
        </is>
      </c>
    </row>
    <row r="334" ht="66" customHeight="1">
      <c r="A334" s="4" t="inlineStr">
        <is>
          <t>EV-0329</t>
        </is>
      </c>
      <c r="B334" s="5" t="inlineStr">
        <is>
          <t>C-CT-P3-04-01</t>
        </is>
      </c>
      <c r="C334" s="5" t="inlineStr">
        <is>
          <t>S018</t>
        </is>
      </c>
      <c r="D334" s="4" t="inlineStr">
        <is>
          <t>Promises a one-year apprenticeship paying Rs 1 lakh for diploma holders/graduates under 25; filling central vacancies; action on exam-paper leaks; education policy consultation with states.</t>
        </is>
      </c>
      <c r="E334" s="5" t="inlineStr">
        <is>
          <t>https://manifesto.inc.in/en/youth/</t>
        </is>
      </c>
      <c r="F334" s="4" t="inlineStr">
        <is>
          <t>Jobs 1–3 and Education 2, 13</t>
        </is>
      </c>
      <c r="G334" s="4" t="inlineStr">
        <is>
          <t>Supports</t>
        </is>
      </c>
      <c r="H334" s="4" t="inlineStr">
        <is>
          <t>R018</t>
        </is>
      </c>
      <c r="I334" s="4" t="inlineStr">
        <is>
          <t>Codex: passage-to-statement review</t>
        </is>
      </c>
      <c r="J334" s="4" t="inlineStr">
        <is>
          <t>2026-09-24</t>
        </is>
      </c>
      <c r="K334" s="4" t="inlineStr">
        <is>
          <t>Read as combined support where a field has several sources. Attributed statements establish what was said, not the underlying allegation.</t>
        </is>
      </c>
    </row>
    <row r="335" ht="66" customHeight="1">
      <c r="A335" s="6" t="inlineStr">
        <is>
          <t>EV-0330</t>
        </is>
      </c>
      <c r="B335" s="7" t="inlineStr">
        <is>
          <t>C-CT-P3-04-01</t>
        </is>
      </c>
      <c r="C335" s="7" t="inlineStr">
        <is>
          <t>S019</t>
        </is>
      </c>
      <c r="D335" s="6" t="inlineStr">
        <is>
          <t>Promises statutory MSP guarantees, a statutory CACP and choices of agricultural marketing channels.</t>
        </is>
      </c>
      <c r="E335" s="7" t="inlineStr">
        <is>
          <t>https://manifesto.inc.in/en/farmers/</t>
        </is>
      </c>
      <c r="F335" s="6" t="inlineStr">
        <is>
          <t>Agriculture 1–6</t>
        </is>
      </c>
      <c r="G335" s="6" t="inlineStr">
        <is>
          <t>Supports</t>
        </is>
      </c>
      <c r="H335" s="6" t="inlineStr">
        <is>
          <t>R019</t>
        </is>
      </c>
      <c r="I335" s="6" t="inlineStr">
        <is>
          <t>Codex: passage-to-statement review</t>
        </is>
      </c>
      <c r="J335" s="6" t="inlineStr">
        <is>
          <t>2026-09-24</t>
        </is>
      </c>
      <c r="K335" s="6" t="inlineStr">
        <is>
          <t>Read as combined support where a field has several sources. Attributed statements establish what was said, not the underlying allegation.</t>
        </is>
      </c>
    </row>
    <row r="336" ht="66" customHeight="1">
      <c r="A336" s="4" t="inlineStr">
        <is>
          <t>EV-0331</t>
        </is>
      </c>
      <c r="B336" s="5" t="inlineStr">
        <is>
          <t>C-CT-P3-04-01</t>
        </is>
      </c>
      <c r="C336" s="5" t="inlineStr">
        <is>
          <t>S017</t>
        </is>
      </c>
      <c r="D336" s="4" t="inlineStr">
        <is>
          <t>Proposes Rs 1 lakh yearly for each poor family, normally paid to its oldest woman; staged rollout. Promises earlier women’s seat reservation and half of central government jobs for women.</t>
        </is>
      </c>
      <c r="E336" s="5" t="inlineStr">
        <is>
          <t>https://manifesto.inc.in/en/women/</t>
        </is>
      </c>
      <c r="F336" s="4" t="inlineStr">
        <is>
          <t>Mahalakshmi 1–3; Women’s Empowerment 1–2</t>
        </is>
      </c>
      <c r="G336" s="4" t="inlineStr">
        <is>
          <t>Supports</t>
        </is>
      </c>
      <c r="H336" s="4" t="inlineStr">
        <is>
          <t>R017</t>
        </is>
      </c>
      <c r="I336" s="4" t="inlineStr">
        <is>
          <t>Codex: passage-to-statement review</t>
        </is>
      </c>
      <c r="J336" s="4" t="inlineStr">
        <is>
          <t>2026-09-24</t>
        </is>
      </c>
      <c r="K336" s="4" t="inlineStr">
        <is>
          <t>Read as combined support where a field has several sources. Attributed statements establish what was said, not the underlying allegation.</t>
        </is>
      </c>
    </row>
    <row r="337" ht="80" customHeight="1">
      <c r="A337" s="6" t="inlineStr">
        <is>
          <t>EV-0332</t>
        </is>
      </c>
      <c r="B337" s="7" t="inlineStr">
        <is>
          <t>C-CT-P3-05-01</t>
        </is>
      </c>
      <c r="C337" s="7" t="inlineStr">
        <is>
          <t>S020</t>
        </is>
      </c>
      <c r="D337" s="6" t="inlineStr">
        <is>
          <t>Defence platform calls for a national security strategy and ending Agnipath; foreign-policy platform stresses continuity in strategic autonomy. Proposes parliamentary select-committee oversight of the NSC and NSA.</t>
        </is>
      </c>
      <c r="E337" s="7" t="inlineStr">
        <is>
          <t>https://manifesto.inc.in/en/national-security/</t>
        </is>
      </c>
      <c r="F337" s="6" t="inlineStr">
        <is>
          <t>Defence and Foreign Policy</t>
        </is>
      </c>
      <c r="G337" s="6" t="inlineStr">
        <is>
          <t>Supports</t>
        </is>
      </c>
      <c r="H337" s="6" t="inlineStr">
        <is>
          <t>R020</t>
        </is>
      </c>
      <c r="I337" s="6" t="inlineStr">
        <is>
          <t>Codex: passage-to-statement review</t>
        </is>
      </c>
      <c r="J337" s="6" t="inlineStr">
        <is>
          <t>2026-09-24</t>
        </is>
      </c>
      <c r="K337" s="6" t="inlineStr">
        <is>
          <t>Read as combined support where a field has several sources. Attributed statements establish what was said, not the underlying allegation.</t>
        </is>
      </c>
    </row>
    <row r="338" ht="66" customHeight="1">
      <c r="A338" s="4" t="inlineStr">
        <is>
          <t>EV-0333</t>
        </is>
      </c>
      <c r="B338" s="5" t="inlineStr">
        <is>
          <t>C-CT-P3-06-01</t>
        </is>
      </c>
      <c r="C338" s="5" t="inlineStr">
        <is>
          <t>S015</t>
        </is>
      </c>
      <c r="D338" s="4" t="inlineStr">
        <is>
          <t>The march begun in Kanyakumari on 7 September 2022 concluded in Srinagar on 30 January 2023. Gandhi invoked family loss and nonviolence; described security advice against walking in Kashmir.</t>
        </is>
      </c>
      <c r="E338" s="5" t="inlineStr">
        <is>
          <t>https://indianexpress.com/article/political-pulse/rahul-modi-shah-doval-srinagar-bharat-jodo-yatra-8413548/</t>
        </is>
      </c>
      <c r="F338" s="4" t="inlineStr">
        <is>
          <t>Concluding rally; lines 19–36</t>
        </is>
      </c>
      <c r="G338" s="4" t="inlineStr">
        <is>
          <t>Supports</t>
        </is>
      </c>
      <c r="H338" s="4" t="inlineStr">
        <is>
          <t>R015</t>
        </is>
      </c>
      <c r="I338" s="4" t="inlineStr">
        <is>
          <t>Codex: passage-to-statement review</t>
        </is>
      </c>
      <c r="J338" s="4" t="inlineStr">
        <is>
          <t>2026-09-24</t>
        </is>
      </c>
      <c r="K338" s="4" t="inlineStr">
        <is>
          <t>Read as combined support where a field has several sources. Attributed statements establish what was said, not the underlying allegation.</t>
        </is>
      </c>
    </row>
    <row r="339" ht="66" customHeight="1">
      <c r="A339" s="6" t="inlineStr">
        <is>
          <t>EV-0334</t>
        </is>
      </c>
      <c r="B339" s="7" t="inlineStr">
        <is>
          <t>C-CT-P3-06-01</t>
        </is>
      </c>
      <c r="C339" s="7" t="inlineStr">
        <is>
          <t>S025</t>
        </is>
      </c>
      <c r="D339" s="6" t="inlineStr">
        <is>
          <t>Laul interprets discussion of Gandhi walking in a T-shirt in cold weather through local masculine ideals of physical endurance and leadership.</t>
        </is>
      </c>
      <c r="E339" s="7" t="inlineStr">
        <is>
          <t>https://m.thewire.in/article/politics/rahul-gandhi-t-shirt</t>
        </is>
      </c>
      <c r="F339" s="6" t="inlineStr">
        <is>
          <t>Opening argument; lines 47–65</t>
        </is>
      </c>
      <c r="G339" s="6" t="inlineStr">
        <is>
          <t>Supports</t>
        </is>
      </c>
      <c r="H339" s="6" t="inlineStr">
        <is>
          <t>R025</t>
        </is>
      </c>
      <c r="I339" s="6" t="inlineStr">
        <is>
          <t>Codex: passage-to-statement review</t>
        </is>
      </c>
      <c r="J339" s="6" t="inlineStr">
        <is>
          <t>2026-09-24</t>
        </is>
      </c>
      <c r="K339" s="6" t="inlineStr">
        <is>
          <t>Read as combined support where a field has several sources. Attributed statements establish what was said, not the underlying allegation.</t>
        </is>
      </c>
    </row>
    <row r="340" ht="80" customHeight="1">
      <c r="A340" s="4" t="inlineStr">
        <is>
          <t>EV-0335</t>
        </is>
      </c>
      <c r="B340" s="5" t="inlineStr">
        <is>
          <t>C-CT-P3-06-01</t>
        </is>
      </c>
      <c r="C340" s="5" t="inlineStr">
        <is>
          <t>S023</t>
        </is>
      </c>
      <c r="D340" s="4" t="inlineStr">
        <is>
          <t>Reuters depicts a recovery in Gandhi’s image after two marches. Analyst Rahul Verma credits mobilisation and clearer ideological opposition. Kharge was party president while Gandhi remained its prominent campaign face.</t>
        </is>
      </c>
      <c r="E340" s="5" t="inlineStr">
        <is>
          <t>https://www.marketscreener.com/news/latest/Ridiculed-for-a-decade-India-s-Rahul-Gandhi-slows-Modi-juggernaut-46900641/</t>
        </is>
      </c>
      <c r="F340" s="4" t="inlineStr">
        <is>
          <t>Opening and analyst Rahul Verma; lines 932–946</t>
        </is>
      </c>
      <c r="G340" s="4" t="inlineStr">
        <is>
          <t>Supports</t>
        </is>
      </c>
      <c r="H340" s="4" t="inlineStr">
        <is>
          <t>R023</t>
        </is>
      </c>
      <c r="I340" s="4" t="inlineStr">
        <is>
          <t>Codex: passage-to-statement review</t>
        </is>
      </c>
      <c r="J340" s="4" t="inlineStr">
        <is>
          <t>2026-09-24</t>
        </is>
      </c>
      <c r="K340" s="4" t="inlineStr">
        <is>
          <t>Read as combined support where a field has several sources. Attributed statements establish what was said, not the underlying allegation.</t>
        </is>
      </c>
    </row>
    <row r="341" ht="80" customHeight="1">
      <c r="A341" s="6" t="inlineStr">
        <is>
          <t>EV-0336</t>
        </is>
      </c>
      <c r="B341" s="7" t="inlineStr">
        <is>
          <t>C-CT-P3-07-01</t>
        </is>
      </c>
      <c r="C341" s="7" t="inlineStr">
        <is>
          <t>S004</t>
        </is>
      </c>
      <c r="D341" s="6" t="inlineStr">
        <is>
          <t>Born 19 June 1970 to Rajiv and Sonia Gandhi. Entered electoral politics in 2004; AICC general secretary from 24 September 2007; vice-president January 2013; president from 16 December 2017. Lists the 2022–23 and 2024 yatras.</t>
        </is>
      </c>
      <c r="E341" s="7" t="inlineStr">
        <is>
          <t>https://inc.in/leadership/past-party-presidents/shri-rahul-gandhi</t>
        </is>
      </c>
      <c r="F341" s="6" t="inlineStr">
        <is>
          <t>Family; Political journey; Presidency; Post-presidency</t>
        </is>
      </c>
      <c r="G341" s="6" t="inlineStr">
        <is>
          <t>Supports</t>
        </is>
      </c>
      <c r="H341" s="6" t="inlineStr">
        <is>
          <t>R004</t>
        </is>
      </c>
      <c r="I341" s="6" t="inlineStr">
        <is>
          <t>Codex: passage-to-statement review</t>
        </is>
      </c>
      <c r="J341" s="6" t="inlineStr">
        <is>
          <t>2026-09-24</t>
        </is>
      </c>
      <c r="K341" s="6" t="inlineStr">
        <is>
          <t>Read as combined support where a field has several sources. Attributed statements establish what was said, not the underlying allegation.</t>
        </is>
      </c>
    </row>
    <row r="342" ht="66" customHeight="1">
      <c r="A342" s="4" t="inlineStr">
        <is>
          <t>EV-0337</t>
        </is>
      </c>
      <c r="B342" s="5" t="inlineStr">
        <is>
          <t>C-CT-P3-07-01</t>
        </is>
      </c>
      <c r="C342" s="5" t="inlineStr">
        <is>
          <t>S015</t>
        </is>
      </c>
      <c r="D342" s="4" t="inlineStr">
        <is>
          <t>The march begun in Kanyakumari on 7 September 2022 concluded in Srinagar on 30 January 2023. Gandhi invoked family loss and nonviolence; described security advice against walking in Kashmir.</t>
        </is>
      </c>
      <c r="E342" s="5" t="inlineStr">
        <is>
          <t>https://indianexpress.com/article/political-pulse/rahul-modi-shah-doval-srinagar-bharat-jodo-yatra-8413548/</t>
        </is>
      </c>
      <c r="F342" s="4" t="inlineStr">
        <is>
          <t>Concluding rally; lines 19–36</t>
        </is>
      </c>
      <c r="G342" s="4" t="inlineStr">
        <is>
          <t>Supports</t>
        </is>
      </c>
      <c r="H342" s="4" t="inlineStr">
        <is>
          <t>R015</t>
        </is>
      </c>
      <c r="I342" s="4" t="inlineStr">
        <is>
          <t>Codex: passage-to-statement review</t>
        </is>
      </c>
      <c r="J342" s="4" t="inlineStr">
        <is>
          <t>2026-09-24</t>
        </is>
      </c>
      <c r="K342" s="4" t="inlineStr">
        <is>
          <t>Read as combined support where a field has several sources. Attributed statements establish what was said, not the underlying allegation.</t>
        </is>
      </c>
    </row>
    <row r="343" ht="80" customHeight="1">
      <c r="A343" s="6" t="inlineStr">
        <is>
          <t>EV-0338</t>
        </is>
      </c>
      <c r="B343" s="7" t="inlineStr">
        <is>
          <t>C-CT-P3-07-01</t>
        </is>
      </c>
      <c r="C343" s="7" t="inlineStr">
        <is>
          <t>S023</t>
        </is>
      </c>
      <c r="D343" s="6" t="inlineStr">
        <is>
          <t>Reuters depicts a recovery in Gandhi’s image after two marches. Analyst Rahul Verma credits mobilisation and clearer ideological opposition. Kharge was party president while Gandhi remained its prominent campaign face.</t>
        </is>
      </c>
      <c r="E343" s="7" t="inlineStr">
        <is>
          <t>https://www.marketscreener.com/news/latest/Ridiculed-for-a-decade-India-s-Rahul-Gandhi-slows-Modi-juggernaut-46900641/</t>
        </is>
      </c>
      <c r="F343" s="6" t="inlineStr">
        <is>
          <t>Opening and analyst Rahul Verma; lines 932–946</t>
        </is>
      </c>
      <c r="G343" s="6" t="inlineStr">
        <is>
          <t>Supports</t>
        </is>
      </c>
      <c r="H343" s="6" t="inlineStr">
        <is>
          <t>R023</t>
        </is>
      </c>
      <c r="I343" s="6" t="inlineStr">
        <is>
          <t>Codex: passage-to-statement review</t>
        </is>
      </c>
      <c r="J343" s="6" t="inlineStr">
        <is>
          <t>2026-09-24</t>
        </is>
      </c>
      <c r="K343" s="6" t="inlineStr">
        <is>
          <t>Read as combined support where a field has several sources. Attributed statements establish what was said, not the underlying allegation.</t>
        </is>
      </c>
    </row>
    <row r="344" ht="66" customHeight="1">
      <c r="A344" s="4" t="inlineStr">
        <is>
          <t>EV-0339</t>
        </is>
      </c>
      <c r="B344" s="5" t="inlineStr">
        <is>
          <t>C-CT-P3-08-01</t>
        </is>
      </c>
      <c r="C344" s="5" t="inlineStr">
        <is>
          <t>S015</t>
        </is>
      </c>
      <c r="D344" s="4" t="inlineStr">
        <is>
          <t>The march begun in Kanyakumari on 7 September 2022 concluded in Srinagar on 30 January 2023. Gandhi invoked family loss and nonviolence; described security advice against walking in Kashmir.</t>
        </is>
      </c>
      <c r="E344" s="5" t="inlineStr">
        <is>
          <t>https://indianexpress.com/article/political-pulse/rahul-modi-shah-doval-srinagar-bharat-jodo-yatra-8413548/</t>
        </is>
      </c>
      <c r="F344" s="4" t="inlineStr">
        <is>
          <t>Concluding rally; lines 19–36</t>
        </is>
      </c>
      <c r="G344" s="4" t="inlineStr">
        <is>
          <t>Supports</t>
        </is>
      </c>
      <c r="H344" s="4" t="inlineStr">
        <is>
          <t>R015</t>
        </is>
      </c>
      <c r="I344" s="4" t="inlineStr">
        <is>
          <t>Codex: passage-to-statement review</t>
        </is>
      </c>
      <c r="J344" s="4" t="inlineStr">
        <is>
          <t>2026-09-24</t>
        </is>
      </c>
      <c r="K344" s="4" t="inlineStr">
        <is>
          <t>Read as combined support where a field has several sources. Attributed statements establish what was said, not the underlying allegation.</t>
        </is>
      </c>
    </row>
    <row r="345" ht="66" customHeight="1">
      <c r="A345" s="6" t="inlineStr">
        <is>
          <t>EV-0340</t>
        </is>
      </c>
      <c r="B345" s="7" t="inlineStr">
        <is>
          <t>C-CT-P3-08-01</t>
        </is>
      </c>
      <c r="C345" s="7" t="inlineStr">
        <is>
          <t>S016</t>
        </is>
      </c>
      <c r="D345" s="6" t="inlineStr">
        <is>
          <t>Manifesto promises a socioeconomic caste census, raising the 50% reservation cap, minority rights protection and consultation toward a law recognising LGBTQIA+ civil unions.</t>
        </is>
      </c>
      <c r="E345" s="7" t="inlineStr">
        <is>
          <t>https://manifesto.inc.in/en/equity/</t>
        </is>
      </c>
      <c r="F345" s="6" t="inlineStr">
        <is>
          <t>Social Justice 1–2; minority rights; LGBTQIA+ 11</t>
        </is>
      </c>
      <c r="G345" s="6" t="inlineStr">
        <is>
          <t>Supports</t>
        </is>
      </c>
      <c r="H345" s="6" t="inlineStr">
        <is>
          <t>R016</t>
        </is>
      </c>
      <c r="I345" s="6" t="inlineStr">
        <is>
          <t>Codex: passage-to-statement review</t>
        </is>
      </c>
      <c r="J345" s="6" t="inlineStr">
        <is>
          <t>2026-09-24</t>
        </is>
      </c>
      <c r="K345" s="6" t="inlineStr">
        <is>
          <t>Read as combined support where a field has several sources. Attributed statements establish what was said, not the underlying allegation.</t>
        </is>
      </c>
    </row>
    <row r="346" ht="66" customHeight="1">
      <c r="A346" s="4" t="inlineStr">
        <is>
          <t>EV-0341</t>
        </is>
      </c>
      <c r="B346" s="5" t="inlineStr">
        <is>
          <t>C-CT-P3-09-01</t>
        </is>
      </c>
      <c r="C346" s="5" t="inlineStr">
        <is>
          <t>S042</t>
        </is>
      </c>
      <c r="D346" s="4" t="inlineStr">
        <is>
          <t>Wayanad term displayed 23 May 2019–5 June 2024. PRS records 51% attendance, 8 debates, 99 questions and zero private bills. Lists railway, farmers and connectivity interventions.</t>
        </is>
      </c>
      <c r="E346" s="5" t="inlineStr">
        <is>
          <t>https://prsindia.org/mptrack/17-lok-sabha/rahul-gandhi</t>
        </is>
      </c>
      <c r="F346" s="4" t="inlineStr">
        <is>
          <t>Profile; activity from 1 June 2019 to 10 February 2024</t>
        </is>
      </c>
      <c r="G346" s="4" t="inlineStr">
        <is>
          <t>Supports</t>
        </is>
      </c>
      <c r="H346" s="4" t="inlineStr">
        <is>
          <t>R042</t>
        </is>
      </c>
      <c r="I346" s="4" t="inlineStr">
        <is>
          <t>Codex: passage-to-statement review</t>
        </is>
      </c>
      <c r="J346" s="4" t="inlineStr">
        <is>
          <t>2026-09-24</t>
        </is>
      </c>
      <c r="K346" s="4" t="inlineStr">
        <is>
          <t>Read as combined support where a field has several sources. Attributed statements establish what was said, not the underlying allegation.</t>
        </is>
      </c>
    </row>
    <row r="347" ht="80" customHeight="1">
      <c r="A347" s="6" t="inlineStr">
        <is>
          <t>EV-0342</t>
        </is>
      </c>
      <c r="B347" s="7" t="inlineStr">
        <is>
          <t>C-CT-P3-09-01</t>
        </is>
      </c>
      <c r="C347" s="7" t="inlineStr">
        <is>
          <t>S004</t>
        </is>
      </c>
      <c r="D347" s="6" t="inlineStr">
        <is>
          <t>Born 19 June 1970 to Rajiv and Sonia Gandhi. Entered electoral politics in 2004; AICC general secretary from 24 September 2007; vice-president January 2013; president from 16 December 2017. Lists the 2022–23 and 2024 yatras.</t>
        </is>
      </c>
      <c r="E347" s="7" t="inlineStr">
        <is>
          <t>https://inc.in/leadership/past-party-presidents/shri-rahul-gandhi</t>
        </is>
      </c>
      <c r="F347" s="6" t="inlineStr">
        <is>
          <t>Family; Political journey; Presidency; Post-presidency</t>
        </is>
      </c>
      <c r="G347" s="6" t="inlineStr">
        <is>
          <t>Supports</t>
        </is>
      </c>
      <c r="H347" s="6" t="inlineStr">
        <is>
          <t>R004</t>
        </is>
      </c>
      <c r="I347" s="6" t="inlineStr">
        <is>
          <t>Codex: passage-to-statement review</t>
        </is>
      </c>
      <c r="J347" s="6" t="inlineStr">
        <is>
          <t>2026-09-24</t>
        </is>
      </c>
      <c r="K347" s="6" t="inlineStr">
        <is>
          <t>Read as combined support where a field has several sources. Attributed statements establish what was said, not the underlying allegation.</t>
        </is>
      </c>
    </row>
    <row r="348" ht="80" customHeight="1">
      <c r="A348" s="4" t="inlineStr">
        <is>
          <t>EV-0343</t>
        </is>
      </c>
      <c r="B348" s="5" t="inlineStr">
        <is>
          <t>C-CT-P3-10-01</t>
        </is>
      </c>
      <c r="C348" s="5" t="inlineStr">
        <is>
          <t>S010</t>
        </is>
      </c>
      <c r="D348" s="4" t="inlineStr">
        <is>
          <t>The Court stayed the conviction pending appeal, noting lack of reasons for the maximum two-year sentence and effects on voters. It also criticised the remarks and reserved the merits for the appellate court.</t>
        </is>
      </c>
      <c r="E348" s="5" t="inlineStr">
        <is>
          <t>https://api.sci.gov.in/supremecourt/2023/27941/27941_2023_4_55_45901_Order_04-Aug-2023.pdf</t>
        </is>
      </c>
      <c r="F348" s="4" t="inlineStr">
        <is>
          <t>Order paragraphs 4–11; pp.2–4</t>
        </is>
      </c>
      <c r="G348" s="4" t="inlineStr">
        <is>
          <t>Supports</t>
        </is>
      </c>
      <c r="H348" s="4" t="inlineStr">
        <is>
          <t>R010</t>
        </is>
      </c>
      <c r="I348" s="4" t="inlineStr">
        <is>
          <t>Codex: passage-to-statement review</t>
        </is>
      </c>
      <c r="J348" s="4" t="inlineStr">
        <is>
          <t>2026-09-24</t>
        </is>
      </c>
      <c r="K348" s="4" t="inlineStr">
        <is>
          <t>Read as combined support where a field has several sources. Attributed statements establish what was said, not the underlying allegation.</t>
        </is>
      </c>
    </row>
    <row r="349" ht="66" customHeight="1">
      <c r="A349" s="6" t="inlineStr">
        <is>
          <t>EV-0344</t>
        </is>
      </c>
      <c r="B349" s="7" t="inlineStr">
        <is>
          <t>C-CT-P3-10-01</t>
        </is>
      </c>
      <c r="C349" s="7" t="inlineStr">
        <is>
          <t>S011</t>
        </is>
      </c>
      <c r="D349" s="6" t="inlineStr">
        <is>
          <t>Lok Sabha Secretariat restored membership on 7 August 2023 after the Supreme Court stay. Disqualification operated from 23 March 2023 following the conviction.</t>
        </is>
      </c>
      <c r="E349" s="7" t="inlineStr">
        <is>
          <t>https://indianexpress.com/article/political-pulse/rahul-gandhi-returns-mp-lok-sabha-supreme-court-8880307/</t>
        </is>
      </c>
      <c r="F349" s="6" t="inlineStr">
        <is>
          <t>Opening and closing paragraphs</t>
        </is>
      </c>
      <c r="G349" s="6" t="inlineStr">
        <is>
          <t>Supports</t>
        </is>
      </c>
      <c r="H349" s="6" t="inlineStr">
        <is>
          <t>R011</t>
        </is>
      </c>
      <c r="I349" s="6" t="inlineStr">
        <is>
          <t>Codex: passage-to-statement review</t>
        </is>
      </c>
      <c r="J349" s="6" t="inlineStr">
        <is>
          <t>2026-09-24</t>
        </is>
      </c>
      <c r="K349" s="6" t="inlineStr">
        <is>
          <t>Read as combined support where a field has several sources. Attributed statements establish what was said, not the underlying allegation.</t>
        </is>
      </c>
    </row>
    <row r="350" ht="80" customHeight="1">
      <c r="A350" s="4" t="inlineStr">
        <is>
          <t>EV-0345</t>
        </is>
      </c>
      <c r="B350" s="5" t="inlineStr">
        <is>
          <t>C-CT-P4-01-01</t>
        </is>
      </c>
      <c r="C350" s="5" t="inlineStr">
        <is>
          <t>S024</t>
        </is>
      </c>
      <c r="D350" s="4" t="inlineStr">
        <is>
          <t>Authors distinguish the coalition era through 2014 from BJP dominance thereafter. The 2024 result weakened rather than ended BJP centrality; INDIA still lacked unified leadership, programme and organisation.</t>
        </is>
      </c>
      <c r="E350" s="5" t="inlineStr">
        <is>
          <t>https://carnegieendowment.org/research/2024/09/india-election-bjp-party-politics</t>
        </is>
      </c>
      <c r="F350" s="4" t="inlineStr">
        <is>
          <t>Evolution of party systems; 2024 interpretation; lines 61–104</t>
        </is>
      </c>
      <c r="G350" s="4" t="inlineStr">
        <is>
          <t>Supports</t>
        </is>
      </c>
      <c r="H350" s="4" t="inlineStr">
        <is>
          <t>R024</t>
        </is>
      </c>
      <c r="I350" s="4" t="inlineStr">
        <is>
          <t>Codex: passage-to-statement review</t>
        </is>
      </c>
      <c r="J350" s="4" t="inlineStr">
        <is>
          <t>2026-09-24</t>
        </is>
      </c>
      <c r="K350" s="4" t="inlineStr">
        <is>
          <t>Read as combined support where a field has several sources. Attributed statements establish what was said, not the underlying allegation.</t>
        </is>
      </c>
    </row>
    <row r="351" ht="66" customHeight="1">
      <c r="A351" s="6" t="inlineStr">
        <is>
          <t>EV-0346</t>
        </is>
      </c>
      <c r="B351" s="7" t="inlineStr">
        <is>
          <t>C-CT-P4-01-01</t>
        </is>
      </c>
      <c r="C351" s="7" t="inlineStr">
        <is>
          <t>S002</t>
        </is>
      </c>
      <c r="D351" s="6" t="inlineStr">
        <is>
          <t>Rahul Gandhi is listed as the present Leader of Opposition, with tenure beginning 9 June 2024.</t>
        </is>
      </c>
      <c r="E351" s="7" t="inlineStr">
        <is>
          <t>https://sansad.in/ls/about/leader-of-opposition</t>
        </is>
      </c>
      <c r="F351" s="6" t="inlineStr">
        <is>
          <t>Present leader; lines 23–31</t>
        </is>
      </c>
      <c r="G351" s="6" t="inlineStr">
        <is>
          <t>Supports</t>
        </is>
      </c>
      <c r="H351" s="6" t="inlineStr">
        <is>
          <t>R002</t>
        </is>
      </c>
      <c r="I351" s="6" t="inlineStr">
        <is>
          <t>Codex: passage-to-statement review</t>
        </is>
      </c>
      <c r="J351" s="6" t="inlineStr">
        <is>
          <t>2026-09-24</t>
        </is>
      </c>
      <c r="K351" s="6" t="inlineStr">
        <is>
          <t>Read as combined support where a field has several sources. Attributed statements establish what was said, not the underlying allegation.</t>
        </is>
      </c>
    </row>
    <row r="352" ht="66" customHeight="1">
      <c r="A352" s="4" t="inlineStr">
        <is>
          <t>EV-0347</t>
        </is>
      </c>
      <c r="B352" s="5" t="inlineStr">
        <is>
          <t>C-CT-P4-02-01</t>
        </is>
      </c>
      <c r="C352" s="5" t="inlineStr">
        <is>
          <t>S002</t>
        </is>
      </c>
      <c r="D352" s="4" t="inlineStr">
        <is>
          <t>Rahul Gandhi is listed as the present Leader of Opposition, with tenure beginning 9 June 2024.</t>
        </is>
      </c>
      <c r="E352" s="5" t="inlineStr">
        <is>
          <t>https://sansad.in/ls/about/leader-of-opposition</t>
        </is>
      </c>
      <c r="F352" s="4" t="inlineStr">
        <is>
          <t>Present leader; lines 23–31</t>
        </is>
      </c>
      <c r="G352" s="4" t="inlineStr">
        <is>
          <t>Supports</t>
        </is>
      </c>
      <c r="H352" s="4" t="inlineStr">
        <is>
          <t>R002</t>
        </is>
      </c>
      <c r="I352" s="4" t="inlineStr">
        <is>
          <t>Codex: passage-to-statement review</t>
        </is>
      </c>
      <c r="J352" s="4" t="inlineStr">
        <is>
          <t>2026-09-24</t>
        </is>
      </c>
      <c r="K352" s="4" t="inlineStr">
        <is>
          <t>Read as combined support where a field has several sources. Attributed statements establish what was said, not the underlying allegation.</t>
        </is>
      </c>
    </row>
    <row r="353" ht="80" customHeight="1">
      <c r="A353" s="6" t="inlineStr">
        <is>
          <t>EV-0348</t>
        </is>
      </c>
      <c r="B353" s="7" t="inlineStr">
        <is>
          <t>C-CT-P4-02-01</t>
        </is>
      </c>
      <c r="C353" s="7" t="inlineStr">
        <is>
          <t>S003</t>
        </is>
      </c>
      <c r="D353" s="6" t="inlineStr">
        <is>
          <t>INC MP for Rae Bareli, fifth term, start 9 June 2024. PRS records 17 debates, 64 questions and zero private member bills for 24 June 2024–13 August 2026. Attendance is N/A because the LoP does not sign the register.</t>
        </is>
      </c>
      <c r="E353" s="7" t="inlineStr">
        <is>
          <t>https://prsindia.org/mptrack/18-lok-sabha/rahul-gandhi</t>
        </is>
      </c>
      <c r="F353" s="6" t="inlineStr">
        <is>
          <t>Profile and Parliamentary Activity; data through 13 August 2026</t>
        </is>
      </c>
      <c r="G353" s="6" t="inlineStr">
        <is>
          <t>Supports</t>
        </is>
      </c>
      <c r="H353" s="6" t="inlineStr">
        <is>
          <t>R003</t>
        </is>
      </c>
      <c r="I353" s="6" t="inlineStr">
        <is>
          <t>Codex: passage-to-statement review</t>
        </is>
      </c>
      <c r="J353" s="6" t="inlineStr">
        <is>
          <t>2026-09-24</t>
        </is>
      </c>
      <c r="K353" s="6" t="inlineStr">
        <is>
          <t>Read as combined support where a field has several sources. Attributed statements establish what was said, not the underlying allegation.</t>
        </is>
      </c>
    </row>
    <row r="354" ht="80" customHeight="1">
      <c r="A354" s="4" t="inlineStr">
        <is>
          <t>EV-0349</t>
        </is>
      </c>
      <c r="B354" s="5" t="inlineStr">
        <is>
          <t>C-CT-P4-03-01</t>
        </is>
      </c>
      <c r="C354" s="5" t="inlineStr">
        <is>
          <t>S006</t>
        </is>
      </c>
      <c r="D354" s="4" t="inlineStr">
        <is>
          <t>Wayanad: Gandhi 647445, Annie Raja 283023, total counted including NOTA 1084653, total polled 1086459. Rae Bareli: Gandhi 687649, Dinesh Pratap Singh 297619, total polled 1039951.</t>
        </is>
      </c>
      <c r="E354" s="5" t="inlineStr">
        <is>
          <t>https://www.eci.gov.in/eci-backend/public/all_files/GE-2024-statistical-report/33-Constituency-Wise-Detailed-Result.pdf</t>
        </is>
      </c>
      <c r="F354" s="4" t="inlineStr">
        <is>
          <t>Printed pp.165 and 444; Wayanad and Rae Bareli</t>
        </is>
      </c>
      <c r="G354" s="4" t="inlineStr">
        <is>
          <t>Supports</t>
        </is>
      </c>
      <c r="H354" s="4" t="inlineStr">
        <is>
          <t>R006</t>
        </is>
      </c>
      <c r="I354" s="4" t="inlineStr">
        <is>
          <t>Codex: passage-to-statement review</t>
        </is>
      </c>
      <c r="J354" s="4" t="inlineStr">
        <is>
          <t>2026-09-24</t>
        </is>
      </c>
      <c r="K354" s="4" t="inlineStr">
        <is>
          <t>Read as combined support where a field has several sources. Attributed statements establish what was said, not the underlying allegation.</t>
        </is>
      </c>
    </row>
    <row r="355" ht="66" customHeight="1">
      <c r="A355" s="6" t="inlineStr">
        <is>
          <t>EV-0350</t>
        </is>
      </c>
      <c r="B355" s="7" t="inlineStr">
        <is>
          <t>C-CT-P4-03-01</t>
        </is>
      </c>
      <c r="C355" s="7" t="inlineStr">
        <is>
          <t>S043</t>
        </is>
      </c>
      <c r="D355" s="6" t="inlineStr">
        <is>
          <t>Speaker accepted resignation from Wayanad effective 18 June 2024. Gandhi retained Rae Bareli; Congress nominated Priyanka for the coming Wayanad by-election.</t>
        </is>
      </c>
      <c r="E355" s="7" t="inlineStr">
        <is>
          <t>https://www.ndtv.com/india-news/rahul-gandhi-resigns-from-wayanad-seat-retains-raebareli-5918402</t>
        </is>
      </c>
      <c r="F355" s="6" t="inlineStr">
        <is>
          <t>Lok Sabha bulletin reproduction; lines 231–241</t>
        </is>
      </c>
      <c r="G355" s="6" t="inlineStr">
        <is>
          <t>Supports</t>
        </is>
      </c>
      <c r="H355" s="6" t="inlineStr">
        <is>
          <t>R043</t>
        </is>
      </c>
      <c r="I355" s="6" t="inlineStr">
        <is>
          <t>Codex: passage-to-statement review</t>
        </is>
      </c>
      <c r="J355" s="6" t="inlineStr">
        <is>
          <t>2026-09-24</t>
        </is>
      </c>
      <c r="K355" s="6" t="inlineStr">
        <is>
          <t>Read as combined support where a field has several sources. Attributed statements establish what was said, not the underlying allegation.</t>
        </is>
      </c>
    </row>
    <row r="356" ht="80" customHeight="1">
      <c r="A356" s="4" t="inlineStr">
        <is>
          <t>EV-0351</t>
        </is>
      </c>
      <c r="B356" s="5" t="inlineStr">
        <is>
          <t>C-CT-P4-03-01</t>
        </is>
      </c>
      <c r="C356" s="5" t="inlineStr">
        <is>
          <t>S026</t>
        </is>
      </c>
      <c r="D356" s="4" t="inlineStr">
        <is>
          <t>Congress won 6 of 61 seats contested in Bihar in 2025. Interviewed losing candidates criticised organisation, nominations, war rooms, alliance coordination and the voter-rights campaign.</t>
        </is>
      </c>
      <c r="E356" s="5" t="inlineStr">
        <is>
          <t>https://indianexpress.com/article/political-pulse/congress-camps-bihar-post-mortem-rahul-yatra-fiasco-allavaru-problem-weak-structure-10375553/</t>
        </is>
      </c>
      <c r="F356" s="4" t="inlineStr">
        <is>
          <t>Opening; interviews with ten losing candidates; lines 17–52</t>
        </is>
      </c>
      <c r="G356" s="4" t="inlineStr">
        <is>
          <t>Supports</t>
        </is>
      </c>
      <c r="H356" s="4" t="inlineStr">
        <is>
          <t>R026</t>
        </is>
      </c>
      <c r="I356" s="4" t="inlineStr">
        <is>
          <t>Codex: passage-to-statement review</t>
        </is>
      </c>
      <c r="J356" s="4" t="inlineStr">
        <is>
          <t>2026-09-24</t>
        </is>
      </c>
      <c r="K356" s="4" t="inlineStr">
        <is>
          <t>Read as combined support where a field has several sources. Attributed statements establish what was said, not the underlying allegation.</t>
        </is>
      </c>
    </row>
    <row r="357" ht="80" customHeight="1">
      <c r="A357" s="6" t="inlineStr">
        <is>
          <t>EV-0352</t>
        </is>
      </c>
      <c r="B357" s="7" t="inlineStr">
        <is>
          <t>C-CT-P4-06-01</t>
        </is>
      </c>
      <c r="C357" s="7" t="inlineStr">
        <is>
          <t>S031</t>
        </is>
      </c>
      <c r="D357" s="6" t="inlineStr">
        <is>
          <t>Gandhi alleged attempted deletions in Aland and additions in Rajura. EC rejected his charges, citing a 2023 FIR and data sharing; Congress said requested technical information remained missing.</t>
        </is>
      </c>
      <c r="E357" s="7" t="inlineStr">
        <is>
          <t>https://indianexpress.com/article/india/rahul-gandhi-vote-chori-cec-gyanesh-kumar-protecting-killing-democracy-10257103/</t>
        </is>
      </c>
      <c r="F357" s="6" t="inlineStr">
        <is>
          <t>Allegations and EC response; lines 20–54</t>
        </is>
      </c>
      <c r="G357" s="6" t="inlineStr">
        <is>
          <t>Supports</t>
        </is>
      </c>
      <c r="H357" s="6" t="inlineStr">
        <is>
          <t>R031</t>
        </is>
      </c>
      <c r="I357" s="6" t="inlineStr">
        <is>
          <t>Codex: passage-to-statement review</t>
        </is>
      </c>
      <c r="J357" s="6" t="inlineStr">
        <is>
          <t>2026-09-24</t>
        </is>
      </c>
      <c r="K357" s="6" t="inlineStr">
        <is>
          <t>Read as combined support where a field has several sources. Attributed statements establish what was said, not the underlying allegation.</t>
        </is>
      </c>
    </row>
    <row r="358" ht="94" customHeight="1">
      <c r="A358" s="4" t="inlineStr">
        <is>
          <t>EV-0353</t>
        </is>
      </c>
      <c r="B358" s="5" t="inlineStr">
        <is>
          <t>C-CT-P4-06-01</t>
        </is>
      </c>
      <c r="C358" s="5" t="inlineStr">
        <is>
          <t>S030</t>
        </is>
      </c>
      <c r="D358" s="4" t="inlineStr">
        <is>
          <t>Gandhi alleged widespread election rigging and demanded accountability. ECI said internal notes were routine scrutiny and final decisions were unanimous and legally grounded.</t>
        </is>
      </c>
      <c r="E358" s="5" t="inlineStr">
        <is>
          <t>https://timesofindia.indiatimes.com/india/rahul-gandhi-press-conference-on-ec-gyanesh-kumar-resignation-sir-congress-vote-chori-election-bjp/articleshow/134457370.cms</t>
        </is>
      </c>
      <c r="F358" s="4" t="inlineStr">
        <is>
          <t>Press conference and ECI response; lines 150–156,183</t>
        </is>
      </c>
      <c r="G358" s="4" t="inlineStr">
        <is>
          <t>Supports</t>
        </is>
      </c>
      <c r="H358" s="4" t="inlineStr">
        <is>
          <t>R030</t>
        </is>
      </c>
      <c r="I358" s="4" t="inlineStr">
        <is>
          <t>Codex: passage-to-statement review</t>
        </is>
      </c>
      <c r="J358" s="4" t="inlineStr">
        <is>
          <t>2026-09-24</t>
        </is>
      </c>
      <c r="K358" s="4" t="inlineStr">
        <is>
          <t>Read as combined support where a field has several sources. Attributed statements establish what was said, not the underlying allegation.</t>
        </is>
      </c>
    </row>
    <row r="359" ht="80" customHeight="1">
      <c r="A359" s="6" t="inlineStr">
        <is>
          <t>EV-0354</t>
        </is>
      </c>
      <c r="B359" s="7" t="inlineStr">
        <is>
          <t>C-CT-P4-07-01</t>
        </is>
      </c>
      <c r="C359" s="7" t="inlineStr">
        <is>
          <t>S026</t>
        </is>
      </c>
      <c r="D359" s="6" t="inlineStr">
        <is>
          <t>Congress won 6 of 61 seats contested in Bihar in 2025. Interviewed losing candidates criticised organisation, nominations, war rooms, alliance coordination and the voter-rights campaign.</t>
        </is>
      </c>
      <c r="E359" s="7" t="inlineStr">
        <is>
          <t>https://indianexpress.com/article/political-pulse/congress-camps-bihar-post-mortem-rahul-yatra-fiasco-allavaru-problem-weak-structure-10375553/</t>
        </is>
      </c>
      <c r="F359" s="6" t="inlineStr">
        <is>
          <t>Opening; interviews with ten losing candidates; lines 17–52</t>
        </is>
      </c>
      <c r="G359" s="6" t="inlineStr">
        <is>
          <t>Supports</t>
        </is>
      </c>
      <c r="H359" s="6" t="inlineStr">
        <is>
          <t>R026</t>
        </is>
      </c>
      <c r="I359" s="6" t="inlineStr">
        <is>
          <t>Codex: passage-to-statement review</t>
        </is>
      </c>
      <c r="J359" s="6" t="inlineStr">
        <is>
          <t>2026-09-24</t>
        </is>
      </c>
      <c r="K359" s="6" t="inlineStr">
        <is>
          <t>Read as combined support where a field has several sources. Attributed statements establish what was said, not the underlying allegation.</t>
        </is>
      </c>
    </row>
    <row r="360" ht="80" customHeight="1">
      <c r="A360" s="4" t="inlineStr">
        <is>
          <t>EV-0355</t>
        </is>
      </c>
      <c r="B360" s="5" t="inlineStr">
        <is>
          <t>C-CT-P4-07-01</t>
        </is>
      </c>
      <c r="C360" s="5" t="inlineStr">
        <is>
          <t>S027</t>
        </is>
      </c>
      <c r="D360" s="4" t="inlineStr">
        <is>
          <t>Unnamed meeting participants said Gandhi accepted shared responsibility while questioning whether organisation alone explained allied parties’ losses. Congress publicly alleged roll-revision malpractice.</t>
        </is>
      </c>
      <c r="E360" s="5" t="inlineStr">
        <is>
          <t>https://indianexpress.com/article/political-pulse/rahul-equallyresponsible-bihar-loss-poll-review-10390484/</t>
        </is>
      </c>
      <c r="F360" s="4" t="inlineStr">
        <is>
          <t>Review meeting; lines 18–27</t>
        </is>
      </c>
      <c r="G360" s="4" t="inlineStr">
        <is>
          <t>Supports</t>
        </is>
      </c>
      <c r="H360" s="4" t="inlineStr">
        <is>
          <t>R027</t>
        </is>
      </c>
      <c r="I360" s="4" t="inlineStr">
        <is>
          <t>Codex: passage-to-statement review</t>
        </is>
      </c>
      <c r="J360" s="4" t="inlineStr">
        <is>
          <t>2026-09-24</t>
        </is>
      </c>
      <c r="K360" s="4" t="inlineStr">
        <is>
          <t>Read as combined support where a field has several sources. Attributed statements establish what was said, not the underlying allegation.</t>
        </is>
      </c>
    </row>
    <row r="361" ht="66" customHeight="1">
      <c r="A361" s="6" t="inlineStr">
        <is>
          <t>EV-0356</t>
        </is>
      </c>
      <c r="B361" s="7" t="inlineStr">
        <is>
          <t>C-CT-P4-08-01</t>
        </is>
      </c>
      <c r="C361" s="7" t="inlineStr">
        <is>
          <t>S035</t>
        </is>
      </c>
      <c r="D361" s="6" t="inlineStr">
        <is>
          <t>Gandhi supported the government’s caste-enumeration decision, sought funding and a timeline, and repeated the demand to lift the reservation cap. Government criticised Congress’s earlier record.</t>
        </is>
      </c>
      <c r="E361" s="7" t="inlineStr">
        <is>
          <t>https://indianexpress.com/article/india/rahul-gandhi-caste-census-population-congress-centre-cabinet-9975117/</t>
        </is>
      </c>
      <c r="F361" s="6" t="inlineStr">
        <is>
          <t>Government decision and reactions; lines 20–40</t>
        </is>
      </c>
      <c r="G361" s="6" t="inlineStr">
        <is>
          <t>Supports</t>
        </is>
      </c>
      <c r="H361" s="6" t="inlineStr">
        <is>
          <t>R035</t>
        </is>
      </c>
      <c r="I361" s="6" t="inlineStr">
        <is>
          <t>Codex: passage-to-statement review</t>
        </is>
      </c>
      <c r="J361" s="6" t="inlineStr">
        <is>
          <t>2026-09-24</t>
        </is>
      </c>
      <c r="K361" s="6" t="inlineStr">
        <is>
          <t>Read as combined support where a field has several sources. Attributed statements establish what was said, not the underlying allegation.</t>
        </is>
      </c>
    </row>
    <row r="362" ht="66" customHeight="1">
      <c r="A362" s="4" t="inlineStr">
        <is>
          <t>EV-0357</t>
        </is>
      </c>
      <c r="B362" s="5" t="inlineStr">
        <is>
          <t>C-CT-P4-08-01</t>
        </is>
      </c>
      <c r="C362" s="5" t="inlineStr">
        <is>
          <t>S036</t>
        </is>
      </c>
      <c r="D362" s="4" t="inlineStr">
        <is>
          <t>Home Ministry reports CCPA decision to include caste enumeration in the forthcoming census. Amit Shah attributes it to the Modi government and criticises Congress.</t>
        </is>
      </c>
      <c r="E362" s="5" t="inlineStr">
        <is>
          <t>https://www.pib.gov.in/PressReleasePage.aspx?PRID=2125576</t>
        </is>
      </c>
      <c r="F362" s="4" t="inlineStr">
        <is>
          <t>Release 2125576; lines 20–25</t>
        </is>
      </c>
      <c r="G362" s="4" t="inlineStr">
        <is>
          <t>Supports</t>
        </is>
      </c>
      <c r="H362" s="4" t="inlineStr">
        <is>
          <t>R036</t>
        </is>
      </c>
      <c r="I362" s="4" t="inlineStr">
        <is>
          <t>Codex: passage-to-statement review</t>
        </is>
      </c>
      <c r="J362" s="4" t="inlineStr">
        <is>
          <t>2026-09-24</t>
        </is>
      </c>
      <c r="K362" s="4" t="inlineStr">
        <is>
          <t>Read as combined support where a field has several sources. Attributed statements establish what was said, not the underlying allegation.</t>
        </is>
      </c>
    </row>
    <row r="363" ht="80" customHeight="1">
      <c r="A363" s="6" t="inlineStr">
        <is>
          <t>EV-0358</t>
        </is>
      </c>
      <c r="B363" s="7" t="inlineStr">
        <is>
          <t>C-CT-P4-09-01</t>
        </is>
      </c>
      <c r="C363" s="7" t="inlineStr">
        <is>
          <t>S003</t>
        </is>
      </c>
      <c r="D363" s="6" t="inlineStr">
        <is>
          <t>INC MP for Rae Bareli, fifth term, start 9 June 2024. PRS records 17 debates, 64 questions and zero private member bills for 24 June 2024–13 August 2026. Attendance is N/A because the LoP does not sign the register.</t>
        </is>
      </c>
      <c r="E363" s="7" t="inlineStr">
        <is>
          <t>https://prsindia.org/mptrack/18-lok-sabha/rahul-gandhi</t>
        </is>
      </c>
      <c r="F363" s="6" t="inlineStr">
        <is>
          <t>Profile and Parliamentary Activity; data through 13 August 2026</t>
        </is>
      </c>
      <c r="G363" s="6" t="inlineStr">
        <is>
          <t>Supports</t>
        </is>
      </c>
      <c r="H363" s="6" t="inlineStr">
        <is>
          <t>R003</t>
        </is>
      </c>
      <c r="I363" s="6" t="inlineStr">
        <is>
          <t>Codex: passage-to-statement review</t>
        </is>
      </c>
      <c r="J363" s="6" t="inlineStr">
        <is>
          <t>2026-09-24</t>
        </is>
      </c>
      <c r="K363" s="6" t="inlineStr">
        <is>
          <t>Read as combined support where a field has several sources. Attributed statements establish what was said, not the underlying allegation.</t>
        </is>
      </c>
    </row>
    <row r="364" ht="66" customHeight="1">
      <c r="A364" s="4" t="inlineStr">
        <is>
          <t>EV-0359</t>
        </is>
      </c>
      <c r="B364" s="5" t="inlineStr">
        <is>
          <t>C-CT-P4-09-01</t>
        </is>
      </c>
      <c r="C364" s="5" t="inlineStr">
        <is>
          <t>S043</t>
        </is>
      </c>
      <c r="D364" s="4" t="inlineStr">
        <is>
          <t>Speaker accepted resignation from Wayanad effective 18 June 2024. Gandhi retained Rae Bareli; Congress nominated Priyanka for the coming Wayanad by-election.</t>
        </is>
      </c>
      <c r="E364" s="5" t="inlineStr">
        <is>
          <t>https://www.ndtv.com/india-news/rahul-gandhi-resigns-from-wayanad-seat-retains-raebareli-5918402</t>
        </is>
      </c>
      <c r="F364" s="4" t="inlineStr">
        <is>
          <t>Lok Sabha bulletin reproduction; lines 231–241</t>
        </is>
      </c>
      <c r="G364" s="4" t="inlineStr">
        <is>
          <t>Supports</t>
        </is>
      </c>
      <c r="H364" s="4" t="inlineStr">
        <is>
          <t>R043</t>
        </is>
      </c>
      <c r="I364" s="4" t="inlineStr">
        <is>
          <t>Codex: passage-to-statement review</t>
        </is>
      </c>
      <c r="J364" s="4" t="inlineStr">
        <is>
          <t>2026-09-24</t>
        </is>
      </c>
      <c r="K364" s="4" t="inlineStr">
        <is>
          <t>Read as combined support where a field has several sources. Attributed statements establish what was said, not the underlying allegation.</t>
        </is>
      </c>
    </row>
    <row r="365" ht="80" customHeight="1">
      <c r="A365" s="6" t="inlineStr">
        <is>
          <t>EV-0360</t>
        </is>
      </c>
      <c r="B365" s="7" t="inlineStr">
        <is>
          <t>C-CT-P4-10-01</t>
        </is>
      </c>
      <c r="C365" s="7" t="inlineStr">
        <is>
          <t>S003</t>
        </is>
      </c>
      <c r="D365" s="6" t="inlineStr">
        <is>
          <t>INC MP for Rae Bareli, fifth term, start 9 June 2024. PRS records 17 debates, 64 questions and zero private member bills for 24 June 2024–13 August 2026. Attendance is N/A because the LoP does not sign the register.</t>
        </is>
      </c>
      <c r="E365" s="7" t="inlineStr">
        <is>
          <t>https://prsindia.org/mptrack/18-lok-sabha/rahul-gandhi</t>
        </is>
      </c>
      <c r="F365" s="6" t="inlineStr">
        <is>
          <t>Profile and Parliamentary Activity; data through 13 August 2026</t>
        </is>
      </c>
      <c r="G365" s="6" t="inlineStr">
        <is>
          <t>Supports</t>
        </is>
      </c>
      <c r="H365" s="6" t="inlineStr">
        <is>
          <t>R003</t>
        </is>
      </c>
      <c r="I365" s="6" t="inlineStr">
        <is>
          <t>Codex: passage-to-statement review</t>
        </is>
      </c>
      <c r="J365" s="6" t="inlineStr">
        <is>
          <t>2026-09-24</t>
        </is>
      </c>
      <c r="K365" s="6" t="inlineStr">
        <is>
          <t>Read as combined support where a field has several sources. Attributed statements establish what was said, not the underlying allegation.</t>
        </is>
      </c>
    </row>
    <row r="366" ht="80" customHeight="1">
      <c r="A366" s="4" t="inlineStr">
        <is>
          <t>EV-0361</t>
        </is>
      </c>
      <c r="B366" s="5" t="inlineStr">
        <is>
          <t>C-CT-P4-10-01</t>
        </is>
      </c>
      <c r="C366" s="5" t="inlineStr">
        <is>
          <t>S012</t>
        </is>
      </c>
      <c r="D366" s="4" t="inlineStr">
        <is>
          <t>ED challenged refusal to take cognisance. Gandhis disputed the private-complaint basis in replies filed 18 September. ED alleges a conspiracy involving AJL assets; Young Indian acquired recovery rights over an AICC loan.</t>
        </is>
      </c>
      <c r="E366" s="5" t="inlineStr">
        <is>
          <t>https://indianexpress.com/article/legal-news/national-herald-case-gandhis-oppose-ed-plea-private-complaint-10889668/</t>
        </is>
      </c>
      <c r="F366" s="4" t="inlineStr">
        <is>
          <t>Case status, reply and The case; lines 59–88</t>
        </is>
      </c>
      <c r="G366" s="4" t="inlineStr">
        <is>
          <t>Supports</t>
        </is>
      </c>
      <c r="H366" s="4" t="inlineStr">
        <is>
          <t>R012</t>
        </is>
      </c>
      <c r="I366" s="4" t="inlineStr">
        <is>
          <t>Codex: passage-to-statement review</t>
        </is>
      </c>
      <c r="J366" s="4" t="inlineStr">
        <is>
          <t>2026-09-24</t>
        </is>
      </c>
      <c r="K366" s="4" t="inlineStr">
        <is>
          <t>Read as combined support where a field has several sources. Attributed statements establish what was said, not the underlying allegation.</t>
        </is>
      </c>
    </row>
    <row r="367" ht="94" customHeight="1">
      <c r="A367" s="6" t="inlineStr">
        <is>
          <t>EV-0362</t>
        </is>
      </c>
      <c r="B367" s="7" t="inlineStr">
        <is>
          <t>C-CT-P4-10-01</t>
        </is>
      </c>
      <c r="C367" s="7" t="inlineStr">
        <is>
          <t>S013</t>
        </is>
      </c>
      <c r="D367" s="6" t="inlineStr">
        <is>
          <t>ED prosecution complaint filed 15 April 2025; trial court refused cognisance 16 December 2025; ED challenged on 17 December. High Court hearing on 22 September 2026 was adjourned to 12 October. Gandhis contest jurisdiction.</t>
        </is>
      </c>
      <c r="E367" s="7" t="inlineStr">
        <is>
          <t>https://www.barandbench.com/news/only-case-where-ed-proceeded-on-private-complaint-sonia-and-rahul-gandhi-to-delhi-high-court-on-national-herald-case</t>
        </is>
      </c>
      <c r="F367" s="6" t="inlineStr">
        <is>
          <t>Paragraphs describing complaint, orders and adjournment; lines 48–73</t>
        </is>
      </c>
      <c r="G367" s="6" t="inlineStr">
        <is>
          <t>Supports</t>
        </is>
      </c>
      <c r="H367" s="6" t="inlineStr">
        <is>
          <t>R013</t>
        </is>
      </c>
      <c r="I367" s="6" t="inlineStr">
        <is>
          <t>Codex: passage-to-statement review</t>
        </is>
      </c>
      <c r="J367" s="6" t="inlineStr">
        <is>
          <t>2026-09-24</t>
        </is>
      </c>
      <c r="K367" s="6" t="inlineStr">
        <is>
          <t>Read as combined support where a field has several sources. Attributed statements establish what was said, not the underlying allegation.</t>
        </is>
      </c>
    </row>
    <row r="368" ht="80" customHeight="1">
      <c r="A368" s="4" t="inlineStr">
        <is>
          <t>EV-0363</t>
        </is>
      </c>
      <c r="B368" s="5" t="inlineStr">
        <is>
          <t>C-CT-G-03-01</t>
        </is>
      </c>
      <c r="C368" s="5" t="inlineStr">
        <is>
          <t>S004</t>
        </is>
      </c>
      <c r="D368" s="4" t="inlineStr">
        <is>
          <t>Born 19 June 1970 to Rajiv and Sonia Gandhi. Entered electoral politics in 2004; AICC general secretary from 24 September 2007; vice-president January 2013; president from 16 December 2017. Lists the 2022–23 and 2024 yatras.</t>
        </is>
      </c>
      <c r="E368" s="5" t="inlineStr">
        <is>
          <t>https://inc.in/leadership/past-party-presidents/shri-rahul-gandhi</t>
        </is>
      </c>
      <c r="F368" s="4" t="inlineStr">
        <is>
          <t>Family; Political journey; Presidency; Post-presidency</t>
        </is>
      </c>
      <c r="G368" s="4" t="inlineStr">
        <is>
          <t>Supports</t>
        </is>
      </c>
      <c r="H368" s="4" t="inlineStr">
        <is>
          <t>R004</t>
        </is>
      </c>
      <c r="I368" s="4" t="inlineStr">
        <is>
          <t>Codex: passage-to-statement review</t>
        </is>
      </c>
      <c r="J368" s="4" t="inlineStr">
        <is>
          <t>2026-09-24</t>
        </is>
      </c>
      <c r="K368" s="4" t="inlineStr">
        <is>
          <t>Read as combined support where a field has several sources. Attributed statements establish what was said, not the underlying allegation.</t>
        </is>
      </c>
    </row>
    <row r="369" ht="80" customHeight="1">
      <c r="A369" s="6" t="inlineStr">
        <is>
          <t>EV-0364</t>
        </is>
      </c>
      <c r="B369" s="7" t="inlineStr">
        <is>
          <t>C-CT-G-03-01</t>
        </is>
      </c>
      <c r="C369" s="7" t="inlineStr">
        <is>
          <t>S005</t>
        </is>
      </c>
      <c r="D369" s="6" t="inlineStr">
        <is>
          <t>Security concerns after family assassinations affected schooling and university transfers. Graduated from Rollins in 1994. Reports Cambridge confirmation of a 1995 MPhil in Development Studies. Worked at Monitor; founded Backops.</t>
        </is>
      </c>
      <c r="E369" s="7" t="inlineStr">
        <is>
          <t>https://indianexpress.com/article/explained/explained-politics/rahul-gandhi-turns-53-what-he-was-doing-before-politics-8672843/lite/</t>
        </is>
      </c>
      <c r="F369" s="6" t="inlineStr">
        <is>
          <t>Education and After college; lines 40–61</t>
        </is>
      </c>
      <c r="G369" s="6" t="inlineStr">
        <is>
          <t>Supports</t>
        </is>
      </c>
      <c r="H369" s="6" t="inlineStr">
        <is>
          <t>R005</t>
        </is>
      </c>
      <c r="I369" s="6" t="inlineStr">
        <is>
          <t>Codex: passage-to-statement review</t>
        </is>
      </c>
      <c r="J369" s="6" t="inlineStr">
        <is>
          <t>2026-09-24</t>
        </is>
      </c>
      <c r="K369" s="6" t="inlineStr">
        <is>
          <t>Read as combined support where a field has several sources. Attributed statements establish what was said, not the underlying allegation.</t>
        </is>
      </c>
    </row>
    <row r="370" ht="66" customHeight="1">
      <c r="A370" s="4" t="inlineStr">
        <is>
          <t>EV-0365</t>
        </is>
      </c>
      <c r="B370" s="5" t="inlineStr">
        <is>
          <t>C-CT-G-05-01</t>
        </is>
      </c>
      <c r="C370" s="5" t="inlineStr">
        <is>
          <t>S025</t>
        </is>
      </c>
      <c r="D370" s="4" t="inlineStr">
        <is>
          <t>Laul interprets discussion of Gandhi walking in a T-shirt in cold weather through local masculine ideals of physical endurance and leadership.</t>
        </is>
      </c>
      <c r="E370" s="5" t="inlineStr">
        <is>
          <t>https://m.thewire.in/article/politics/rahul-gandhi-t-shirt</t>
        </is>
      </c>
      <c r="F370" s="4" t="inlineStr">
        <is>
          <t>Opening argument; lines 47–65</t>
        </is>
      </c>
      <c r="G370" s="4" t="inlineStr">
        <is>
          <t>Supports</t>
        </is>
      </c>
      <c r="H370" s="4" t="inlineStr">
        <is>
          <t>R025</t>
        </is>
      </c>
      <c r="I370" s="4" t="inlineStr">
        <is>
          <t>Codex: passage-to-statement review</t>
        </is>
      </c>
      <c r="J370" s="4" t="inlineStr">
        <is>
          <t>2026-09-24</t>
        </is>
      </c>
      <c r="K370" s="4" t="inlineStr">
        <is>
          <t>Read as combined support where a field has several sources. Attributed statements establish what was said, not the underlying allegation.</t>
        </is>
      </c>
    </row>
    <row r="371" ht="80" customHeight="1">
      <c r="A371" s="6" t="inlineStr">
        <is>
          <t>EV-0366</t>
        </is>
      </c>
      <c r="B371" s="7" t="inlineStr">
        <is>
          <t>C-CT-G-06-01</t>
        </is>
      </c>
      <c r="C371" s="7" t="inlineStr">
        <is>
          <t>S005</t>
        </is>
      </c>
      <c r="D371" s="6" t="inlineStr">
        <is>
          <t>Security concerns after family assassinations affected schooling and university transfers. Graduated from Rollins in 1994. Reports Cambridge confirmation of a 1995 MPhil in Development Studies. Worked at Monitor; founded Backops.</t>
        </is>
      </c>
      <c r="E371" s="7" t="inlineStr">
        <is>
          <t>https://indianexpress.com/article/explained/explained-politics/rahul-gandhi-turns-53-what-he-was-doing-before-politics-8672843/lite/</t>
        </is>
      </c>
      <c r="F371" s="6" t="inlineStr">
        <is>
          <t>Education and After college; lines 40–61</t>
        </is>
      </c>
      <c r="G371" s="6" t="inlineStr">
        <is>
          <t>Supports</t>
        </is>
      </c>
      <c r="H371" s="6" t="inlineStr">
        <is>
          <t>R005</t>
        </is>
      </c>
      <c r="I371" s="6" t="inlineStr">
        <is>
          <t>Codex: passage-to-statement review</t>
        </is>
      </c>
      <c r="J371" s="6" t="inlineStr">
        <is>
          <t>2026-09-24</t>
        </is>
      </c>
      <c r="K371" s="6" t="inlineStr">
        <is>
          <t>Read as combined support where a field has several sources. Attributed statements establish what was said, not the underlying allegation.</t>
        </is>
      </c>
    </row>
    <row r="372" ht="66" customHeight="1">
      <c r="A372" s="4" t="inlineStr">
        <is>
          <t>EV-0367</t>
        </is>
      </c>
      <c r="B372" s="5" t="inlineStr">
        <is>
          <t>C-CT-G-07-01</t>
        </is>
      </c>
      <c r="C372" s="5" t="inlineStr">
        <is>
          <t>S033</t>
        </is>
      </c>
      <c r="D372" s="4" t="inlineStr">
        <is>
          <t>Gandhi supported the women’s reservation bill, asked for an OBC women’s quota and immediate implementation without census/delimitation delay.</t>
        </is>
      </c>
      <c r="E372" s="5" t="inlineStr">
        <is>
          <t>https://indianexpress.com/article/india/lok-sabha-rahul-gandhi-women-reservation-bill-obc-quota-8948629/</t>
        </is>
      </c>
      <c r="F372" s="4" t="inlineStr">
        <is>
          <t>Lok Sabha speech of 20 September; lines 73–90</t>
        </is>
      </c>
      <c r="G372" s="4" t="inlineStr">
        <is>
          <t>Supports</t>
        </is>
      </c>
      <c r="H372" s="4" t="inlineStr">
        <is>
          <t>R033</t>
        </is>
      </c>
      <c r="I372" s="4" t="inlineStr">
        <is>
          <t>Codex: passage-to-statement review</t>
        </is>
      </c>
      <c r="J372" s="4" t="inlineStr">
        <is>
          <t>2026-09-24</t>
        </is>
      </c>
      <c r="K372" s="4" t="inlineStr">
        <is>
          <t>Read as combined support where a field has several sources. Attributed statements establish what was said, not the underlying allegation.</t>
        </is>
      </c>
    </row>
    <row r="373" ht="66" customHeight="1">
      <c r="A373" s="6" t="inlineStr">
        <is>
          <t>EV-0368</t>
        </is>
      </c>
      <c r="B373" s="7" t="inlineStr">
        <is>
          <t>C-CT-G-07-01</t>
        </is>
      </c>
      <c r="C373" s="7" t="inlineStr">
        <is>
          <t>S017</t>
        </is>
      </c>
      <c r="D373" s="6" t="inlineStr">
        <is>
          <t>Proposes Rs 1 lakh yearly for each poor family, normally paid to its oldest woman; staged rollout. Promises earlier women’s seat reservation and half of central government jobs for women.</t>
        </is>
      </c>
      <c r="E373" s="7" t="inlineStr">
        <is>
          <t>https://manifesto.inc.in/en/women/</t>
        </is>
      </c>
      <c r="F373" s="6" t="inlineStr">
        <is>
          <t>Mahalakshmi 1–3; Women’s Empowerment 1–2</t>
        </is>
      </c>
      <c r="G373" s="6" t="inlineStr">
        <is>
          <t>Supports</t>
        </is>
      </c>
      <c r="H373" s="6" t="inlineStr">
        <is>
          <t>R017</t>
        </is>
      </c>
      <c r="I373" s="6" t="inlineStr">
        <is>
          <t>Codex: passage-to-statement review</t>
        </is>
      </c>
      <c r="J373" s="6" t="inlineStr">
        <is>
          <t>2026-09-24</t>
        </is>
      </c>
      <c r="K373" s="6" t="inlineStr">
        <is>
          <t>Read as combined support where a field has several sources. Attributed statements establish what was said, not the underlying allegation.</t>
        </is>
      </c>
    </row>
    <row r="374" ht="66" customHeight="1">
      <c r="A374" s="4" t="inlineStr">
        <is>
          <t>EV-0369</t>
        </is>
      </c>
      <c r="B374" s="5" t="inlineStr">
        <is>
          <t>C-CT-G-08-01</t>
        </is>
      </c>
      <c r="C374" s="5" t="inlineStr">
        <is>
          <t>S025</t>
        </is>
      </c>
      <c r="D374" s="4" t="inlineStr">
        <is>
          <t>Laul interprets discussion of Gandhi walking in a T-shirt in cold weather through local masculine ideals of physical endurance and leadership.</t>
        </is>
      </c>
      <c r="E374" s="5" t="inlineStr">
        <is>
          <t>https://m.thewire.in/article/politics/rahul-gandhi-t-shirt</t>
        </is>
      </c>
      <c r="F374" s="4" t="inlineStr">
        <is>
          <t>Opening argument; lines 47–65</t>
        </is>
      </c>
      <c r="G374" s="4" t="inlineStr">
        <is>
          <t>Supports</t>
        </is>
      </c>
      <c r="H374" s="4" t="inlineStr">
        <is>
          <t>R025</t>
        </is>
      </c>
      <c r="I374" s="4" t="inlineStr">
        <is>
          <t>Codex: passage-to-statement review</t>
        </is>
      </c>
      <c r="J374" s="4" t="inlineStr">
        <is>
          <t>2026-09-24</t>
        </is>
      </c>
      <c r="K374" s="4" t="inlineStr">
        <is>
          <t>Read as combined support where a field has several sources. Attributed statements establish what was said, not the underlying allegation.</t>
        </is>
      </c>
    </row>
    <row r="375" ht="66" customHeight="1">
      <c r="A375" s="6" t="inlineStr">
        <is>
          <t>EV-0370</t>
        </is>
      </c>
      <c r="B375" s="7" t="inlineStr">
        <is>
          <t>C-CT-G-09-01</t>
        </is>
      </c>
      <c r="C375" s="7" t="inlineStr">
        <is>
          <t>S033</t>
        </is>
      </c>
      <c r="D375" s="6" t="inlineStr">
        <is>
          <t>Gandhi supported the women’s reservation bill, asked for an OBC women’s quota and immediate implementation without census/delimitation delay.</t>
        </is>
      </c>
      <c r="E375" s="7" t="inlineStr">
        <is>
          <t>https://indianexpress.com/article/india/lok-sabha-rahul-gandhi-women-reservation-bill-obc-quota-8948629/</t>
        </is>
      </c>
      <c r="F375" s="6" t="inlineStr">
        <is>
          <t>Lok Sabha speech of 20 September; lines 73–90</t>
        </is>
      </c>
      <c r="G375" s="6" t="inlineStr">
        <is>
          <t>Supports</t>
        </is>
      </c>
      <c r="H375" s="6" t="inlineStr">
        <is>
          <t>R033</t>
        </is>
      </c>
      <c r="I375" s="6" t="inlineStr">
        <is>
          <t>Codex: passage-to-statement review</t>
        </is>
      </c>
      <c r="J375" s="6" t="inlineStr">
        <is>
          <t>2026-09-24</t>
        </is>
      </c>
      <c r="K375" s="6" t="inlineStr">
        <is>
          <t>Read as combined support where a field has several sources. Attributed statements establish what was said, not the underlying allegation.</t>
        </is>
      </c>
    </row>
    <row r="376" ht="66" customHeight="1">
      <c r="A376" s="4" t="inlineStr">
        <is>
          <t>EV-0371</t>
        </is>
      </c>
      <c r="B376" s="5" t="inlineStr">
        <is>
          <t>C-CT-G-09-01</t>
        </is>
      </c>
      <c r="C376" s="5" t="inlineStr">
        <is>
          <t>S017</t>
        </is>
      </c>
      <c r="D376" s="4" t="inlineStr">
        <is>
          <t>Proposes Rs 1 lakh yearly for each poor family, normally paid to its oldest woman; staged rollout. Promises earlier women’s seat reservation and half of central government jobs for women.</t>
        </is>
      </c>
      <c r="E376" s="5" t="inlineStr">
        <is>
          <t>https://manifesto.inc.in/en/women/</t>
        </is>
      </c>
      <c r="F376" s="4" t="inlineStr">
        <is>
          <t>Mahalakshmi 1–3; Women’s Empowerment 1–2</t>
        </is>
      </c>
      <c r="G376" s="4" t="inlineStr">
        <is>
          <t>Supports</t>
        </is>
      </c>
      <c r="H376" s="4" t="inlineStr">
        <is>
          <t>R017</t>
        </is>
      </c>
      <c r="I376" s="4" t="inlineStr">
        <is>
          <t>Codex: passage-to-statement review</t>
        </is>
      </c>
      <c r="J376" s="4" t="inlineStr">
        <is>
          <t>2026-09-24</t>
        </is>
      </c>
      <c r="K376" s="4" t="inlineStr">
        <is>
          <t>Read as combined support where a field has several sources. Attributed statements establish what was said, not the underlying allegation.</t>
        </is>
      </c>
    </row>
  </sheetData>
  <autoFilter ref="A5:K376"/>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 xmlns:r="http://schemas.openxmlformats.org/officeDocument/2006/relationships" ref="B360" r:id="rId1063"/>
    <hyperlink xmlns:r="http://schemas.openxmlformats.org/officeDocument/2006/relationships" ref="C360" r:id="rId1064"/>
    <hyperlink xmlns:r="http://schemas.openxmlformats.org/officeDocument/2006/relationships" ref="E360" r:id="rId1065"/>
    <hyperlink xmlns:r="http://schemas.openxmlformats.org/officeDocument/2006/relationships" ref="B361" r:id="rId1066"/>
    <hyperlink xmlns:r="http://schemas.openxmlformats.org/officeDocument/2006/relationships" ref="C361" r:id="rId1067"/>
    <hyperlink xmlns:r="http://schemas.openxmlformats.org/officeDocument/2006/relationships" ref="E361" r:id="rId1068"/>
    <hyperlink xmlns:r="http://schemas.openxmlformats.org/officeDocument/2006/relationships" ref="B362" r:id="rId1069"/>
    <hyperlink xmlns:r="http://schemas.openxmlformats.org/officeDocument/2006/relationships" ref="C362" r:id="rId1070"/>
    <hyperlink xmlns:r="http://schemas.openxmlformats.org/officeDocument/2006/relationships" ref="E362" r:id="rId1071"/>
    <hyperlink xmlns:r="http://schemas.openxmlformats.org/officeDocument/2006/relationships" ref="B363" r:id="rId1072"/>
    <hyperlink xmlns:r="http://schemas.openxmlformats.org/officeDocument/2006/relationships" ref="C363" r:id="rId1073"/>
    <hyperlink xmlns:r="http://schemas.openxmlformats.org/officeDocument/2006/relationships" ref="E363" r:id="rId1074"/>
    <hyperlink xmlns:r="http://schemas.openxmlformats.org/officeDocument/2006/relationships" ref="B364" r:id="rId1075"/>
    <hyperlink xmlns:r="http://schemas.openxmlformats.org/officeDocument/2006/relationships" ref="C364" r:id="rId1076"/>
    <hyperlink xmlns:r="http://schemas.openxmlformats.org/officeDocument/2006/relationships" ref="E364" r:id="rId1077"/>
    <hyperlink xmlns:r="http://schemas.openxmlformats.org/officeDocument/2006/relationships" ref="B365" r:id="rId1078"/>
    <hyperlink xmlns:r="http://schemas.openxmlformats.org/officeDocument/2006/relationships" ref="C365" r:id="rId1079"/>
    <hyperlink xmlns:r="http://schemas.openxmlformats.org/officeDocument/2006/relationships" ref="E365" r:id="rId1080"/>
    <hyperlink xmlns:r="http://schemas.openxmlformats.org/officeDocument/2006/relationships" ref="B366" r:id="rId1081"/>
    <hyperlink xmlns:r="http://schemas.openxmlformats.org/officeDocument/2006/relationships" ref="C366" r:id="rId1082"/>
    <hyperlink xmlns:r="http://schemas.openxmlformats.org/officeDocument/2006/relationships" ref="E366" r:id="rId1083"/>
    <hyperlink xmlns:r="http://schemas.openxmlformats.org/officeDocument/2006/relationships" ref="B367" r:id="rId1084"/>
    <hyperlink xmlns:r="http://schemas.openxmlformats.org/officeDocument/2006/relationships" ref="C367" r:id="rId1085"/>
    <hyperlink xmlns:r="http://schemas.openxmlformats.org/officeDocument/2006/relationships" ref="E367" r:id="rId1086"/>
    <hyperlink xmlns:r="http://schemas.openxmlformats.org/officeDocument/2006/relationships" ref="B368" r:id="rId1087"/>
    <hyperlink xmlns:r="http://schemas.openxmlformats.org/officeDocument/2006/relationships" ref="C368" r:id="rId1088"/>
    <hyperlink xmlns:r="http://schemas.openxmlformats.org/officeDocument/2006/relationships" ref="E368" r:id="rId1089"/>
    <hyperlink xmlns:r="http://schemas.openxmlformats.org/officeDocument/2006/relationships" ref="B369" r:id="rId1090"/>
    <hyperlink xmlns:r="http://schemas.openxmlformats.org/officeDocument/2006/relationships" ref="C369" r:id="rId1091"/>
    <hyperlink xmlns:r="http://schemas.openxmlformats.org/officeDocument/2006/relationships" ref="E369" r:id="rId1092"/>
    <hyperlink xmlns:r="http://schemas.openxmlformats.org/officeDocument/2006/relationships" ref="B370" r:id="rId1093"/>
    <hyperlink xmlns:r="http://schemas.openxmlformats.org/officeDocument/2006/relationships" ref="C370" r:id="rId1094"/>
    <hyperlink xmlns:r="http://schemas.openxmlformats.org/officeDocument/2006/relationships" ref="E370" r:id="rId1095"/>
    <hyperlink xmlns:r="http://schemas.openxmlformats.org/officeDocument/2006/relationships" ref="B371" r:id="rId1096"/>
    <hyperlink xmlns:r="http://schemas.openxmlformats.org/officeDocument/2006/relationships" ref="C371" r:id="rId1097"/>
    <hyperlink xmlns:r="http://schemas.openxmlformats.org/officeDocument/2006/relationships" ref="E371" r:id="rId1098"/>
    <hyperlink xmlns:r="http://schemas.openxmlformats.org/officeDocument/2006/relationships" ref="B372" r:id="rId1099"/>
    <hyperlink xmlns:r="http://schemas.openxmlformats.org/officeDocument/2006/relationships" ref="C372" r:id="rId1100"/>
    <hyperlink xmlns:r="http://schemas.openxmlformats.org/officeDocument/2006/relationships" ref="E372" r:id="rId1101"/>
    <hyperlink xmlns:r="http://schemas.openxmlformats.org/officeDocument/2006/relationships" ref="B373" r:id="rId1102"/>
    <hyperlink xmlns:r="http://schemas.openxmlformats.org/officeDocument/2006/relationships" ref="C373" r:id="rId1103"/>
    <hyperlink xmlns:r="http://schemas.openxmlformats.org/officeDocument/2006/relationships" ref="E373" r:id="rId1104"/>
    <hyperlink xmlns:r="http://schemas.openxmlformats.org/officeDocument/2006/relationships" ref="B374" r:id="rId1105"/>
    <hyperlink xmlns:r="http://schemas.openxmlformats.org/officeDocument/2006/relationships" ref="C374" r:id="rId1106"/>
    <hyperlink xmlns:r="http://schemas.openxmlformats.org/officeDocument/2006/relationships" ref="E374" r:id="rId1107"/>
    <hyperlink xmlns:r="http://schemas.openxmlformats.org/officeDocument/2006/relationships" ref="B375" r:id="rId1108"/>
    <hyperlink xmlns:r="http://schemas.openxmlformats.org/officeDocument/2006/relationships" ref="C375" r:id="rId1109"/>
    <hyperlink xmlns:r="http://schemas.openxmlformats.org/officeDocument/2006/relationships" ref="E375" r:id="rId1110"/>
    <hyperlink xmlns:r="http://schemas.openxmlformats.org/officeDocument/2006/relationships" ref="B376" r:id="rId1111"/>
    <hyperlink xmlns:r="http://schemas.openxmlformats.org/officeDocument/2006/relationships" ref="C376" r:id="rId1112"/>
    <hyperlink xmlns:r="http://schemas.openxmlformats.org/officeDocument/2006/relationships" ref="E376" r:id="rId1113"/>
  </hyperlinks>
  <pageMargins left="0.75" right="0.75" top="1" bottom="1" header="0.5" footer="0.5"/>
  <pageSetup orientation="landscape" paperSize="8" fitToHeight="0" fitToWidth="1"/>
  <tableParts count="1">
    <tablePart xmlns:r="http://schemas.openxmlformats.org/officeDocument/2006/relationships" r:id="rId1114"/>
  </tableParts>
</worksheet>
</file>

<file path=xl/worksheets/sheet13.xml><?xml version="1.0" encoding="utf-8"?>
<worksheet xmlns="http://schemas.openxmlformats.org/spreadsheetml/2006/main">
  <sheetPr>
    <outlinePr summaryBelow="1" summaryRight="0"/>
    <pageSetUpPr fitToPage="1"/>
  </sheetPr>
  <dimension ref="A1:H29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collapsed="1" width="34" customWidth="1" min="5" max="5"/>
    <col hidden="1" outlineLevel="1" width="24" customWidth="1" min="6" max="6"/>
    <col hidden="1" outlineLevel="1" width="44" customWidth="1" min="7" max="7"/>
    <col hidden="1" outlineLevel="1" width="44" customWidth="1" min="8" max="8"/>
  </cols>
  <sheetData>
    <row r="1" ht="36" customHeight="1">
      <c r="A1" s="1" t="inlineStr">
        <is>
          <t>Rahul Gandhi | Citations</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Citation ID</t>
        </is>
      </c>
      <c r="B5" s="3" t="inlineStr">
        <is>
          <t>Record ID</t>
        </is>
      </c>
      <c r="C5" s="3" t="inlineStr">
        <is>
          <t>Source ID</t>
        </is>
      </c>
      <c r="D5" s="3" t="inlineStr">
        <is>
          <t>Title</t>
        </is>
      </c>
      <c r="E5" s="3" t="inlineStr">
        <is>
          <t>URL</t>
        </is>
      </c>
      <c r="F5" s="3" t="inlineStr">
        <is>
          <t>Access status</t>
        </is>
      </c>
      <c r="G5" s="3" t="inlineStr">
        <is>
          <t>Sheet</t>
        </is>
      </c>
      <c r="H5" s="3" t="inlineStr">
        <is>
          <t>Meaning</t>
        </is>
      </c>
    </row>
    <row r="6" ht="52" customHeight="1">
      <c r="A6" s="4" t="inlineStr">
        <is>
          <t>OV01:S004</t>
        </is>
      </c>
      <c r="B6" s="5" t="inlineStr">
        <is>
          <t>OV01</t>
        </is>
      </c>
      <c r="C6" s="5" t="inlineStr">
        <is>
          <t>S004</t>
        </is>
      </c>
      <c r="D6" s="4" t="inlineStr">
        <is>
          <t>Shri Rahul Gandhi: past party president</t>
        </is>
      </c>
      <c r="E6" s="5" t="inlineStr">
        <is>
          <t>https://inc.in/leadership/past-party-presidents/shri-rahul-gandhi</t>
        </is>
      </c>
      <c r="F6" s="4" t="inlineStr">
        <is>
          <t>Passage inspected</t>
        </is>
      </c>
      <c r="G6" s="4" t="inlineStr">
        <is>
          <t>Overview</t>
        </is>
      </c>
      <c r="H6" s="4" t="inlineStr">
        <is>
          <t>Candidate reference; inspect Claims and Evidence for checked support.</t>
        </is>
      </c>
    </row>
    <row r="7" ht="44" customHeight="1">
      <c r="A7" s="6" t="inlineStr">
        <is>
          <t>OV02:S002</t>
        </is>
      </c>
      <c r="B7" s="7" t="inlineStr">
        <is>
          <t>OV02</t>
        </is>
      </c>
      <c r="C7" s="7" t="inlineStr">
        <is>
          <t>S002</t>
        </is>
      </c>
      <c r="D7" s="6" t="inlineStr">
        <is>
          <t>Leader of Opposition</t>
        </is>
      </c>
      <c r="E7" s="7" t="inlineStr">
        <is>
          <t>https://sansad.in/ls/about/leader-of-opposition</t>
        </is>
      </c>
      <c r="F7" s="6" t="inlineStr">
        <is>
          <t>Passage inspected</t>
        </is>
      </c>
      <c r="G7" s="6" t="inlineStr">
        <is>
          <t>Overview</t>
        </is>
      </c>
      <c r="H7" s="6" t="inlineStr">
        <is>
          <t>Candidate reference; inspect Claims and Evidence for checked support.</t>
        </is>
      </c>
    </row>
    <row r="8" ht="44" customHeight="1">
      <c r="A8" s="4" t="inlineStr">
        <is>
          <t>OV02:S003</t>
        </is>
      </c>
      <c r="B8" s="5" t="inlineStr">
        <is>
          <t>OV02</t>
        </is>
      </c>
      <c r="C8" s="5" t="inlineStr">
        <is>
          <t>S003</t>
        </is>
      </c>
      <c r="D8" s="4" t="inlineStr">
        <is>
          <t>Rahul Gandhi: 18th Lok Sabha MPTrack</t>
        </is>
      </c>
      <c r="E8" s="5" t="inlineStr">
        <is>
          <t>https://prsindia.org/mptrack/18-lok-sabha/rahul-gandhi</t>
        </is>
      </c>
      <c r="F8" s="4" t="inlineStr">
        <is>
          <t>Passage inspected</t>
        </is>
      </c>
      <c r="G8" s="4" t="inlineStr">
        <is>
          <t>Overview</t>
        </is>
      </c>
      <c r="H8" s="4" t="inlineStr">
        <is>
          <t>Candidate reference; inspect Claims and Evidence for checked support.</t>
        </is>
      </c>
    </row>
    <row r="9" ht="52" customHeight="1">
      <c r="A9" s="6" t="inlineStr">
        <is>
          <t>OV03:S004</t>
        </is>
      </c>
      <c r="B9" s="7" t="inlineStr">
        <is>
          <t>OV03</t>
        </is>
      </c>
      <c r="C9" s="7" t="inlineStr">
        <is>
          <t>S004</t>
        </is>
      </c>
      <c r="D9" s="6" t="inlineStr">
        <is>
          <t>Shri Rahul Gandhi: past party president</t>
        </is>
      </c>
      <c r="E9" s="7" t="inlineStr">
        <is>
          <t>https://inc.in/leadership/past-party-presidents/shri-rahul-gandhi</t>
        </is>
      </c>
      <c r="F9" s="6" t="inlineStr">
        <is>
          <t>Passage inspected</t>
        </is>
      </c>
      <c r="G9" s="6" t="inlineStr">
        <is>
          <t>Overview</t>
        </is>
      </c>
      <c r="H9" s="6" t="inlineStr">
        <is>
          <t>Candidate reference; inspect Claims and Evidence for checked support.</t>
        </is>
      </c>
    </row>
    <row r="10" ht="66" customHeight="1">
      <c r="A10" s="4" t="inlineStr">
        <is>
          <t>OV03:S011</t>
        </is>
      </c>
      <c r="B10" s="5" t="inlineStr">
        <is>
          <t>OV03</t>
        </is>
      </c>
      <c r="C10" s="5" t="inlineStr">
        <is>
          <t>S011</t>
        </is>
      </c>
      <c r="D10" s="4" t="inlineStr">
        <is>
          <t>Rahul Gandhi’s MP status restored</t>
        </is>
      </c>
      <c r="E10" s="5" t="inlineStr">
        <is>
          <t>https://indianexpress.com/article/political-pulse/rahul-gandhi-returns-mp-lok-sabha-supreme-court-8880307/</t>
        </is>
      </c>
      <c r="F10" s="4" t="inlineStr">
        <is>
          <t>Passage inspected</t>
        </is>
      </c>
      <c r="G10" s="4" t="inlineStr">
        <is>
          <t>Overview</t>
        </is>
      </c>
      <c r="H10" s="4" t="inlineStr">
        <is>
          <t>Candidate reference; inspect Claims and Evidence for checked support.</t>
        </is>
      </c>
    </row>
    <row r="11" ht="44" customHeight="1">
      <c r="A11" s="6" t="inlineStr">
        <is>
          <t>OV03:S042</t>
        </is>
      </c>
      <c r="B11" s="7" t="inlineStr">
        <is>
          <t>OV03</t>
        </is>
      </c>
      <c r="C11" s="7" t="inlineStr">
        <is>
          <t>S042</t>
        </is>
      </c>
      <c r="D11" s="6" t="inlineStr">
        <is>
          <t>Rahul Gandhi: 17th Lok Sabha MPTrack</t>
        </is>
      </c>
      <c r="E11" s="7" t="inlineStr">
        <is>
          <t>https://prsindia.org/mptrack/17-lok-sabha/rahul-gandhi</t>
        </is>
      </c>
      <c r="F11" s="6" t="inlineStr">
        <is>
          <t>Passage inspected</t>
        </is>
      </c>
      <c r="G11" s="6" t="inlineStr">
        <is>
          <t>Overview</t>
        </is>
      </c>
      <c r="H11" s="6" t="inlineStr">
        <is>
          <t>Candidate reference; inspect Claims and Evidence for checked support.</t>
        </is>
      </c>
    </row>
    <row r="12" ht="66" customHeight="1">
      <c r="A12" s="4" t="inlineStr">
        <is>
          <t>OV03:S043</t>
        </is>
      </c>
      <c r="B12" s="5" t="inlineStr">
        <is>
          <t>OV03</t>
        </is>
      </c>
      <c r="C12" s="5" t="inlineStr">
        <is>
          <t>S043</t>
        </is>
      </c>
      <c r="D12" s="4" t="inlineStr">
        <is>
          <t>Wayanad seat resignation</t>
        </is>
      </c>
      <c r="E12" s="5" t="inlineStr">
        <is>
          <t>https://www.ndtv.com/india-news/rahul-gandhi-resigns-from-wayanad-seat-retains-raebareli-5918402</t>
        </is>
      </c>
      <c r="F12" s="4" t="inlineStr">
        <is>
          <t>Passage inspected</t>
        </is>
      </c>
      <c r="G12" s="4" t="inlineStr">
        <is>
          <t>Overview</t>
        </is>
      </c>
      <c r="H12" s="4" t="inlineStr">
        <is>
          <t>Candidate reference; inspect Claims and Evidence for checked support.</t>
        </is>
      </c>
    </row>
    <row r="13" ht="52" customHeight="1">
      <c r="A13" s="6" t="inlineStr">
        <is>
          <t>OV04:S004</t>
        </is>
      </c>
      <c r="B13" s="7" t="inlineStr">
        <is>
          <t>OV04</t>
        </is>
      </c>
      <c r="C13" s="7" t="inlineStr">
        <is>
          <t>S004</t>
        </is>
      </c>
      <c r="D13" s="6" t="inlineStr">
        <is>
          <t>Shri Rahul Gandhi: past party president</t>
        </is>
      </c>
      <c r="E13" s="7" t="inlineStr">
        <is>
          <t>https://inc.in/leadership/past-party-presidents/shri-rahul-gandhi</t>
        </is>
      </c>
      <c r="F13" s="6" t="inlineStr">
        <is>
          <t>Passage inspected</t>
        </is>
      </c>
      <c r="G13" s="6" t="inlineStr">
        <is>
          <t>Overview</t>
        </is>
      </c>
      <c r="H13" s="6" t="inlineStr">
        <is>
          <t>Candidate reference; inspect Claims and Evidence for checked support.</t>
        </is>
      </c>
    </row>
    <row r="14" ht="66" customHeight="1">
      <c r="A14" s="4" t="inlineStr">
        <is>
          <t>OV04:S014</t>
        </is>
      </c>
      <c r="B14" s="5" t="inlineStr">
        <is>
          <t>OV04</t>
        </is>
      </c>
      <c r="C14" s="5" t="inlineStr">
        <is>
          <t>S014</t>
        </is>
      </c>
      <c r="D14" s="4" t="inlineStr">
        <is>
          <t>Rahul Gandhi’s resignation letter and accountability statement</t>
        </is>
      </c>
      <c r="E14" s="5" t="inlineStr">
        <is>
          <t>https://www.ndtv.com/india-news/rahul-gandhis-open-letter-full-text-at-times-i-stood-completely-alone-2063455</t>
        </is>
      </c>
      <c r="F14" s="4" t="inlineStr">
        <is>
          <t>Passage inspected</t>
        </is>
      </c>
      <c r="G14" s="4" t="inlineStr">
        <is>
          <t>Overview</t>
        </is>
      </c>
      <c r="H14" s="4" t="inlineStr">
        <is>
          <t>Candidate reference; inspect Claims and Evidence for checked support.</t>
        </is>
      </c>
    </row>
    <row r="15" ht="80" customHeight="1">
      <c r="A15" s="6" t="inlineStr">
        <is>
          <t>OV05:S005</t>
        </is>
      </c>
      <c r="B15" s="7" t="inlineStr">
        <is>
          <t>OV05</t>
        </is>
      </c>
      <c r="C15" s="7" t="inlineStr">
        <is>
          <t>S005</t>
        </is>
      </c>
      <c r="D15" s="6" t="inlineStr">
        <is>
          <t>Rahul Gandhi turns 53: before joining politics</t>
        </is>
      </c>
      <c r="E15" s="7" t="inlineStr">
        <is>
          <t>https://indianexpress.com/article/explained/explained-politics/rahul-gandhi-turns-53-what-he-was-doing-before-politics-8672843/lite/</t>
        </is>
      </c>
      <c r="F15" s="6" t="inlineStr">
        <is>
          <t>Passage inspected</t>
        </is>
      </c>
      <c r="G15" s="6" t="inlineStr">
        <is>
          <t>Overview</t>
        </is>
      </c>
      <c r="H15" s="6" t="inlineStr">
        <is>
          <t>Candidate reference; inspect Claims and Evidence for checked support.</t>
        </is>
      </c>
    </row>
    <row r="16" ht="52" customHeight="1">
      <c r="A16" s="4" t="inlineStr">
        <is>
          <t>OV05:S004</t>
        </is>
      </c>
      <c r="B16" s="5" t="inlineStr">
        <is>
          <t>OV05</t>
        </is>
      </c>
      <c r="C16" s="5" t="inlineStr">
        <is>
          <t>S004</t>
        </is>
      </c>
      <c r="D16" s="4" t="inlineStr">
        <is>
          <t>Shri Rahul Gandhi: past party president</t>
        </is>
      </c>
      <c r="E16" s="5" t="inlineStr">
        <is>
          <t>https://inc.in/leadership/past-party-presidents/shri-rahul-gandhi</t>
        </is>
      </c>
      <c r="F16" s="4" t="inlineStr">
        <is>
          <t>Passage inspected</t>
        </is>
      </c>
      <c r="G16" s="4" t="inlineStr">
        <is>
          <t>Overview</t>
        </is>
      </c>
      <c r="H16" s="4" t="inlineStr">
        <is>
          <t>Candidate reference; inspect Claims and Evidence for checked support.</t>
        </is>
      </c>
    </row>
    <row r="17" ht="80" customHeight="1">
      <c r="A17" s="6" t="inlineStr">
        <is>
          <t>OV06:S006</t>
        </is>
      </c>
      <c r="B17" s="7" t="inlineStr">
        <is>
          <t>OV06</t>
        </is>
      </c>
      <c r="C17" s="7" t="inlineStr">
        <is>
          <t>S006</t>
        </is>
      </c>
      <c r="D17" s="6" t="inlineStr">
        <is>
          <t>General Election 2024: constituency-wise detailed result</t>
        </is>
      </c>
      <c r="E17" s="7" t="inlineStr">
        <is>
          <t>https://www.eci.gov.in/eci-backend/public/all_files/GE-2024-statistical-report/33-Constituency-Wise-Detailed-Result.pdf</t>
        </is>
      </c>
      <c r="F17" s="6" t="inlineStr">
        <is>
          <t>Passage inspected</t>
        </is>
      </c>
      <c r="G17" s="6" t="inlineStr">
        <is>
          <t>Overview</t>
        </is>
      </c>
      <c r="H17" s="6" t="inlineStr">
        <is>
          <t>Candidate reference; inspect Claims and Evidence for checked support.</t>
        </is>
      </c>
    </row>
    <row r="18" ht="66" customHeight="1">
      <c r="A18" s="4" t="inlineStr">
        <is>
          <t>OV06:S007</t>
        </is>
      </c>
      <c r="B18" s="5" t="inlineStr">
        <is>
          <t>OV06</t>
        </is>
      </c>
      <c r="C18" s="5" t="inlineStr">
        <is>
          <t>S007</t>
        </is>
      </c>
      <c r="D18" s="4" t="inlineStr">
        <is>
          <t>Analysis of Vote Share and Margin of Victory: Lok Sabha 2019</t>
        </is>
      </c>
      <c r="E18" s="5" t="inlineStr">
        <is>
          <t>https://adrindia.org/sites/default/files/Analysis_of_Vote_Share_Margin_Of_Victory_Lok_Sabha__2019.pdf</t>
        </is>
      </c>
      <c r="F18" s="4" t="inlineStr">
        <is>
          <t>Passage inspected</t>
        </is>
      </c>
      <c r="G18" s="4" t="inlineStr">
        <is>
          <t>Overview</t>
        </is>
      </c>
      <c r="H18" s="4" t="inlineStr">
        <is>
          <t>Candidate reference; inspect Claims and Evidence for checked support.</t>
        </is>
      </c>
    </row>
    <row r="19" ht="80" customHeight="1">
      <c r="A19" s="6" t="inlineStr">
        <is>
          <t>OV06:S008</t>
        </is>
      </c>
      <c r="B19" s="7" t="inlineStr">
        <is>
          <t>OV06</t>
        </is>
      </c>
      <c r="C19" s="7" t="inlineStr">
        <is>
          <t>S008</t>
        </is>
      </c>
      <c r="D19" s="6" t="inlineStr">
        <is>
          <t>Amethi: past election results</t>
        </is>
      </c>
      <c r="E19" s="7" t="inlineStr">
        <is>
          <t>https://www.moneycontrol.com/elections/lok-sabha-election/uttar-pradesh/constituencies/amethi-constituency-s24led2008p037/</t>
        </is>
      </c>
      <c r="F19" s="6" t="inlineStr">
        <is>
          <t>Passage inspected</t>
        </is>
      </c>
      <c r="G19" s="6" t="inlineStr">
        <is>
          <t>Overview</t>
        </is>
      </c>
      <c r="H19" s="6" t="inlineStr">
        <is>
          <t>Candidate reference; inspect Claims and Evidence for checked support.</t>
        </is>
      </c>
    </row>
    <row r="20" ht="52" customHeight="1">
      <c r="A20" s="4" t="inlineStr">
        <is>
          <t>OV06:S009</t>
        </is>
      </c>
      <c r="B20" s="5" t="inlineStr">
        <is>
          <t>OV06</t>
        </is>
      </c>
      <c r="C20" s="5" t="inlineStr">
        <is>
          <t>S009</t>
        </is>
      </c>
      <c r="D20" s="4" t="inlineStr">
        <is>
          <t>2004 India General Election results</t>
        </is>
      </c>
      <c r="E20" s="5" t="inlineStr">
        <is>
          <t>https://www.elections.in/parliamentary-constituencies/2004-election-results.html</t>
        </is>
      </c>
      <c r="F20" s="4" t="inlineStr">
        <is>
          <t>Passage inspected</t>
        </is>
      </c>
      <c r="G20" s="4" t="inlineStr">
        <is>
          <t>Overview</t>
        </is>
      </c>
      <c r="H20" s="4" t="inlineStr">
        <is>
          <t>Candidate reference; inspect Claims and Evidence for checked support.</t>
        </is>
      </c>
    </row>
    <row r="21" ht="52" customHeight="1">
      <c r="A21" s="6" t="inlineStr">
        <is>
          <t>OV07:S004</t>
        </is>
      </c>
      <c r="B21" s="7" t="inlineStr">
        <is>
          <t>OV07</t>
        </is>
      </c>
      <c r="C21" s="7" t="inlineStr">
        <is>
          <t>S004</t>
        </is>
      </c>
      <c r="D21" s="6" t="inlineStr">
        <is>
          <t>Shri Rahul Gandhi: past party president</t>
        </is>
      </c>
      <c r="E21" s="7" t="inlineStr">
        <is>
          <t>https://inc.in/leadership/past-party-presidents/shri-rahul-gandhi</t>
        </is>
      </c>
      <c r="F21" s="6" t="inlineStr">
        <is>
          <t>Passage inspected</t>
        </is>
      </c>
      <c r="G21" s="6" t="inlineStr">
        <is>
          <t>Overview</t>
        </is>
      </c>
      <c r="H21" s="6" t="inlineStr">
        <is>
          <t>Candidate reference; inspect Claims and Evidence for checked support.</t>
        </is>
      </c>
    </row>
    <row r="22" ht="66" customHeight="1">
      <c r="A22" s="4" t="inlineStr">
        <is>
          <t>OV07:S022</t>
        </is>
      </c>
      <c r="B22" s="5" t="inlineStr">
        <is>
          <t>OV07</t>
        </is>
      </c>
      <c r="C22" s="5" t="inlineStr">
        <is>
          <t>S022</t>
        </is>
      </c>
      <c r="D22" s="4" t="inlineStr">
        <is>
          <t>Youth Congress to retain internal polls</t>
        </is>
      </c>
      <c r="E22" s="5" t="inlineStr">
        <is>
          <t>https://timesofindia.indiatimes.com/india/youth-congress-to-retain-internal-polls/articleshow/36734347.cms</t>
        </is>
      </c>
      <c r="F22" s="4" t="inlineStr">
        <is>
          <t>Passage inspected</t>
        </is>
      </c>
      <c r="G22" s="4" t="inlineStr">
        <is>
          <t>Overview</t>
        </is>
      </c>
      <c r="H22" s="4" t="inlineStr">
        <is>
          <t>Candidate reference; inspect Claims and Evidence for checked support.</t>
        </is>
      </c>
    </row>
    <row r="23" ht="66" customHeight="1">
      <c r="A23" s="6" t="inlineStr">
        <is>
          <t>OV07:S015</t>
        </is>
      </c>
      <c r="B23" s="7" t="inlineStr">
        <is>
          <t>OV07</t>
        </is>
      </c>
      <c r="C23" s="7" t="inlineStr">
        <is>
          <t>S015</t>
        </is>
      </c>
      <c r="D23" s="6" t="inlineStr">
        <is>
          <t>Rahul Gandhi at the conclusion of Bharat Jodo Yatra</t>
        </is>
      </c>
      <c r="E23" s="7" t="inlineStr">
        <is>
          <t>https://indianexpress.com/article/political-pulse/rahul-modi-shah-doval-srinagar-bharat-jodo-yatra-8413548/</t>
        </is>
      </c>
      <c r="F23" s="6" t="inlineStr">
        <is>
          <t>Passage inspected</t>
        </is>
      </c>
      <c r="G23" s="6" t="inlineStr">
        <is>
          <t>Overview</t>
        </is>
      </c>
      <c r="H23" s="6" t="inlineStr">
        <is>
          <t>Candidate reference; inspect Claims and Evidence for checked support.</t>
        </is>
      </c>
    </row>
    <row r="24" ht="44" customHeight="1">
      <c r="A24" s="4" t="inlineStr">
        <is>
          <t>OV07:S002</t>
        </is>
      </c>
      <c r="B24" s="5" t="inlineStr">
        <is>
          <t>OV07</t>
        </is>
      </c>
      <c r="C24" s="5" t="inlineStr">
        <is>
          <t>S002</t>
        </is>
      </c>
      <c r="D24" s="4" t="inlineStr">
        <is>
          <t>Leader of Opposition</t>
        </is>
      </c>
      <c r="E24" s="5" t="inlineStr">
        <is>
          <t>https://sansad.in/ls/about/leader-of-opposition</t>
        </is>
      </c>
      <c r="F24" s="4" t="inlineStr">
        <is>
          <t>Passage inspected</t>
        </is>
      </c>
      <c r="G24" s="4" t="inlineStr">
        <is>
          <t>Overview</t>
        </is>
      </c>
      <c r="H24" s="4" t="inlineStr">
        <is>
          <t>Candidate reference; inspect Claims and Evidence for checked support.</t>
        </is>
      </c>
    </row>
    <row r="25" ht="80" customHeight="1">
      <c r="A25" s="6" t="inlineStr">
        <is>
          <t>OV08:S021</t>
        </is>
      </c>
      <c r="B25" s="7" t="inlineStr">
        <is>
          <t>OV08</t>
        </is>
      </c>
      <c r="C25" s="7" t="inlineStr">
        <is>
          <t>S021</t>
        </is>
      </c>
      <c r="D25" s="6" t="inlineStr">
        <is>
          <t>Dissent over Rahul’s internal election system</t>
        </is>
      </c>
      <c r="E25" s="7" t="inlineStr">
        <is>
          <t>https://indianexpress.com/article/political-pulse/in-kerala-youth-cong-dissent-over-rahuls-internal-election-system/</t>
        </is>
      </c>
      <c r="F25" s="6" t="inlineStr">
        <is>
          <t>Passage inspected</t>
        </is>
      </c>
      <c r="G25" s="6" t="inlineStr">
        <is>
          <t>Overview</t>
        </is>
      </c>
      <c r="H25" s="6" t="inlineStr">
        <is>
          <t>Candidate reference; inspect Claims and Evidence for checked support.</t>
        </is>
      </c>
    </row>
    <row r="26" ht="66" customHeight="1">
      <c r="A26" s="4" t="inlineStr">
        <is>
          <t>OV08:S022</t>
        </is>
      </c>
      <c r="B26" s="5" t="inlineStr">
        <is>
          <t>OV08</t>
        </is>
      </c>
      <c r="C26" s="5" t="inlineStr">
        <is>
          <t>S022</t>
        </is>
      </c>
      <c r="D26" s="4" t="inlineStr">
        <is>
          <t>Youth Congress to retain internal polls</t>
        </is>
      </c>
      <c r="E26" s="5" t="inlineStr">
        <is>
          <t>https://timesofindia.indiatimes.com/india/youth-congress-to-retain-internal-polls/articleshow/36734347.cms</t>
        </is>
      </c>
      <c r="F26" s="4" t="inlineStr">
        <is>
          <t>Passage inspected</t>
        </is>
      </c>
      <c r="G26" s="4" t="inlineStr">
        <is>
          <t>Overview</t>
        </is>
      </c>
      <c r="H26" s="4" t="inlineStr">
        <is>
          <t>Candidate reference; inspect Claims and Evidence for checked support.</t>
        </is>
      </c>
    </row>
    <row r="27" ht="80" customHeight="1">
      <c r="A27" s="6" t="inlineStr">
        <is>
          <t>OV08:S023</t>
        </is>
      </c>
      <c r="B27" s="7" t="inlineStr">
        <is>
          <t>OV08</t>
        </is>
      </c>
      <c r="C27" s="7" t="inlineStr">
        <is>
          <t>S023</t>
        </is>
      </c>
      <c r="D27" s="6" t="inlineStr">
        <is>
          <t>Ridiculed for a decade, Rahul Gandhi slows Modi juggernaut</t>
        </is>
      </c>
      <c r="E27" s="7" t="inlineStr">
        <is>
          <t>https://www.marketscreener.com/news/latest/Ridiculed-for-a-decade-India-s-Rahul-Gandhi-slows-Modi-juggernaut-46900641/</t>
        </is>
      </c>
      <c r="F27" s="6" t="inlineStr">
        <is>
          <t>Passage inspected</t>
        </is>
      </c>
      <c r="G27" s="6" t="inlineStr">
        <is>
          <t>Overview</t>
        </is>
      </c>
      <c r="H27" s="6" t="inlineStr">
        <is>
          <t>Candidate reference; inspect Claims and Evidence for checked support.</t>
        </is>
      </c>
    </row>
    <row r="28" ht="66" customHeight="1">
      <c r="A28" s="4" t="inlineStr">
        <is>
          <t>OV08:S035</t>
        </is>
      </c>
      <c r="B28" s="5" t="inlineStr">
        <is>
          <t>OV08</t>
        </is>
      </c>
      <c r="C28" s="5" t="inlineStr">
        <is>
          <t>S035</t>
        </is>
      </c>
      <c r="D28" s="4" t="inlineStr">
        <is>
          <t>Rahul Gandhi welcomes caste-enumeration decision and seeks timeline</t>
        </is>
      </c>
      <c r="E28" s="5" t="inlineStr">
        <is>
          <t>https://indianexpress.com/article/india/rahul-gandhi-caste-census-population-congress-centre-cabinet-9975117/</t>
        </is>
      </c>
      <c r="F28" s="4" t="inlineStr">
        <is>
          <t>Passage inspected</t>
        </is>
      </c>
      <c r="G28" s="4" t="inlineStr">
        <is>
          <t>Overview</t>
        </is>
      </c>
      <c r="H28" s="4" t="inlineStr">
        <is>
          <t>Candidate reference; inspect Claims and Evidence for checked support.</t>
        </is>
      </c>
    </row>
    <row r="29" ht="52" customHeight="1">
      <c r="A29" s="6" t="inlineStr">
        <is>
          <t>OV08:S036</t>
        </is>
      </c>
      <c r="B29" s="7" t="inlineStr">
        <is>
          <t>OV08</t>
        </is>
      </c>
      <c r="C29" s="7" t="inlineStr">
        <is>
          <t>S036</t>
        </is>
      </c>
      <c r="D29" s="6" t="inlineStr">
        <is>
          <t>Government decision to include caste enumeration in census</t>
        </is>
      </c>
      <c r="E29" s="7" t="inlineStr">
        <is>
          <t>https://www.pib.gov.in/PressReleasePage.aspx?PRID=2125576</t>
        </is>
      </c>
      <c r="F29" s="6" t="inlineStr">
        <is>
          <t>Passage inspected</t>
        </is>
      </c>
      <c r="G29" s="6" t="inlineStr">
        <is>
          <t>Overview</t>
        </is>
      </c>
      <c r="H29" s="6" t="inlineStr">
        <is>
          <t>Candidate reference; inspect Claims and Evidence for checked support.</t>
        </is>
      </c>
    </row>
    <row r="30" ht="44" customHeight="1">
      <c r="A30" s="4" t="inlineStr">
        <is>
          <t>OV09:S016</t>
        </is>
      </c>
      <c r="B30" s="5" t="inlineStr">
        <is>
          <t>OV09</t>
        </is>
      </c>
      <c r="C30" s="5" t="inlineStr">
        <is>
          <t>S016</t>
        </is>
      </c>
      <c r="D30" s="4" t="inlineStr">
        <is>
          <t>Nyay Patra 2024: Equity</t>
        </is>
      </c>
      <c r="E30" s="5" t="inlineStr">
        <is>
          <t>https://manifesto.inc.in/en/equity/</t>
        </is>
      </c>
      <c r="F30" s="4" t="inlineStr">
        <is>
          <t>Passage inspected</t>
        </is>
      </c>
      <c r="G30" s="4" t="inlineStr">
        <is>
          <t>Overview</t>
        </is>
      </c>
      <c r="H30" s="4" t="inlineStr">
        <is>
          <t>Candidate reference; inspect Claims and Evidence for checked support.</t>
        </is>
      </c>
    </row>
    <row r="31" ht="44" customHeight="1">
      <c r="A31" s="6" t="inlineStr">
        <is>
          <t>OV09:S017</t>
        </is>
      </c>
      <c r="B31" s="7" t="inlineStr">
        <is>
          <t>OV09</t>
        </is>
      </c>
      <c r="C31" s="7" t="inlineStr">
        <is>
          <t>S017</t>
        </is>
      </c>
      <c r="D31" s="6" t="inlineStr">
        <is>
          <t>Nyay Patra 2024: Women</t>
        </is>
      </c>
      <c r="E31" s="7" t="inlineStr">
        <is>
          <t>https://manifesto.inc.in/en/women/</t>
        </is>
      </c>
      <c r="F31" s="6" t="inlineStr">
        <is>
          <t>Passage inspected</t>
        </is>
      </c>
      <c r="G31" s="6" t="inlineStr">
        <is>
          <t>Overview</t>
        </is>
      </c>
      <c r="H31" s="6" t="inlineStr">
        <is>
          <t>Candidate reference; inspect Claims and Evidence for checked support.</t>
        </is>
      </c>
    </row>
    <row r="32" ht="44" customHeight="1">
      <c r="A32" s="4" t="inlineStr">
        <is>
          <t>OV09:S018</t>
        </is>
      </c>
      <c r="B32" s="5" t="inlineStr">
        <is>
          <t>OV09</t>
        </is>
      </c>
      <c r="C32" s="5" t="inlineStr">
        <is>
          <t>S018</t>
        </is>
      </c>
      <c r="D32" s="4" t="inlineStr">
        <is>
          <t>Nyay Patra 2024: Youth</t>
        </is>
      </c>
      <c r="E32" s="5" t="inlineStr">
        <is>
          <t>https://manifesto.inc.in/en/youth/</t>
        </is>
      </c>
      <c r="F32" s="4" t="inlineStr">
        <is>
          <t>Passage inspected</t>
        </is>
      </c>
      <c r="G32" s="4" t="inlineStr">
        <is>
          <t>Overview</t>
        </is>
      </c>
      <c r="H32" s="4" t="inlineStr">
        <is>
          <t>Candidate reference; inspect Claims and Evidence for checked support.</t>
        </is>
      </c>
    </row>
    <row r="33" ht="44" customHeight="1">
      <c r="A33" s="6" t="inlineStr">
        <is>
          <t>OV09:S019</t>
        </is>
      </c>
      <c r="B33" s="7" t="inlineStr">
        <is>
          <t>OV09</t>
        </is>
      </c>
      <c r="C33" s="7" t="inlineStr">
        <is>
          <t>S019</t>
        </is>
      </c>
      <c r="D33" s="6" t="inlineStr">
        <is>
          <t>Nyay Patra 2024: Farmers</t>
        </is>
      </c>
      <c r="E33" s="7" t="inlineStr">
        <is>
          <t>https://manifesto.inc.in/en/farmers/</t>
        </is>
      </c>
      <c r="F33" s="6" t="inlineStr">
        <is>
          <t>Passage inspected</t>
        </is>
      </c>
      <c r="G33" s="6" t="inlineStr">
        <is>
          <t>Overview</t>
        </is>
      </c>
      <c r="H33" s="6" t="inlineStr">
        <is>
          <t>Candidate reference; inspect Claims and Evidence for checked support.</t>
        </is>
      </c>
    </row>
    <row r="34" ht="66" customHeight="1">
      <c r="A34" s="4" t="inlineStr">
        <is>
          <t>OV09:S033</t>
        </is>
      </c>
      <c r="B34" s="5" t="inlineStr">
        <is>
          <t>OV09</t>
        </is>
      </c>
      <c r="C34" s="5" t="inlineStr">
        <is>
          <t>S033</t>
        </is>
      </c>
      <c r="D34" s="4" t="inlineStr">
        <is>
          <t>Women’s reservation Bill and OBC quota: Rahul Gandhi’s speech</t>
        </is>
      </c>
      <c r="E34" s="5" t="inlineStr">
        <is>
          <t>https://indianexpress.com/article/india/lok-sabha-rahul-gandhi-women-reservation-bill-obc-quota-8948629/</t>
        </is>
      </c>
      <c r="F34" s="4" t="inlineStr">
        <is>
          <t>Passage inspected</t>
        </is>
      </c>
      <c r="G34" s="4" t="inlineStr">
        <is>
          <t>Overview</t>
        </is>
      </c>
      <c r="H34" s="4" t="inlineStr">
        <is>
          <t>Candidate reference; inspect Claims and Evidence for checked support.</t>
        </is>
      </c>
    </row>
    <row r="35" ht="66" customHeight="1">
      <c r="A35" s="6" t="inlineStr">
        <is>
          <t>OV09:S028</t>
        </is>
      </c>
      <c r="B35" s="7" t="inlineStr">
        <is>
          <t>OV09</t>
        </is>
      </c>
      <c r="C35" s="7" t="inlineStr">
        <is>
          <t>S028</t>
        </is>
      </c>
      <c r="D35" s="6" t="inlineStr">
        <is>
          <t>Rs 72,000 NYAY promise</t>
        </is>
      </c>
      <c r="E35" s="7" t="inlineStr">
        <is>
          <t>https://www.ndtv.com/india-news/rs-72-000-will-be-given-to-beneficiaries-under-nyay-scheme-rahul-gandhi-2031993</t>
        </is>
      </c>
      <c r="F35" s="6" t="inlineStr">
        <is>
          <t>Passage inspected</t>
        </is>
      </c>
      <c r="G35" s="6" t="inlineStr">
        <is>
          <t>Overview</t>
        </is>
      </c>
      <c r="H35" s="6" t="inlineStr">
        <is>
          <t>Candidate reference; inspect Claims and Evidence for checked support.</t>
        </is>
      </c>
    </row>
    <row r="36" ht="66" customHeight="1">
      <c r="A36" s="4" t="inlineStr">
        <is>
          <t>OV10:S034</t>
        </is>
      </c>
      <c r="B36" s="5" t="inlineStr">
        <is>
          <t>OV10</t>
        </is>
      </c>
      <c r="C36" s="5" t="inlineStr">
        <is>
          <t>S034</t>
        </is>
      </c>
      <c r="D36" s="4" t="inlineStr">
        <is>
          <t>Rahul Gandhi accepts responsibility for UP result</t>
        </is>
      </c>
      <c r="E36" s="5" t="inlineStr">
        <is>
          <t>https://www.ndtv.com/assembly/i-take-responsibility-says-rahul-gandhi-about-up-results-470319</t>
        </is>
      </c>
      <c r="F36" s="4" t="inlineStr">
        <is>
          <t>Passage inspected</t>
        </is>
      </c>
      <c r="G36" s="4" t="inlineStr">
        <is>
          <t>Overview</t>
        </is>
      </c>
      <c r="H36" s="4" t="inlineStr">
        <is>
          <t>Candidate reference; inspect Claims and Evidence for checked support.</t>
        </is>
      </c>
    </row>
    <row r="37" ht="66" customHeight="1">
      <c r="A37" s="6" t="inlineStr">
        <is>
          <t>OV10:S014</t>
        </is>
      </c>
      <c r="B37" s="7" t="inlineStr">
        <is>
          <t>OV10</t>
        </is>
      </c>
      <c r="C37" s="7" t="inlineStr">
        <is>
          <t>S014</t>
        </is>
      </c>
      <c r="D37" s="6" t="inlineStr">
        <is>
          <t>Rahul Gandhi’s resignation letter and accountability statement</t>
        </is>
      </c>
      <c r="E37" s="7" t="inlineStr">
        <is>
          <t>https://www.ndtv.com/india-news/rahul-gandhis-open-letter-full-text-at-times-i-stood-completely-alone-2063455</t>
        </is>
      </c>
      <c r="F37" s="6" t="inlineStr">
        <is>
          <t>Passage inspected</t>
        </is>
      </c>
      <c r="G37" s="6" t="inlineStr">
        <is>
          <t>Overview</t>
        </is>
      </c>
      <c r="H37" s="6" t="inlineStr">
        <is>
          <t>Candidate reference; inspect Claims and Evidence for checked support.</t>
        </is>
      </c>
    </row>
    <row r="38" ht="66" customHeight="1">
      <c r="A38" s="4" t="inlineStr">
        <is>
          <t>OV10:S007</t>
        </is>
      </c>
      <c r="B38" s="5" t="inlineStr">
        <is>
          <t>OV10</t>
        </is>
      </c>
      <c r="C38" s="5" t="inlineStr">
        <is>
          <t>S007</t>
        </is>
      </c>
      <c r="D38" s="4" t="inlineStr">
        <is>
          <t>Analysis of Vote Share and Margin of Victory: Lok Sabha 2019</t>
        </is>
      </c>
      <c r="E38" s="5" t="inlineStr">
        <is>
          <t>https://adrindia.org/sites/default/files/Analysis_of_Vote_Share_Margin_Of_Victory_Lok_Sabha__2019.pdf</t>
        </is>
      </c>
      <c r="F38" s="4" t="inlineStr">
        <is>
          <t>Passage inspected</t>
        </is>
      </c>
      <c r="G38" s="4" t="inlineStr">
        <is>
          <t>Overview</t>
        </is>
      </c>
      <c r="H38" s="4" t="inlineStr">
        <is>
          <t>Candidate reference; inspect Claims and Evidence for checked support.</t>
        </is>
      </c>
    </row>
    <row r="39" ht="80" customHeight="1">
      <c r="A39" s="6" t="inlineStr">
        <is>
          <t>OV10:S026</t>
        </is>
      </c>
      <c r="B39" s="7" t="inlineStr">
        <is>
          <t>OV10</t>
        </is>
      </c>
      <c r="C39" s="7" t="inlineStr">
        <is>
          <t>S026</t>
        </is>
      </c>
      <c r="D39" s="6" t="inlineStr">
        <is>
          <t>Congress camp’s Bihar post-mortem</t>
        </is>
      </c>
      <c r="E39" s="7" t="inlineStr">
        <is>
          <t>https://indianexpress.com/article/political-pulse/congress-camps-bihar-post-mortem-rahul-yatra-fiasco-allavaru-problem-weak-structure-10375553/</t>
        </is>
      </c>
      <c r="F39" s="6" t="inlineStr">
        <is>
          <t>Passage inspected</t>
        </is>
      </c>
      <c r="G39" s="6" t="inlineStr">
        <is>
          <t>Overview</t>
        </is>
      </c>
      <c r="H39" s="6" t="inlineStr">
        <is>
          <t>Candidate reference; inspect Claims and Evidence for checked support.</t>
        </is>
      </c>
    </row>
    <row r="40" ht="66" customHeight="1">
      <c r="A40" s="4" t="inlineStr">
        <is>
          <t>OV11:S010</t>
        </is>
      </c>
      <c r="B40" s="5" t="inlineStr">
        <is>
          <t>OV11</t>
        </is>
      </c>
      <c r="C40" s="5" t="inlineStr">
        <is>
          <t>S010</t>
        </is>
      </c>
      <c r="D40" s="4" t="inlineStr">
        <is>
          <t>Rahul Gandhi v Purnesh Ishwarbhai Modi: stay order</t>
        </is>
      </c>
      <c r="E40" s="5" t="inlineStr">
        <is>
          <t>https://api.sci.gov.in/supremecourt/2023/27941/27941_2023_4_55_45901_Order_04-Aug-2023.pdf</t>
        </is>
      </c>
      <c r="F40" s="4" t="inlineStr">
        <is>
          <t>Passage inspected</t>
        </is>
      </c>
      <c r="G40" s="4" t="inlineStr">
        <is>
          <t>Overview</t>
        </is>
      </c>
      <c r="H40" s="4" t="inlineStr">
        <is>
          <t>Candidate reference; inspect Claims and Evidence for checked support.</t>
        </is>
      </c>
    </row>
    <row r="41" ht="80" customHeight="1">
      <c r="A41" s="6" t="inlineStr">
        <is>
          <t>OV11:S012</t>
        </is>
      </c>
      <c r="B41" s="7" t="inlineStr">
        <is>
          <t>OV11</t>
        </is>
      </c>
      <c r="C41" s="7" t="inlineStr">
        <is>
          <t>S012</t>
        </is>
      </c>
      <c r="D41" s="6" t="inlineStr">
        <is>
          <t>Private complaint cannot be ED’s foundation for National Herald case, say Gandhis</t>
        </is>
      </c>
      <c r="E41" s="7" t="inlineStr">
        <is>
          <t>https://indianexpress.com/article/legal-news/national-herald-case-gandhis-oppose-ed-plea-private-complaint-10889668/</t>
        </is>
      </c>
      <c r="F41" s="6" t="inlineStr">
        <is>
          <t>Passage inspected</t>
        </is>
      </c>
      <c r="G41" s="6" t="inlineStr">
        <is>
          <t>Overview</t>
        </is>
      </c>
      <c r="H41" s="6" t="inlineStr">
        <is>
          <t>Candidate reference; inspect Claims and Evidence for checked support.</t>
        </is>
      </c>
    </row>
    <row r="42" ht="94" customHeight="1">
      <c r="A42" s="4" t="inlineStr">
        <is>
          <t>OV11:S013</t>
        </is>
      </c>
      <c r="B42" s="5" t="inlineStr">
        <is>
          <t>OV11</t>
        </is>
      </c>
      <c r="C42" s="5" t="inlineStr">
        <is>
          <t>S013</t>
        </is>
      </c>
      <c r="D42" s="4" t="inlineStr">
        <is>
          <t>Gandhis’ reply to Delhi High Court on National Herald case</t>
        </is>
      </c>
      <c r="E42" s="5" t="inlineStr">
        <is>
          <t>https://www.barandbench.com/news/only-case-where-ed-proceeded-on-private-complaint-sonia-and-rahul-gandhi-to-delhi-high-court-on-national-herald-case</t>
        </is>
      </c>
      <c r="F42" s="4" t="inlineStr">
        <is>
          <t>Passage inspected</t>
        </is>
      </c>
      <c r="G42" s="4" t="inlineStr">
        <is>
          <t>Overview</t>
        </is>
      </c>
      <c r="H42" s="4" t="inlineStr">
        <is>
          <t>Candidate reference; inspect Claims and Evidence for checked support.</t>
        </is>
      </c>
    </row>
    <row r="43" ht="52" customHeight="1">
      <c r="A43" s="6" t="inlineStr">
        <is>
          <t>OV12:S004</t>
        </is>
      </c>
      <c r="B43" s="7" t="inlineStr">
        <is>
          <t>OV12</t>
        </is>
      </c>
      <c r="C43" s="7" t="inlineStr">
        <is>
          <t>S004</t>
        </is>
      </c>
      <c r="D43" s="6" t="inlineStr">
        <is>
          <t>Shri Rahul Gandhi: past party president</t>
        </is>
      </c>
      <c r="E43" s="7" t="inlineStr">
        <is>
          <t>https://inc.in/leadership/past-party-presidents/shri-rahul-gandhi</t>
        </is>
      </c>
      <c r="F43" s="6" t="inlineStr">
        <is>
          <t>Passage inspected</t>
        </is>
      </c>
      <c r="G43" s="6" t="inlineStr">
        <is>
          <t>Overview</t>
        </is>
      </c>
      <c r="H43" s="6" t="inlineStr">
        <is>
          <t>Candidate reference; inspect Claims and Evidence for checked support.</t>
        </is>
      </c>
    </row>
    <row r="44" ht="80" customHeight="1">
      <c r="A44" s="4" t="inlineStr">
        <is>
          <t>OV12:S005</t>
        </is>
      </c>
      <c r="B44" s="5" t="inlineStr">
        <is>
          <t>OV12</t>
        </is>
      </c>
      <c r="C44" s="5" t="inlineStr">
        <is>
          <t>S005</t>
        </is>
      </c>
      <c r="D44" s="4" t="inlineStr">
        <is>
          <t>Rahul Gandhi turns 53: before joining politics</t>
        </is>
      </c>
      <c r="E44" s="5" t="inlineStr">
        <is>
          <t>https://indianexpress.com/article/explained/explained-politics/rahul-gandhi-turns-53-what-he-was-doing-before-politics-8672843/lite/</t>
        </is>
      </c>
      <c r="F44" s="4" t="inlineStr">
        <is>
          <t>Passage inspected</t>
        </is>
      </c>
      <c r="G44" s="4" t="inlineStr">
        <is>
          <t>Overview</t>
        </is>
      </c>
      <c r="H44" s="4" t="inlineStr">
        <is>
          <t>Candidate reference; inspect Claims and Evidence for checked support.</t>
        </is>
      </c>
    </row>
    <row r="45" ht="52" customHeight="1">
      <c r="A45" s="6" t="inlineStr">
        <is>
          <t>OV12:S025</t>
        </is>
      </c>
      <c r="B45" s="7" t="inlineStr">
        <is>
          <t>OV12</t>
        </is>
      </c>
      <c r="C45" s="7" t="inlineStr">
        <is>
          <t>S025</t>
        </is>
      </c>
      <c r="D45" s="6" t="inlineStr">
        <is>
          <t>The T-Shirt Debate Shows India Is All About Testosterone</t>
        </is>
      </c>
      <c r="E45" s="7" t="inlineStr">
        <is>
          <t>https://m.thewire.in/article/politics/rahul-gandhi-t-shirt</t>
        </is>
      </c>
      <c r="F45" s="6" t="inlineStr">
        <is>
          <t>Passage inspected</t>
        </is>
      </c>
      <c r="G45" s="6" t="inlineStr">
        <is>
          <t>Overview</t>
        </is>
      </c>
      <c r="H45" s="6" t="inlineStr">
        <is>
          <t>Candidate reference; inspect Claims and Evidence for checked support.</t>
        </is>
      </c>
    </row>
    <row r="46" ht="80" customHeight="1">
      <c r="A46" s="4" t="inlineStr">
        <is>
          <t>OV13:S023</t>
        </is>
      </c>
      <c r="B46" s="5" t="inlineStr">
        <is>
          <t>OV13</t>
        </is>
      </c>
      <c r="C46" s="5" t="inlineStr">
        <is>
          <t>S023</t>
        </is>
      </c>
      <c r="D46" s="4" t="inlineStr">
        <is>
          <t>Ridiculed for a decade, Rahul Gandhi slows Modi juggernaut</t>
        </is>
      </c>
      <c r="E46" s="5" t="inlineStr">
        <is>
          <t>https://www.marketscreener.com/news/latest/Ridiculed-for-a-decade-India-s-Rahul-Gandhi-slows-Modi-juggernaut-46900641/</t>
        </is>
      </c>
      <c r="F46" s="4" t="inlineStr">
        <is>
          <t>Passage inspected</t>
        </is>
      </c>
      <c r="G46" s="4" t="inlineStr">
        <is>
          <t>Overview</t>
        </is>
      </c>
      <c r="H46" s="4" t="inlineStr">
        <is>
          <t>Candidate reference; inspect Claims and Evidence for checked support.</t>
        </is>
      </c>
    </row>
    <row r="47" ht="52" customHeight="1">
      <c r="A47" s="6" t="inlineStr">
        <is>
          <t>OV13:S024</t>
        </is>
      </c>
      <c r="B47" s="7" t="inlineStr">
        <is>
          <t>OV13</t>
        </is>
      </c>
      <c r="C47" s="7" t="inlineStr">
        <is>
          <t>S024</t>
        </is>
      </c>
      <c r="D47" s="6" t="inlineStr">
        <is>
          <t>The Resilience of India’s Fourth Party System</t>
        </is>
      </c>
      <c r="E47" s="7" t="inlineStr">
        <is>
          <t>https://carnegieendowment.org/research/2024/09/india-election-bjp-party-politics</t>
        </is>
      </c>
      <c r="F47" s="6" t="inlineStr">
        <is>
          <t>Passage inspected</t>
        </is>
      </c>
      <c r="G47" s="6" t="inlineStr">
        <is>
          <t>Overview</t>
        </is>
      </c>
      <c r="H47" s="6" t="inlineStr">
        <is>
          <t>Candidate reference; inspect Claims and Evidence for checked support.</t>
        </is>
      </c>
    </row>
    <row r="48" ht="80" customHeight="1">
      <c r="A48" s="4" t="inlineStr">
        <is>
          <t>OV13:S026</t>
        </is>
      </c>
      <c r="B48" s="5" t="inlineStr">
        <is>
          <t>OV13</t>
        </is>
      </c>
      <c r="C48" s="5" t="inlineStr">
        <is>
          <t>S026</t>
        </is>
      </c>
      <c r="D48" s="4" t="inlineStr">
        <is>
          <t>Congress camp’s Bihar post-mortem</t>
        </is>
      </c>
      <c r="E48" s="5" t="inlineStr">
        <is>
          <t>https://indianexpress.com/article/political-pulse/congress-camps-bihar-post-mortem-rahul-yatra-fiasco-allavaru-problem-weak-structure-10375553/</t>
        </is>
      </c>
      <c r="F48" s="4" t="inlineStr">
        <is>
          <t>Passage inspected</t>
        </is>
      </c>
      <c r="G48" s="4" t="inlineStr">
        <is>
          <t>Overview</t>
        </is>
      </c>
      <c r="H48" s="4" t="inlineStr">
        <is>
          <t>Candidate reference; inspect Claims and Evidence for checked support.</t>
        </is>
      </c>
    </row>
    <row r="49" ht="52" customHeight="1">
      <c r="A49" s="6" t="inlineStr">
        <is>
          <t>CT-P1-01:S024</t>
        </is>
      </c>
      <c r="B49" s="7" t="inlineStr">
        <is>
          <t>CT-P1-01</t>
        </is>
      </c>
      <c r="C49" s="7" t="inlineStr">
        <is>
          <t>S024</t>
        </is>
      </c>
      <c r="D49" s="6" t="inlineStr">
        <is>
          <t>The Resilience of India’s Fourth Party System</t>
        </is>
      </c>
      <c r="E49" s="7" t="inlineStr">
        <is>
          <t>https://carnegieendowment.org/research/2024/09/india-election-bjp-party-politics</t>
        </is>
      </c>
      <c r="F49" s="6" t="inlineStr">
        <is>
          <t>Passage inspected</t>
        </is>
      </c>
      <c r="G49" s="6" t="inlineStr">
        <is>
          <t>Context &amp; Constraints</t>
        </is>
      </c>
      <c r="H49" s="6" t="inlineStr">
        <is>
          <t>Candidate reference; inspect Claims and Evidence for checked support.</t>
        </is>
      </c>
    </row>
    <row r="50" ht="52" customHeight="1">
      <c r="A50" s="4" t="inlineStr">
        <is>
          <t>CT-P1-01:S004</t>
        </is>
      </c>
      <c r="B50" s="5" t="inlineStr">
        <is>
          <t>CT-P1-01</t>
        </is>
      </c>
      <c r="C50" s="5" t="inlineStr">
        <is>
          <t>S004</t>
        </is>
      </c>
      <c r="D50" s="4" t="inlineStr">
        <is>
          <t>Shri Rahul Gandhi: past party president</t>
        </is>
      </c>
      <c r="E50" s="5" t="inlineStr">
        <is>
          <t>https://inc.in/leadership/past-party-presidents/shri-rahul-gandhi</t>
        </is>
      </c>
      <c r="F50" s="4" t="inlineStr">
        <is>
          <t>Passage inspected</t>
        </is>
      </c>
      <c r="G50" s="4" t="inlineStr">
        <is>
          <t>Context &amp; Constraints</t>
        </is>
      </c>
      <c r="H50" s="4" t="inlineStr">
        <is>
          <t>Candidate reference; inspect Claims and Evidence for checked support.</t>
        </is>
      </c>
    </row>
    <row r="51" ht="80" customHeight="1">
      <c r="A51" s="6" t="inlineStr">
        <is>
          <t>CT-P1-02:S038</t>
        </is>
      </c>
      <c r="B51" s="7" t="inlineStr">
        <is>
          <t>CT-P1-02</t>
        </is>
      </c>
      <c r="C51" s="7" t="inlineStr">
        <is>
          <t>S038</t>
        </is>
      </c>
      <c r="D51" s="6" t="inlineStr">
        <is>
          <t>Rahul Gandhi criticises convicted-lawmakers ordinance</t>
        </is>
      </c>
      <c r="E51" s="7" t="inlineStr">
        <is>
          <t>https://www.ndtv.com/india-news/rahul-gandhi-calls-ordinance-on-convicted-lawmakers-nonsense-huge-embarrassment-for-pm-535906</t>
        </is>
      </c>
      <c r="F51" s="6" t="inlineStr">
        <is>
          <t>Passage inspected</t>
        </is>
      </c>
      <c r="G51" s="6" t="inlineStr">
        <is>
          <t>Context &amp; Constraints</t>
        </is>
      </c>
      <c r="H51" s="6" t="inlineStr">
        <is>
          <t>Candidate reference; inspect Claims and Evidence for checked support.</t>
        </is>
      </c>
    </row>
    <row r="52" ht="80" customHeight="1">
      <c r="A52" s="4" t="inlineStr">
        <is>
          <t>CT-P1-02:S039</t>
        </is>
      </c>
      <c r="B52" s="5" t="inlineStr">
        <is>
          <t>CT-P1-02</t>
        </is>
      </c>
      <c r="C52" s="5" t="inlineStr">
        <is>
          <t>S039</t>
        </is>
      </c>
      <c r="D52" s="4" t="inlineStr">
        <is>
          <t>Government withdraws ordinance plan</t>
        </is>
      </c>
      <c r="E52" s="5" t="inlineStr">
        <is>
          <t>https://www.business-standard.com/article/politics/govt-bows-before-rahul-withdraws-ordinance-plan-113100200706_1.html</t>
        </is>
      </c>
      <c r="F52" s="4" t="inlineStr">
        <is>
          <t>Passage inspected</t>
        </is>
      </c>
      <c r="G52" s="4" t="inlineStr">
        <is>
          <t>Context &amp; Constraints</t>
        </is>
      </c>
      <c r="H52" s="4" t="inlineStr">
        <is>
          <t>Candidate reference; inspect Claims and Evidence for checked support.</t>
        </is>
      </c>
    </row>
    <row r="53" ht="52" customHeight="1">
      <c r="A53" s="6" t="inlineStr">
        <is>
          <t>CT-P1-03:S009</t>
        </is>
      </c>
      <c r="B53" s="7" t="inlineStr">
        <is>
          <t>CT-P1-03</t>
        </is>
      </c>
      <c r="C53" s="7" t="inlineStr">
        <is>
          <t>S009</t>
        </is>
      </c>
      <c r="D53" s="6" t="inlineStr">
        <is>
          <t>2004 India General Election results</t>
        </is>
      </c>
      <c r="E53" s="7" t="inlineStr">
        <is>
          <t>https://www.elections.in/parliamentary-constituencies/2004-election-results.html</t>
        </is>
      </c>
      <c r="F53" s="6" t="inlineStr">
        <is>
          <t>Passage inspected</t>
        </is>
      </c>
      <c r="G53" s="6" t="inlineStr">
        <is>
          <t>Context &amp; Constraints</t>
        </is>
      </c>
      <c r="H53" s="6" t="inlineStr">
        <is>
          <t>Candidate reference; inspect Claims and Evidence for checked support.</t>
        </is>
      </c>
    </row>
    <row r="54" ht="80" customHeight="1">
      <c r="A54" s="4" t="inlineStr">
        <is>
          <t>CT-P1-03:S008</t>
        </is>
      </c>
      <c r="B54" s="5" t="inlineStr">
        <is>
          <t>CT-P1-03</t>
        </is>
      </c>
      <c r="C54" s="5" t="inlineStr">
        <is>
          <t>S008</t>
        </is>
      </c>
      <c r="D54" s="4" t="inlineStr">
        <is>
          <t>Amethi: past election results</t>
        </is>
      </c>
      <c r="E54" s="5" t="inlineStr">
        <is>
          <t>https://www.moneycontrol.com/elections/lok-sabha-election/uttar-pradesh/constituencies/amethi-constituency-s24led2008p037/</t>
        </is>
      </c>
      <c r="F54" s="4" t="inlineStr">
        <is>
          <t>Passage inspected</t>
        </is>
      </c>
      <c r="G54" s="4" t="inlineStr">
        <is>
          <t>Context &amp; Constraints</t>
        </is>
      </c>
      <c r="H54" s="4" t="inlineStr">
        <is>
          <t>Candidate reference; inspect Claims and Evidence for checked support.</t>
        </is>
      </c>
    </row>
    <row r="55" ht="52" customHeight="1">
      <c r="A55" s="6" t="inlineStr">
        <is>
          <t>CT-P1-04:S004</t>
        </is>
      </c>
      <c r="B55" s="7" t="inlineStr">
        <is>
          <t>CT-P1-04</t>
        </is>
      </c>
      <c r="C55" s="7" t="inlineStr">
        <is>
          <t>S004</t>
        </is>
      </c>
      <c r="D55" s="6" t="inlineStr">
        <is>
          <t>Shri Rahul Gandhi: past party president</t>
        </is>
      </c>
      <c r="E55" s="7" t="inlineStr">
        <is>
          <t>https://inc.in/leadership/past-party-presidents/shri-rahul-gandhi</t>
        </is>
      </c>
      <c r="F55" s="6" t="inlineStr">
        <is>
          <t>Passage inspected</t>
        </is>
      </c>
      <c r="G55" s="6" t="inlineStr">
        <is>
          <t>Context &amp; Constraints</t>
        </is>
      </c>
      <c r="H55" s="6" t="inlineStr">
        <is>
          <t>Candidate reference; inspect Claims and Evidence for checked support.</t>
        </is>
      </c>
    </row>
    <row r="56" ht="80" customHeight="1">
      <c r="A56" s="4" t="inlineStr">
        <is>
          <t>CT-P1-05:S005</t>
        </is>
      </c>
      <c r="B56" s="5" t="inlineStr">
        <is>
          <t>CT-P1-05</t>
        </is>
      </c>
      <c r="C56" s="5" t="inlineStr">
        <is>
          <t>S005</t>
        </is>
      </c>
      <c r="D56" s="4" t="inlineStr">
        <is>
          <t>Rahul Gandhi turns 53: before joining politics</t>
        </is>
      </c>
      <c r="E56" s="5" t="inlineStr">
        <is>
          <t>https://indianexpress.com/article/explained/explained-politics/rahul-gandhi-turns-53-what-he-was-doing-before-politics-8672843/lite/</t>
        </is>
      </c>
      <c r="F56" s="4" t="inlineStr">
        <is>
          <t>Passage inspected</t>
        </is>
      </c>
      <c r="G56" s="4" t="inlineStr">
        <is>
          <t>Context &amp; Constraints</t>
        </is>
      </c>
      <c r="H56" s="4" t="inlineStr">
        <is>
          <t>Candidate reference; inspect Claims and Evidence for checked support.</t>
        </is>
      </c>
    </row>
    <row r="57" ht="66" customHeight="1">
      <c r="A57" s="6" t="inlineStr">
        <is>
          <t>CT-P1-06:S034</t>
        </is>
      </c>
      <c r="B57" s="7" t="inlineStr">
        <is>
          <t>CT-P1-06</t>
        </is>
      </c>
      <c r="C57" s="7" t="inlineStr">
        <is>
          <t>S034</t>
        </is>
      </c>
      <c r="D57" s="6" t="inlineStr">
        <is>
          <t>Rahul Gandhi accepts responsibility for UP result</t>
        </is>
      </c>
      <c r="E57" s="7" t="inlineStr">
        <is>
          <t>https://www.ndtv.com/assembly/i-take-responsibility-says-rahul-gandhi-about-up-results-470319</t>
        </is>
      </c>
      <c r="F57" s="6" t="inlineStr">
        <is>
          <t>Passage inspected</t>
        </is>
      </c>
      <c r="G57" s="6" t="inlineStr">
        <is>
          <t>Context &amp; Constraints</t>
        </is>
      </c>
      <c r="H57" s="6" t="inlineStr">
        <is>
          <t>Candidate reference; inspect Claims and Evidence for checked support.</t>
        </is>
      </c>
    </row>
    <row r="58" ht="80" customHeight="1">
      <c r="A58" s="4" t="inlineStr">
        <is>
          <t>CT-P1-07:S021</t>
        </is>
      </c>
      <c r="B58" s="5" t="inlineStr">
        <is>
          <t>CT-P1-07</t>
        </is>
      </c>
      <c r="C58" s="5" t="inlineStr">
        <is>
          <t>S021</t>
        </is>
      </c>
      <c r="D58" s="4" t="inlineStr">
        <is>
          <t>Dissent over Rahul’s internal election system</t>
        </is>
      </c>
      <c r="E58" s="5" t="inlineStr">
        <is>
          <t>https://indianexpress.com/article/political-pulse/in-kerala-youth-cong-dissent-over-rahuls-internal-election-system/</t>
        </is>
      </c>
      <c r="F58" s="4" t="inlineStr">
        <is>
          <t>Passage inspected</t>
        </is>
      </c>
      <c r="G58" s="4" t="inlineStr">
        <is>
          <t>Context &amp; Constraints</t>
        </is>
      </c>
      <c r="H58" s="4" t="inlineStr">
        <is>
          <t>Candidate reference; inspect Claims and Evidence for checked support.</t>
        </is>
      </c>
    </row>
    <row r="59" ht="66" customHeight="1">
      <c r="A59" s="6" t="inlineStr">
        <is>
          <t>CT-P1-07:S022</t>
        </is>
      </c>
      <c r="B59" s="7" t="inlineStr">
        <is>
          <t>CT-P1-07</t>
        </is>
      </c>
      <c r="C59" s="7" t="inlineStr">
        <is>
          <t>S022</t>
        </is>
      </c>
      <c r="D59" s="6" t="inlineStr">
        <is>
          <t>Youth Congress to retain internal polls</t>
        </is>
      </c>
      <c r="E59" s="7" t="inlineStr">
        <is>
          <t>https://timesofindia.indiatimes.com/india/youth-congress-to-retain-internal-polls/articleshow/36734347.cms</t>
        </is>
      </c>
      <c r="F59" s="6" t="inlineStr">
        <is>
          <t>Passage inspected</t>
        </is>
      </c>
      <c r="G59" s="6" t="inlineStr">
        <is>
          <t>Context &amp; Constraints</t>
        </is>
      </c>
      <c r="H59" s="6" t="inlineStr">
        <is>
          <t>Candidate reference; inspect Claims and Evidence for checked support.</t>
        </is>
      </c>
    </row>
    <row r="60" ht="52" customHeight="1">
      <c r="A60" s="4" t="inlineStr">
        <is>
          <t>CT-P1-08:S004</t>
        </is>
      </c>
      <c r="B60" s="5" t="inlineStr">
        <is>
          <t>CT-P1-08</t>
        </is>
      </c>
      <c r="C60" s="5" t="inlineStr">
        <is>
          <t>S004</t>
        </is>
      </c>
      <c r="D60" s="4" t="inlineStr">
        <is>
          <t>Shri Rahul Gandhi: past party president</t>
        </is>
      </c>
      <c r="E60" s="5" t="inlineStr">
        <is>
          <t>https://inc.in/leadership/past-party-presidents/shri-rahul-gandhi</t>
        </is>
      </c>
      <c r="F60" s="4" t="inlineStr">
        <is>
          <t>Passage inspected</t>
        </is>
      </c>
      <c r="G60" s="4" t="inlineStr">
        <is>
          <t>Context &amp; Constraints</t>
        </is>
      </c>
      <c r="H60" s="4" t="inlineStr">
        <is>
          <t>Candidate reference; inspect Claims and Evidence for checked support.</t>
        </is>
      </c>
    </row>
    <row r="61" ht="66" customHeight="1">
      <c r="A61" s="6" t="inlineStr">
        <is>
          <t>CT-P1-08:S034</t>
        </is>
      </c>
      <c r="B61" s="7" t="inlineStr">
        <is>
          <t>CT-P1-08</t>
        </is>
      </c>
      <c r="C61" s="7" t="inlineStr">
        <is>
          <t>S034</t>
        </is>
      </c>
      <c r="D61" s="6" t="inlineStr">
        <is>
          <t>Rahul Gandhi accepts responsibility for UP result</t>
        </is>
      </c>
      <c r="E61" s="7" t="inlineStr">
        <is>
          <t>https://www.ndtv.com/assembly/i-take-responsibility-says-rahul-gandhi-about-up-results-470319</t>
        </is>
      </c>
      <c r="F61" s="6" t="inlineStr">
        <is>
          <t>Passage inspected</t>
        </is>
      </c>
      <c r="G61" s="6" t="inlineStr">
        <is>
          <t>Context &amp; Constraints</t>
        </is>
      </c>
      <c r="H61" s="6" t="inlineStr">
        <is>
          <t>Candidate reference; inspect Claims and Evidence for checked support.</t>
        </is>
      </c>
    </row>
    <row r="62" ht="52" customHeight="1">
      <c r="A62" s="4" t="inlineStr">
        <is>
          <t>CT-P1-09:S009</t>
        </is>
      </c>
      <c r="B62" s="5" t="inlineStr">
        <is>
          <t>CT-P1-09</t>
        </is>
      </c>
      <c r="C62" s="5" t="inlineStr">
        <is>
          <t>S009</t>
        </is>
      </c>
      <c r="D62" s="4" t="inlineStr">
        <is>
          <t>2004 India General Election results</t>
        </is>
      </c>
      <c r="E62" s="5" t="inlineStr">
        <is>
          <t>https://www.elections.in/parliamentary-constituencies/2004-election-results.html</t>
        </is>
      </c>
      <c r="F62" s="4" t="inlineStr">
        <is>
          <t>Passage inspected</t>
        </is>
      </c>
      <c r="G62" s="4" t="inlineStr">
        <is>
          <t>Context &amp; Constraints</t>
        </is>
      </c>
      <c r="H62" s="4" t="inlineStr">
        <is>
          <t>Candidate reference; inspect Claims and Evidence for checked support.</t>
        </is>
      </c>
    </row>
    <row r="63" ht="80" customHeight="1">
      <c r="A63" s="6" t="inlineStr">
        <is>
          <t>CT-P1-09:S008</t>
        </is>
      </c>
      <c r="B63" s="7" t="inlineStr">
        <is>
          <t>CT-P1-09</t>
        </is>
      </c>
      <c r="C63" s="7" t="inlineStr">
        <is>
          <t>S008</t>
        </is>
      </c>
      <c r="D63" s="6" t="inlineStr">
        <is>
          <t>Amethi: past election results</t>
        </is>
      </c>
      <c r="E63" s="7" t="inlineStr">
        <is>
          <t>https://www.moneycontrol.com/elections/lok-sabha-election/uttar-pradesh/constituencies/amethi-constituency-s24led2008p037/</t>
        </is>
      </c>
      <c r="F63" s="6" t="inlineStr">
        <is>
          <t>Passage inspected</t>
        </is>
      </c>
      <c r="G63" s="6" t="inlineStr">
        <is>
          <t>Context &amp; Constraints</t>
        </is>
      </c>
      <c r="H63" s="6" t="inlineStr">
        <is>
          <t>Candidate reference; inspect Claims and Evidence for checked support.</t>
        </is>
      </c>
    </row>
    <row r="64" ht="66" customHeight="1">
      <c r="A64" s="4" t="inlineStr">
        <is>
          <t>CT-P1-09:S034</t>
        </is>
      </c>
      <c r="B64" s="5" t="inlineStr">
        <is>
          <t>CT-P1-09</t>
        </is>
      </c>
      <c r="C64" s="5" t="inlineStr">
        <is>
          <t>S034</t>
        </is>
      </c>
      <c r="D64" s="4" t="inlineStr">
        <is>
          <t>Rahul Gandhi accepts responsibility for UP result</t>
        </is>
      </c>
      <c r="E64" s="5" t="inlineStr">
        <is>
          <t>https://www.ndtv.com/assembly/i-take-responsibility-says-rahul-gandhi-about-up-results-470319</t>
        </is>
      </c>
      <c r="F64" s="4" t="inlineStr">
        <is>
          <t>Passage inspected</t>
        </is>
      </c>
      <c r="G64" s="4" t="inlineStr">
        <is>
          <t>Context &amp; Constraints</t>
        </is>
      </c>
      <c r="H64" s="4" t="inlineStr">
        <is>
          <t>Candidate reference; inspect Claims and Evidence for checked support.</t>
        </is>
      </c>
    </row>
    <row r="65" ht="52" customHeight="1">
      <c r="A65" s="6" t="inlineStr">
        <is>
          <t>CT-P1-10:S004</t>
        </is>
      </c>
      <c r="B65" s="7" t="inlineStr">
        <is>
          <t>CT-P1-10</t>
        </is>
      </c>
      <c r="C65" s="7" t="inlineStr">
        <is>
          <t>S004</t>
        </is>
      </c>
      <c r="D65" s="6" t="inlineStr">
        <is>
          <t>Shri Rahul Gandhi: past party president</t>
        </is>
      </c>
      <c r="E65" s="7" t="inlineStr">
        <is>
          <t>https://inc.in/leadership/past-party-presidents/shri-rahul-gandhi</t>
        </is>
      </c>
      <c r="F65" s="6" t="inlineStr">
        <is>
          <t>Passage inspected</t>
        </is>
      </c>
      <c r="G65" s="6" t="inlineStr">
        <is>
          <t>Context &amp; Constraints</t>
        </is>
      </c>
      <c r="H65" s="6" t="inlineStr">
        <is>
          <t>Candidate reference; inspect Claims and Evidence for checked support.</t>
        </is>
      </c>
    </row>
    <row r="66" ht="52" customHeight="1">
      <c r="A66" s="4" t="inlineStr">
        <is>
          <t>CT-P1-10:S009</t>
        </is>
      </c>
      <c r="B66" s="5" t="inlineStr">
        <is>
          <t>CT-P1-10</t>
        </is>
      </c>
      <c r="C66" s="5" t="inlineStr">
        <is>
          <t>S009</t>
        </is>
      </c>
      <c r="D66" s="4" t="inlineStr">
        <is>
          <t>2004 India General Election results</t>
        </is>
      </c>
      <c r="E66" s="5" t="inlineStr">
        <is>
          <t>https://www.elections.in/parliamentary-constituencies/2004-election-results.html</t>
        </is>
      </c>
      <c r="F66" s="4" t="inlineStr">
        <is>
          <t>Passage inspected</t>
        </is>
      </c>
      <c r="G66" s="4" t="inlineStr">
        <is>
          <t>Context &amp; Constraints</t>
        </is>
      </c>
      <c r="H66" s="4" t="inlineStr">
        <is>
          <t>Candidate reference; inspect Claims and Evidence for checked support.</t>
        </is>
      </c>
    </row>
    <row r="67" ht="80" customHeight="1">
      <c r="A67" s="6" t="inlineStr">
        <is>
          <t>CT-P1-10:S008</t>
        </is>
      </c>
      <c r="B67" s="7" t="inlineStr">
        <is>
          <t>CT-P1-10</t>
        </is>
      </c>
      <c r="C67" s="7" t="inlineStr">
        <is>
          <t>S008</t>
        </is>
      </c>
      <c r="D67" s="6" t="inlineStr">
        <is>
          <t>Amethi: past election results</t>
        </is>
      </c>
      <c r="E67" s="7" t="inlineStr">
        <is>
          <t>https://www.moneycontrol.com/elections/lok-sabha-election/uttar-pradesh/constituencies/amethi-constituency-s24led2008p037/</t>
        </is>
      </c>
      <c r="F67" s="6" t="inlineStr">
        <is>
          <t>Passage inspected</t>
        </is>
      </c>
      <c r="G67" s="6" t="inlineStr">
        <is>
          <t>Context &amp; Constraints</t>
        </is>
      </c>
      <c r="H67" s="6" t="inlineStr">
        <is>
          <t>Candidate reference; inspect Claims and Evidence for checked support.</t>
        </is>
      </c>
    </row>
    <row r="68" ht="52" customHeight="1">
      <c r="A68" s="4" t="inlineStr">
        <is>
          <t>CT-P2-01:S024</t>
        </is>
      </c>
      <c r="B68" s="5" t="inlineStr">
        <is>
          <t>CT-P2-01</t>
        </is>
      </c>
      <c r="C68" s="5" t="inlineStr">
        <is>
          <t>S024</t>
        </is>
      </c>
      <c r="D68" s="4" t="inlineStr">
        <is>
          <t>The Resilience of India’s Fourth Party System</t>
        </is>
      </c>
      <c r="E68" s="5" t="inlineStr">
        <is>
          <t>https://carnegieendowment.org/research/2024/09/india-election-bjp-party-politics</t>
        </is>
      </c>
      <c r="F68" s="4" t="inlineStr">
        <is>
          <t>Passage inspected</t>
        </is>
      </c>
      <c r="G68" s="4" t="inlineStr">
        <is>
          <t>Context &amp; Constraints</t>
        </is>
      </c>
      <c r="H68" s="4" t="inlineStr">
        <is>
          <t>Candidate reference; inspect Claims and Evidence for checked support.</t>
        </is>
      </c>
    </row>
    <row r="69" ht="66" customHeight="1">
      <c r="A69" s="6" t="inlineStr">
        <is>
          <t>CT-P2-01:S014</t>
        </is>
      </c>
      <c r="B69" s="7" t="inlineStr">
        <is>
          <t>CT-P2-01</t>
        </is>
      </c>
      <c r="C69" s="7" t="inlineStr">
        <is>
          <t>S014</t>
        </is>
      </c>
      <c r="D69" s="6" t="inlineStr">
        <is>
          <t>Rahul Gandhi’s resignation letter and accountability statement</t>
        </is>
      </c>
      <c r="E69" s="7" t="inlineStr">
        <is>
          <t>https://www.ndtv.com/india-news/rahul-gandhis-open-letter-full-text-at-times-i-stood-completely-alone-2063455</t>
        </is>
      </c>
      <c r="F69" s="6" t="inlineStr">
        <is>
          <t>Passage inspected</t>
        </is>
      </c>
      <c r="G69" s="6" t="inlineStr">
        <is>
          <t>Context &amp; Constraints</t>
        </is>
      </c>
      <c r="H69" s="6" t="inlineStr">
        <is>
          <t>Candidate reference; inspect Claims and Evidence for checked support.</t>
        </is>
      </c>
    </row>
    <row r="70" ht="94" customHeight="1">
      <c r="A70" s="4" t="inlineStr">
        <is>
          <t>CT-P2-02:S032</t>
        </is>
      </c>
      <c r="B70" s="5" t="inlineStr">
        <is>
          <t>CT-P2-02</t>
        </is>
      </c>
      <c r="C70" s="5" t="inlineStr">
        <is>
          <t>S032</t>
        </is>
      </c>
      <c r="D70" s="4" t="inlineStr">
        <is>
          <t>Land Acquisition Second Amendment Bill 2015</t>
        </is>
      </c>
      <c r="E70" s="5" t="inlineStr">
        <is>
          <t>https://prsindia.org/billtrack/the-right-to-fair-compensation-and-transparency-in-land-acquisition-rehabilitation-and-resettlement-second-amendment-bill-2015</t>
        </is>
      </c>
      <c r="F70" s="4" t="inlineStr">
        <is>
          <t>Passage inspected</t>
        </is>
      </c>
      <c r="G70" s="4" t="inlineStr">
        <is>
          <t>Context &amp; Constraints</t>
        </is>
      </c>
      <c r="H70" s="4" t="inlineStr">
        <is>
          <t>Candidate reference; inspect Claims and Evidence for checked support.</t>
        </is>
      </c>
    </row>
    <row r="71" ht="94" customHeight="1">
      <c r="A71" s="6" t="inlineStr">
        <is>
          <t>CT-P2-02:S037</t>
        </is>
      </c>
      <c r="B71" s="7" t="inlineStr">
        <is>
          <t>CT-P2-02</t>
        </is>
      </c>
      <c r="C71" s="7" t="inlineStr">
        <is>
          <t>S037</t>
        </is>
      </c>
      <c r="D71" s="6" t="inlineStr">
        <is>
          <t>Rahul Gandhi vows to oppose land bill</t>
        </is>
      </c>
      <c r="E71" s="7" t="inlineStr">
        <is>
          <t>https://economictimes.indiatimes.com/news/politics-and-nation/rahul-gandhi-vows-to-oppose-land-bill-inside-and-outside-parliament/articleshow/47249971.cms</t>
        </is>
      </c>
      <c r="F71" s="6" t="inlineStr">
        <is>
          <t>Passage inspected</t>
        </is>
      </c>
      <c r="G71" s="6" t="inlineStr">
        <is>
          <t>Context &amp; Constraints</t>
        </is>
      </c>
      <c r="H71" s="6" t="inlineStr">
        <is>
          <t>Candidate reference; inspect Claims and Evidence for checked support.</t>
        </is>
      </c>
    </row>
    <row r="72" ht="80" customHeight="1">
      <c r="A72" s="4" t="inlineStr">
        <is>
          <t>CT-P2-03:S008</t>
        </is>
      </c>
      <c r="B72" s="5" t="inlineStr">
        <is>
          <t>CT-P2-03</t>
        </is>
      </c>
      <c r="C72" s="5" t="inlineStr">
        <is>
          <t>S008</t>
        </is>
      </c>
      <c r="D72" s="4" t="inlineStr">
        <is>
          <t>Amethi: past election results</t>
        </is>
      </c>
      <c r="E72" s="5" t="inlineStr">
        <is>
          <t>https://www.moneycontrol.com/elections/lok-sabha-election/uttar-pradesh/constituencies/amethi-constituency-s24led2008p037/</t>
        </is>
      </c>
      <c r="F72" s="4" t="inlineStr">
        <is>
          <t>Passage inspected</t>
        </is>
      </c>
      <c r="G72" s="4" t="inlineStr">
        <is>
          <t>Context &amp; Constraints</t>
        </is>
      </c>
      <c r="H72" s="4" t="inlineStr">
        <is>
          <t>Candidate reference; inspect Claims and Evidence for checked support.</t>
        </is>
      </c>
    </row>
    <row r="73" ht="66" customHeight="1">
      <c r="A73" s="6" t="inlineStr">
        <is>
          <t>CT-P2-03:S007</t>
        </is>
      </c>
      <c r="B73" s="7" t="inlineStr">
        <is>
          <t>CT-P2-03</t>
        </is>
      </c>
      <c r="C73" s="7" t="inlineStr">
        <is>
          <t>S007</t>
        </is>
      </c>
      <c r="D73" s="6" t="inlineStr">
        <is>
          <t>Analysis of Vote Share and Margin of Victory: Lok Sabha 2019</t>
        </is>
      </c>
      <c r="E73" s="7" t="inlineStr">
        <is>
          <t>https://adrindia.org/sites/default/files/Analysis_of_Vote_Share_Margin_Of_Victory_Lok_Sabha__2019.pdf</t>
        </is>
      </c>
      <c r="F73" s="6" t="inlineStr">
        <is>
          <t>Passage inspected</t>
        </is>
      </c>
      <c r="G73" s="6" t="inlineStr">
        <is>
          <t>Context &amp; Constraints</t>
        </is>
      </c>
      <c r="H73" s="6" t="inlineStr">
        <is>
          <t>Candidate reference; inspect Claims and Evidence for checked support.</t>
        </is>
      </c>
    </row>
    <row r="74" ht="44" customHeight="1">
      <c r="A74" s="4" t="inlineStr">
        <is>
          <t>CT-P2-03:S041</t>
        </is>
      </c>
      <c r="B74" s="5" t="inlineStr">
        <is>
          <t>CT-P2-03</t>
        </is>
      </c>
      <c r="C74" s="5" t="inlineStr">
        <is>
          <t>S041</t>
        </is>
      </c>
      <c r="D74" s="4" t="inlineStr">
        <is>
          <t>Elected members: Lok Sabha 2019</t>
        </is>
      </c>
      <c r="E74" s="5" t="inlineStr">
        <is>
          <t>https://www.ceo.kerala.gov.in/electedmembers</t>
        </is>
      </c>
      <c r="F74" s="4" t="inlineStr">
        <is>
          <t>Passage inspected</t>
        </is>
      </c>
      <c r="G74" s="4" t="inlineStr">
        <is>
          <t>Context &amp; Constraints</t>
        </is>
      </c>
      <c r="H74" s="4" t="inlineStr">
        <is>
          <t>Candidate reference; inspect Claims and Evidence for checked support.</t>
        </is>
      </c>
    </row>
    <row r="75" ht="94" customHeight="1">
      <c r="A75" s="6" t="inlineStr">
        <is>
          <t>CT-P2-04:S037</t>
        </is>
      </c>
      <c r="B75" s="7" t="inlineStr">
        <is>
          <t>CT-P2-04</t>
        </is>
      </c>
      <c r="C75" s="7" t="inlineStr">
        <is>
          <t>S037</t>
        </is>
      </c>
      <c r="D75" s="6" t="inlineStr">
        <is>
          <t>Rahul Gandhi vows to oppose land bill</t>
        </is>
      </c>
      <c r="E75" s="7" t="inlineStr">
        <is>
          <t>https://economictimes.indiatimes.com/news/politics-and-nation/rahul-gandhi-vows-to-oppose-land-bill-inside-and-outside-parliament/articleshow/47249971.cms</t>
        </is>
      </c>
      <c r="F75" s="6" t="inlineStr">
        <is>
          <t>Passage inspected</t>
        </is>
      </c>
      <c r="G75" s="6" t="inlineStr">
        <is>
          <t>Context &amp; Constraints</t>
        </is>
      </c>
      <c r="H75" s="6" t="inlineStr">
        <is>
          <t>Candidate reference; inspect Claims and Evidence for checked support.</t>
        </is>
      </c>
    </row>
    <row r="76" ht="66" customHeight="1">
      <c r="A76" s="4" t="inlineStr">
        <is>
          <t>CT-P2-04:S028</t>
        </is>
      </c>
      <c r="B76" s="5" t="inlineStr">
        <is>
          <t>CT-P2-04</t>
        </is>
      </c>
      <c r="C76" s="5" t="inlineStr">
        <is>
          <t>S028</t>
        </is>
      </c>
      <c r="D76" s="4" t="inlineStr">
        <is>
          <t>Rs 72,000 NYAY promise</t>
        </is>
      </c>
      <c r="E76" s="5" t="inlineStr">
        <is>
          <t>https://www.ndtv.com/india-news/rs-72-000-will-be-given-to-beneficiaries-under-nyay-scheme-rahul-gandhi-2031993</t>
        </is>
      </c>
      <c r="F76" s="4" t="inlineStr">
        <is>
          <t>Passage inspected</t>
        </is>
      </c>
      <c r="G76" s="4" t="inlineStr">
        <is>
          <t>Context &amp; Constraints</t>
        </is>
      </c>
      <c r="H76" s="4" t="inlineStr">
        <is>
          <t>Candidate reference; inspect Claims and Evidence for checked support.</t>
        </is>
      </c>
    </row>
    <row r="77" ht="66" customHeight="1">
      <c r="A77" s="6" t="inlineStr">
        <is>
          <t>CT-P2-04:S014</t>
        </is>
      </c>
      <c r="B77" s="7" t="inlineStr">
        <is>
          <t>CT-P2-04</t>
        </is>
      </c>
      <c r="C77" s="7" t="inlineStr">
        <is>
          <t>S014</t>
        </is>
      </c>
      <c r="D77" s="6" t="inlineStr">
        <is>
          <t>Rahul Gandhi’s resignation letter and accountability statement</t>
        </is>
      </c>
      <c r="E77" s="7" t="inlineStr">
        <is>
          <t>https://www.ndtv.com/india-news/rahul-gandhis-open-letter-full-text-at-times-i-stood-completely-alone-2063455</t>
        </is>
      </c>
      <c r="F77" s="6" t="inlineStr">
        <is>
          <t>Passage inspected</t>
        </is>
      </c>
      <c r="G77" s="6" t="inlineStr">
        <is>
          <t>Context &amp; Constraints</t>
        </is>
      </c>
      <c r="H77" s="6" t="inlineStr">
        <is>
          <t>Candidate reference; inspect Claims and Evidence for checked support.</t>
        </is>
      </c>
    </row>
    <row r="78" ht="66" customHeight="1">
      <c r="A78" s="4" t="inlineStr">
        <is>
          <t>CT-P2-05:S014</t>
        </is>
      </c>
      <c r="B78" s="5" t="inlineStr">
        <is>
          <t>CT-P2-05</t>
        </is>
      </c>
      <c r="C78" s="5" t="inlineStr">
        <is>
          <t>S014</t>
        </is>
      </c>
      <c r="D78" s="4" t="inlineStr">
        <is>
          <t>Rahul Gandhi’s resignation letter and accountability statement</t>
        </is>
      </c>
      <c r="E78" s="5" t="inlineStr">
        <is>
          <t>https://www.ndtv.com/india-news/rahul-gandhis-open-letter-full-text-at-times-i-stood-completely-alone-2063455</t>
        </is>
      </c>
      <c r="F78" s="4" t="inlineStr">
        <is>
          <t>Passage inspected</t>
        </is>
      </c>
      <c r="G78" s="4" t="inlineStr">
        <is>
          <t>Context &amp; Constraints</t>
        </is>
      </c>
      <c r="H78" s="4" t="inlineStr">
        <is>
          <t>Candidate reference; inspect Claims and Evidence for checked support.</t>
        </is>
      </c>
    </row>
    <row r="79" ht="66" customHeight="1">
      <c r="A79" s="6" t="inlineStr">
        <is>
          <t>CT-P2-06:S014</t>
        </is>
      </c>
      <c r="B79" s="7" t="inlineStr">
        <is>
          <t>CT-P2-06</t>
        </is>
      </c>
      <c r="C79" s="7" t="inlineStr">
        <is>
          <t>S014</t>
        </is>
      </c>
      <c r="D79" s="6" t="inlineStr">
        <is>
          <t>Rahul Gandhi’s resignation letter and accountability statement</t>
        </is>
      </c>
      <c r="E79" s="7" t="inlineStr">
        <is>
          <t>https://www.ndtv.com/india-news/rahul-gandhis-open-letter-full-text-at-times-i-stood-completely-alone-2063455</t>
        </is>
      </c>
      <c r="F79" s="6" t="inlineStr">
        <is>
          <t>Passage inspected</t>
        </is>
      </c>
      <c r="G79" s="6" t="inlineStr">
        <is>
          <t>Context &amp; Constraints</t>
        </is>
      </c>
      <c r="H79" s="6" t="inlineStr">
        <is>
          <t>Candidate reference; inspect Claims and Evidence for checked support.</t>
        </is>
      </c>
    </row>
    <row r="80" ht="52" customHeight="1">
      <c r="A80" s="4" t="inlineStr">
        <is>
          <t>CT-P2-07:S004</t>
        </is>
      </c>
      <c r="B80" s="5" t="inlineStr">
        <is>
          <t>CT-P2-07</t>
        </is>
      </c>
      <c r="C80" s="5" t="inlineStr">
        <is>
          <t>S004</t>
        </is>
      </c>
      <c r="D80" s="4" t="inlineStr">
        <is>
          <t>Shri Rahul Gandhi: past party president</t>
        </is>
      </c>
      <c r="E80" s="5" t="inlineStr">
        <is>
          <t>https://inc.in/leadership/past-party-presidents/shri-rahul-gandhi</t>
        </is>
      </c>
      <c r="F80" s="4" t="inlineStr">
        <is>
          <t>Passage inspected</t>
        </is>
      </c>
      <c r="G80" s="4" t="inlineStr">
        <is>
          <t>Context &amp; Constraints</t>
        </is>
      </c>
      <c r="H80" s="4" t="inlineStr">
        <is>
          <t>Candidate reference; inspect Claims and Evidence for checked support.</t>
        </is>
      </c>
    </row>
    <row r="81" ht="80" customHeight="1">
      <c r="A81" s="6" t="inlineStr">
        <is>
          <t>CT-P2-07:S021</t>
        </is>
      </c>
      <c r="B81" s="7" t="inlineStr">
        <is>
          <t>CT-P2-07</t>
        </is>
      </c>
      <c r="C81" s="7" t="inlineStr">
        <is>
          <t>S021</t>
        </is>
      </c>
      <c r="D81" s="6" t="inlineStr">
        <is>
          <t>Dissent over Rahul’s internal election system</t>
        </is>
      </c>
      <c r="E81" s="7" t="inlineStr">
        <is>
          <t>https://indianexpress.com/article/political-pulse/in-kerala-youth-cong-dissent-over-rahuls-internal-election-system/</t>
        </is>
      </c>
      <c r="F81" s="6" t="inlineStr">
        <is>
          <t>Passage inspected</t>
        </is>
      </c>
      <c r="G81" s="6" t="inlineStr">
        <is>
          <t>Context &amp; Constraints</t>
        </is>
      </c>
      <c r="H81" s="6" t="inlineStr">
        <is>
          <t>Candidate reference; inspect Claims and Evidence for checked support.</t>
        </is>
      </c>
    </row>
    <row r="82" ht="66" customHeight="1">
      <c r="A82" s="4" t="inlineStr">
        <is>
          <t>CT-P2-07:S022</t>
        </is>
      </c>
      <c r="B82" s="5" t="inlineStr">
        <is>
          <t>CT-P2-07</t>
        </is>
      </c>
      <c r="C82" s="5" t="inlineStr">
        <is>
          <t>S022</t>
        </is>
      </c>
      <c r="D82" s="4" t="inlineStr">
        <is>
          <t>Youth Congress to retain internal polls</t>
        </is>
      </c>
      <c r="E82" s="5" t="inlineStr">
        <is>
          <t>https://timesofindia.indiatimes.com/india/youth-congress-to-retain-internal-polls/articleshow/36734347.cms</t>
        </is>
      </c>
      <c r="F82" s="4" t="inlineStr">
        <is>
          <t>Passage inspected</t>
        </is>
      </c>
      <c r="G82" s="4" t="inlineStr">
        <is>
          <t>Context &amp; Constraints</t>
        </is>
      </c>
      <c r="H82" s="4" t="inlineStr">
        <is>
          <t>Candidate reference; inspect Claims and Evidence for checked support.</t>
        </is>
      </c>
    </row>
    <row r="83" ht="66" customHeight="1">
      <c r="A83" s="6" t="inlineStr">
        <is>
          <t>CT-P2-07:S014</t>
        </is>
      </c>
      <c r="B83" s="7" t="inlineStr">
        <is>
          <t>CT-P2-07</t>
        </is>
      </c>
      <c r="C83" s="7" t="inlineStr">
        <is>
          <t>S014</t>
        </is>
      </c>
      <c r="D83" s="6" t="inlineStr">
        <is>
          <t>Rahul Gandhi’s resignation letter and accountability statement</t>
        </is>
      </c>
      <c r="E83" s="7" t="inlineStr">
        <is>
          <t>https://www.ndtv.com/india-news/rahul-gandhis-open-letter-full-text-at-times-i-stood-completely-alone-2063455</t>
        </is>
      </c>
      <c r="F83" s="6" t="inlineStr">
        <is>
          <t>Passage inspected</t>
        </is>
      </c>
      <c r="G83" s="6" t="inlineStr">
        <is>
          <t>Context &amp; Constraints</t>
        </is>
      </c>
      <c r="H83" s="6" t="inlineStr">
        <is>
          <t>Candidate reference; inspect Claims and Evidence for checked support.</t>
        </is>
      </c>
    </row>
    <row r="84" ht="94" customHeight="1">
      <c r="A84" s="4" t="inlineStr">
        <is>
          <t>CT-P2-08:S037</t>
        </is>
      </c>
      <c r="B84" s="5" t="inlineStr">
        <is>
          <t>CT-P2-08</t>
        </is>
      </c>
      <c r="C84" s="5" t="inlineStr">
        <is>
          <t>S037</t>
        </is>
      </c>
      <c r="D84" s="4" t="inlineStr">
        <is>
          <t>Rahul Gandhi vows to oppose land bill</t>
        </is>
      </c>
      <c r="E84" s="5" t="inlineStr">
        <is>
          <t>https://economictimes.indiatimes.com/news/politics-and-nation/rahul-gandhi-vows-to-oppose-land-bill-inside-and-outside-parliament/articleshow/47249971.cms</t>
        </is>
      </c>
      <c r="F84" s="4" t="inlineStr">
        <is>
          <t>Passage inspected</t>
        </is>
      </c>
      <c r="G84" s="4" t="inlineStr">
        <is>
          <t>Context &amp; Constraints</t>
        </is>
      </c>
      <c r="H84" s="4" t="inlineStr">
        <is>
          <t>Candidate reference; inspect Claims and Evidence for checked support.</t>
        </is>
      </c>
    </row>
    <row r="85" ht="66" customHeight="1">
      <c r="A85" s="6" t="inlineStr">
        <is>
          <t>CT-P2-08:S028</t>
        </is>
      </c>
      <c r="B85" s="7" t="inlineStr">
        <is>
          <t>CT-P2-08</t>
        </is>
      </c>
      <c r="C85" s="7" t="inlineStr">
        <is>
          <t>S028</t>
        </is>
      </c>
      <c r="D85" s="6" t="inlineStr">
        <is>
          <t>Rs 72,000 NYAY promise</t>
        </is>
      </c>
      <c r="E85" s="7" t="inlineStr">
        <is>
          <t>https://www.ndtv.com/india-news/rs-72-000-will-be-given-to-beneficiaries-under-nyay-scheme-rahul-gandhi-2031993</t>
        </is>
      </c>
      <c r="F85" s="6" t="inlineStr">
        <is>
          <t>Passage inspected</t>
        </is>
      </c>
      <c r="G85" s="6" t="inlineStr">
        <is>
          <t>Context &amp; Constraints</t>
        </is>
      </c>
      <c r="H85" s="6" t="inlineStr">
        <is>
          <t>Candidate reference; inspect Claims and Evidence for checked support.</t>
        </is>
      </c>
    </row>
    <row r="86" ht="66" customHeight="1">
      <c r="A86" s="4" t="inlineStr">
        <is>
          <t>CT-P2-09:S007</t>
        </is>
      </c>
      <c r="B86" s="5" t="inlineStr">
        <is>
          <t>CT-P2-09</t>
        </is>
      </c>
      <c r="C86" s="5" t="inlineStr">
        <is>
          <t>S007</t>
        </is>
      </c>
      <c r="D86" s="4" t="inlineStr">
        <is>
          <t>Analysis of Vote Share and Margin of Victory: Lok Sabha 2019</t>
        </is>
      </c>
      <c r="E86" s="5" t="inlineStr">
        <is>
          <t>https://adrindia.org/sites/default/files/Analysis_of_Vote_Share_Margin_Of_Victory_Lok_Sabha__2019.pdf</t>
        </is>
      </c>
      <c r="F86" s="4" t="inlineStr">
        <is>
          <t>Passage inspected</t>
        </is>
      </c>
      <c r="G86" s="4" t="inlineStr">
        <is>
          <t>Context &amp; Constraints</t>
        </is>
      </c>
      <c r="H86" s="4" t="inlineStr">
        <is>
          <t>Candidate reference; inspect Claims and Evidence for checked support.</t>
        </is>
      </c>
    </row>
    <row r="87" ht="44" customHeight="1">
      <c r="A87" s="6" t="inlineStr">
        <is>
          <t>CT-P2-09:S041</t>
        </is>
      </c>
      <c r="B87" s="7" t="inlineStr">
        <is>
          <t>CT-P2-09</t>
        </is>
      </c>
      <c r="C87" s="7" t="inlineStr">
        <is>
          <t>S041</t>
        </is>
      </c>
      <c r="D87" s="6" t="inlineStr">
        <is>
          <t>Elected members: Lok Sabha 2019</t>
        </is>
      </c>
      <c r="E87" s="7" t="inlineStr">
        <is>
          <t>https://www.ceo.kerala.gov.in/electedmembers</t>
        </is>
      </c>
      <c r="F87" s="6" t="inlineStr">
        <is>
          <t>Passage inspected</t>
        </is>
      </c>
      <c r="G87" s="6" t="inlineStr">
        <is>
          <t>Context &amp; Constraints</t>
        </is>
      </c>
      <c r="H87" s="6" t="inlineStr">
        <is>
          <t>Candidate reference; inspect Claims and Evidence for checked support.</t>
        </is>
      </c>
    </row>
    <row r="88" ht="80" customHeight="1">
      <c r="A88" s="4" t="inlineStr">
        <is>
          <t>CT-P2-10:S021</t>
        </is>
      </c>
      <c r="B88" s="5" t="inlineStr">
        <is>
          <t>CT-P2-10</t>
        </is>
      </c>
      <c r="C88" s="5" t="inlineStr">
        <is>
          <t>S021</t>
        </is>
      </c>
      <c r="D88" s="4" t="inlineStr">
        <is>
          <t>Dissent over Rahul’s internal election system</t>
        </is>
      </c>
      <c r="E88" s="5" t="inlineStr">
        <is>
          <t>https://indianexpress.com/article/political-pulse/in-kerala-youth-cong-dissent-over-rahuls-internal-election-system/</t>
        </is>
      </c>
      <c r="F88" s="4" t="inlineStr">
        <is>
          <t>Passage inspected</t>
        </is>
      </c>
      <c r="G88" s="4" t="inlineStr">
        <is>
          <t>Context &amp; Constraints</t>
        </is>
      </c>
      <c r="H88" s="4" t="inlineStr">
        <is>
          <t>Candidate reference; inspect Claims and Evidence for checked support.</t>
        </is>
      </c>
    </row>
    <row r="89" ht="66" customHeight="1">
      <c r="A89" s="6" t="inlineStr">
        <is>
          <t>CT-P2-10:S022</t>
        </is>
      </c>
      <c r="B89" s="7" t="inlineStr">
        <is>
          <t>CT-P2-10</t>
        </is>
      </c>
      <c r="C89" s="7" t="inlineStr">
        <is>
          <t>S022</t>
        </is>
      </c>
      <c r="D89" s="6" t="inlineStr">
        <is>
          <t>Youth Congress to retain internal polls</t>
        </is>
      </c>
      <c r="E89" s="7" t="inlineStr">
        <is>
          <t>https://timesofindia.indiatimes.com/india/youth-congress-to-retain-internal-polls/articleshow/36734347.cms</t>
        </is>
      </c>
      <c r="F89" s="6" t="inlineStr">
        <is>
          <t>Passage inspected</t>
        </is>
      </c>
      <c r="G89" s="6" t="inlineStr">
        <is>
          <t>Context &amp; Constraints</t>
        </is>
      </c>
      <c r="H89" s="6" t="inlineStr">
        <is>
          <t>Candidate reference; inspect Claims and Evidence for checked support.</t>
        </is>
      </c>
    </row>
    <row r="90" ht="80" customHeight="1">
      <c r="A90" s="4" t="inlineStr">
        <is>
          <t>CT-P2-10:S008</t>
        </is>
      </c>
      <c r="B90" s="5" t="inlineStr">
        <is>
          <t>CT-P2-10</t>
        </is>
      </c>
      <c r="C90" s="5" t="inlineStr">
        <is>
          <t>S008</t>
        </is>
      </c>
      <c r="D90" s="4" t="inlineStr">
        <is>
          <t>Amethi: past election results</t>
        </is>
      </c>
      <c r="E90" s="5" t="inlineStr">
        <is>
          <t>https://www.moneycontrol.com/elections/lok-sabha-election/uttar-pradesh/constituencies/amethi-constituency-s24led2008p037/</t>
        </is>
      </c>
      <c r="F90" s="4" t="inlineStr">
        <is>
          <t>Passage inspected</t>
        </is>
      </c>
      <c r="G90" s="4" t="inlineStr">
        <is>
          <t>Context &amp; Constraints</t>
        </is>
      </c>
      <c r="H90" s="4" t="inlineStr">
        <is>
          <t>Candidate reference; inspect Claims and Evidence for checked support.</t>
        </is>
      </c>
    </row>
    <row r="91" ht="66" customHeight="1">
      <c r="A91" s="6" t="inlineStr">
        <is>
          <t>CT-P3-01:S014</t>
        </is>
      </c>
      <c r="B91" s="7" t="inlineStr">
        <is>
          <t>CT-P3-01</t>
        </is>
      </c>
      <c r="C91" s="7" t="inlineStr">
        <is>
          <t>S014</t>
        </is>
      </c>
      <c r="D91" s="6" t="inlineStr">
        <is>
          <t>Rahul Gandhi’s resignation letter and accountability statement</t>
        </is>
      </c>
      <c r="E91" s="7" t="inlineStr">
        <is>
          <t>https://www.ndtv.com/india-news/rahul-gandhis-open-letter-full-text-at-times-i-stood-completely-alone-2063455</t>
        </is>
      </c>
      <c r="F91" s="6" t="inlineStr">
        <is>
          <t>Passage inspected</t>
        </is>
      </c>
      <c r="G91" s="6" t="inlineStr">
        <is>
          <t>Context &amp; Constraints</t>
        </is>
      </c>
      <c r="H91" s="6" t="inlineStr">
        <is>
          <t>Candidate reference; inspect Claims and Evidence for checked support.</t>
        </is>
      </c>
    </row>
    <row r="92" ht="80" customHeight="1">
      <c r="A92" s="4" t="inlineStr">
        <is>
          <t>CT-P3-01:S023</t>
        </is>
      </c>
      <c r="B92" s="5" t="inlineStr">
        <is>
          <t>CT-P3-01</t>
        </is>
      </c>
      <c r="C92" s="5" t="inlineStr">
        <is>
          <t>S023</t>
        </is>
      </c>
      <c r="D92" s="4" t="inlineStr">
        <is>
          <t>Ridiculed for a decade, Rahul Gandhi slows Modi juggernaut</t>
        </is>
      </c>
      <c r="E92" s="5" t="inlineStr">
        <is>
          <t>https://www.marketscreener.com/news/latest/Ridiculed-for-a-decade-India-s-Rahul-Gandhi-slows-Modi-juggernaut-46900641/</t>
        </is>
      </c>
      <c r="F92" s="4" t="inlineStr">
        <is>
          <t>Passage inspected</t>
        </is>
      </c>
      <c r="G92" s="4" t="inlineStr">
        <is>
          <t>Context &amp; Constraints</t>
        </is>
      </c>
      <c r="H92" s="4" t="inlineStr">
        <is>
          <t>Candidate reference; inspect Claims and Evidence for checked support.</t>
        </is>
      </c>
    </row>
    <row r="93" ht="66" customHeight="1">
      <c r="A93" s="6" t="inlineStr">
        <is>
          <t>CT-P3-02:S010</t>
        </is>
      </c>
      <c r="B93" s="7" t="inlineStr">
        <is>
          <t>CT-P3-02</t>
        </is>
      </c>
      <c r="C93" s="7" t="inlineStr">
        <is>
          <t>S010</t>
        </is>
      </c>
      <c r="D93" s="6" t="inlineStr">
        <is>
          <t>Rahul Gandhi v Purnesh Ishwarbhai Modi: stay order</t>
        </is>
      </c>
      <c r="E93" s="7" t="inlineStr">
        <is>
          <t>https://api.sci.gov.in/supremecourt/2023/27941/27941_2023_4_55_45901_Order_04-Aug-2023.pdf</t>
        </is>
      </c>
      <c r="F93" s="6" t="inlineStr">
        <is>
          <t>Passage inspected</t>
        </is>
      </c>
      <c r="G93" s="6" t="inlineStr">
        <is>
          <t>Context &amp; Constraints</t>
        </is>
      </c>
      <c r="H93" s="6" t="inlineStr">
        <is>
          <t>Candidate reference; inspect Claims and Evidence for checked support.</t>
        </is>
      </c>
    </row>
    <row r="94" ht="66" customHeight="1">
      <c r="A94" s="4" t="inlineStr">
        <is>
          <t>CT-P3-02:S011</t>
        </is>
      </c>
      <c r="B94" s="5" t="inlineStr">
        <is>
          <t>CT-P3-02</t>
        </is>
      </c>
      <c r="C94" s="5" t="inlineStr">
        <is>
          <t>S011</t>
        </is>
      </c>
      <c r="D94" s="4" t="inlineStr">
        <is>
          <t>Rahul Gandhi’s MP status restored</t>
        </is>
      </c>
      <c r="E94" s="5" t="inlineStr">
        <is>
          <t>https://indianexpress.com/article/political-pulse/rahul-gandhi-returns-mp-lok-sabha-supreme-court-8880307/</t>
        </is>
      </c>
      <c r="F94" s="4" t="inlineStr">
        <is>
          <t>Passage inspected</t>
        </is>
      </c>
      <c r="G94" s="4" t="inlineStr">
        <is>
          <t>Context &amp; Constraints</t>
        </is>
      </c>
      <c r="H94" s="4" t="inlineStr">
        <is>
          <t>Candidate reference; inspect Claims and Evidence for checked support.</t>
        </is>
      </c>
    </row>
    <row r="95" ht="44" customHeight="1">
      <c r="A95" s="6" t="inlineStr">
        <is>
          <t>CT-P3-03:S042</t>
        </is>
      </c>
      <c r="B95" s="7" t="inlineStr">
        <is>
          <t>CT-P3-03</t>
        </is>
      </c>
      <c r="C95" s="7" t="inlineStr">
        <is>
          <t>S042</t>
        </is>
      </c>
      <c r="D95" s="6" t="inlineStr">
        <is>
          <t>Rahul Gandhi: 17th Lok Sabha MPTrack</t>
        </is>
      </c>
      <c r="E95" s="7" t="inlineStr">
        <is>
          <t>https://prsindia.org/mptrack/17-lok-sabha/rahul-gandhi</t>
        </is>
      </c>
      <c r="F95" s="6" t="inlineStr">
        <is>
          <t>Passage inspected</t>
        </is>
      </c>
      <c r="G95" s="6" t="inlineStr">
        <is>
          <t>Context &amp; Constraints</t>
        </is>
      </c>
      <c r="H95" s="6" t="inlineStr">
        <is>
          <t>Candidate reference; inspect Claims and Evidence for checked support.</t>
        </is>
      </c>
    </row>
    <row r="96" ht="66" customHeight="1">
      <c r="A96" s="4" t="inlineStr">
        <is>
          <t>CT-P3-03:S011</t>
        </is>
      </c>
      <c r="B96" s="5" t="inlineStr">
        <is>
          <t>CT-P3-03</t>
        </is>
      </c>
      <c r="C96" s="5" t="inlineStr">
        <is>
          <t>S011</t>
        </is>
      </c>
      <c r="D96" s="4" t="inlineStr">
        <is>
          <t>Rahul Gandhi’s MP status restored</t>
        </is>
      </c>
      <c r="E96" s="5" t="inlineStr">
        <is>
          <t>https://indianexpress.com/article/political-pulse/rahul-gandhi-returns-mp-lok-sabha-supreme-court-8880307/</t>
        </is>
      </c>
      <c r="F96" s="4" t="inlineStr">
        <is>
          <t>Passage inspected</t>
        </is>
      </c>
      <c r="G96" s="4" t="inlineStr">
        <is>
          <t>Context &amp; Constraints</t>
        </is>
      </c>
      <c r="H96" s="4" t="inlineStr">
        <is>
          <t>Candidate reference; inspect Claims and Evidence for checked support.</t>
        </is>
      </c>
    </row>
    <row r="97" ht="44" customHeight="1">
      <c r="A97" s="6" t="inlineStr">
        <is>
          <t>CT-P3-04:S018</t>
        </is>
      </c>
      <c r="B97" s="7" t="inlineStr">
        <is>
          <t>CT-P3-04</t>
        </is>
      </c>
      <c r="C97" s="7" t="inlineStr">
        <is>
          <t>S018</t>
        </is>
      </c>
      <c r="D97" s="6" t="inlineStr">
        <is>
          <t>Nyay Patra 2024: Youth</t>
        </is>
      </c>
      <c r="E97" s="7" t="inlineStr">
        <is>
          <t>https://manifesto.inc.in/en/youth/</t>
        </is>
      </c>
      <c r="F97" s="6" t="inlineStr">
        <is>
          <t>Passage inspected</t>
        </is>
      </c>
      <c r="G97" s="6" t="inlineStr">
        <is>
          <t>Context &amp; Constraints</t>
        </is>
      </c>
      <c r="H97" s="6" t="inlineStr">
        <is>
          <t>Candidate reference; inspect Claims and Evidence for checked support.</t>
        </is>
      </c>
    </row>
    <row r="98" ht="44" customHeight="1">
      <c r="A98" s="4" t="inlineStr">
        <is>
          <t>CT-P3-04:S019</t>
        </is>
      </c>
      <c r="B98" s="5" t="inlineStr">
        <is>
          <t>CT-P3-04</t>
        </is>
      </c>
      <c r="C98" s="5" t="inlineStr">
        <is>
          <t>S019</t>
        </is>
      </c>
      <c r="D98" s="4" t="inlineStr">
        <is>
          <t>Nyay Patra 2024: Farmers</t>
        </is>
      </c>
      <c r="E98" s="5" t="inlineStr">
        <is>
          <t>https://manifesto.inc.in/en/farmers/</t>
        </is>
      </c>
      <c r="F98" s="4" t="inlineStr">
        <is>
          <t>Passage inspected</t>
        </is>
      </c>
      <c r="G98" s="4" t="inlineStr">
        <is>
          <t>Context &amp; Constraints</t>
        </is>
      </c>
      <c r="H98" s="4" t="inlineStr">
        <is>
          <t>Candidate reference; inspect Claims and Evidence for checked support.</t>
        </is>
      </c>
    </row>
    <row r="99" ht="44" customHeight="1">
      <c r="A99" s="6" t="inlineStr">
        <is>
          <t>CT-P3-04:S017</t>
        </is>
      </c>
      <c r="B99" s="7" t="inlineStr">
        <is>
          <t>CT-P3-04</t>
        </is>
      </c>
      <c r="C99" s="7" t="inlineStr">
        <is>
          <t>S017</t>
        </is>
      </c>
      <c r="D99" s="6" t="inlineStr">
        <is>
          <t>Nyay Patra 2024: Women</t>
        </is>
      </c>
      <c r="E99" s="7" t="inlineStr">
        <is>
          <t>https://manifesto.inc.in/en/women/</t>
        </is>
      </c>
      <c r="F99" s="6" t="inlineStr">
        <is>
          <t>Passage inspected</t>
        </is>
      </c>
      <c r="G99" s="6" t="inlineStr">
        <is>
          <t>Context &amp; Constraints</t>
        </is>
      </c>
      <c r="H99" s="6" t="inlineStr">
        <is>
          <t>Candidate reference; inspect Claims and Evidence for checked support.</t>
        </is>
      </c>
    </row>
    <row r="100" ht="44" customHeight="1">
      <c r="A100" s="4" t="inlineStr">
        <is>
          <t>CT-P3-05:S020</t>
        </is>
      </c>
      <c r="B100" s="5" t="inlineStr">
        <is>
          <t>CT-P3-05</t>
        </is>
      </c>
      <c r="C100" s="5" t="inlineStr">
        <is>
          <t>S020</t>
        </is>
      </c>
      <c r="D100" s="4" t="inlineStr">
        <is>
          <t>Nyay Patra 2024: National Security</t>
        </is>
      </c>
      <c r="E100" s="5" t="inlineStr">
        <is>
          <t>https://manifesto.inc.in/en/national-security/</t>
        </is>
      </c>
      <c r="F100" s="4" t="inlineStr">
        <is>
          <t>Passage inspected</t>
        </is>
      </c>
      <c r="G100" s="4" t="inlineStr">
        <is>
          <t>Context &amp; Constraints</t>
        </is>
      </c>
      <c r="H100" s="4" t="inlineStr">
        <is>
          <t>Candidate reference; inspect Claims and Evidence for checked support.</t>
        </is>
      </c>
    </row>
    <row r="101" ht="66" customHeight="1">
      <c r="A101" s="6" t="inlineStr">
        <is>
          <t>CT-P3-06:S015</t>
        </is>
      </c>
      <c r="B101" s="7" t="inlineStr">
        <is>
          <t>CT-P3-06</t>
        </is>
      </c>
      <c r="C101" s="7" t="inlineStr">
        <is>
          <t>S015</t>
        </is>
      </c>
      <c r="D101" s="6" t="inlineStr">
        <is>
          <t>Rahul Gandhi at the conclusion of Bharat Jodo Yatra</t>
        </is>
      </c>
      <c r="E101" s="7" t="inlineStr">
        <is>
          <t>https://indianexpress.com/article/political-pulse/rahul-modi-shah-doval-srinagar-bharat-jodo-yatra-8413548/</t>
        </is>
      </c>
      <c r="F101" s="6" t="inlineStr">
        <is>
          <t>Passage inspected</t>
        </is>
      </c>
      <c r="G101" s="6" t="inlineStr">
        <is>
          <t>Context &amp; Constraints</t>
        </is>
      </c>
      <c r="H101" s="6" t="inlineStr">
        <is>
          <t>Candidate reference; inspect Claims and Evidence for checked support.</t>
        </is>
      </c>
    </row>
    <row r="102" ht="52" customHeight="1">
      <c r="A102" s="4" t="inlineStr">
        <is>
          <t>CT-P3-06:S025</t>
        </is>
      </c>
      <c r="B102" s="5" t="inlineStr">
        <is>
          <t>CT-P3-06</t>
        </is>
      </c>
      <c r="C102" s="5" t="inlineStr">
        <is>
          <t>S025</t>
        </is>
      </c>
      <c r="D102" s="4" t="inlineStr">
        <is>
          <t>The T-Shirt Debate Shows India Is All About Testosterone</t>
        </is>
      </c>
      <c r="E102" s="5" t="inlineStr">
        <is>
          <t>https://m.thewire.in/article/politics/rahul-gandhi-t-shirt</t>
        </is>
      </c>
      <c r="F102" s="4" t="inlineStr">
        <is>
          <t>Passage inspected</t>
        </is>
      </c>
      <c r="G102" s="4" t="inlineStr">
        <is>
          <t>Context &amp; Constraints</t>
        </is>
      </c>
      <c r="H102" s="4" t="inlineStr">
        <is>
          <t>Candidate reference; inspect Claims and Evidence for checked support.</t>
        </is>
      </c>
    </row>
    <row r="103" ht="80" customHeight="1">
      <c r="A103" s="6" t="inlineStr">
        <is>
          <t>CT-P3-06:S023</t>
        </is>
      </c>
      <c r="B103" s="7" t="inlineStr">
        <is>
          <t>CT-P3-06</t>
        </is>
      </c>
      <c r="C103" s="7" t="inlineStr">
        <is>
          <t>S023</t>
        </is>
      </c>
      <c r="D103" s="6" t="inlineStr">
        <is>
          <t>Ridiculed for a decade, Rahul Gandhi slows Modi juggernaut</t>
        </is>
      </c>
      <c r="E103" s="7" t="inlineStr">
        <is>
          <t>https://www.marketscreener.com/news/latest/Ridiculed-for-a-decade-India-s-Rahul-Gandhi-slows-Modi-juggernaut-46900641/</t>
        </is>
      </c>
      <c r="F103" s="6" t="inlineStr">
        <is>
          <t>Passage inspected</t>
        </is>
      </c>
      <c r="G103" s="6" t="inlineStr">
        <is>
          <t>Context &amp; Constraints</t>
        </is>
      </c>
      <c r="H103" s="6" t="inlineStr">
        <is>
          <t>Candidate reference; inspect Claims and Evidence for checked support.</t>
        </is>
      </c>
    </row>
    <row r="104" ht="52" customHeight="1">
      <c r="A104" s="4" t="inlineStr">
        <is>
          <t>CT-P3-07:S004</t>
        </is>
      </c>
      <c r="B104" s="5" t="inlineStr">
        <is>
          <t>CT-P3-07</t>
        </is>
      </c>
      <c r="C104" s="5" t="inlineStr">
        <is>
          <t>S004</t>
        </is>
      </c>
      <c r="D104" s="4" t="inlineStr">
        <is>
          <t>Shri Rahul Gandhi: past party president</t>
        </is>
      </c>
      <c r="E104" s="5" t="inlineStr">
        <is>
          <t>https://inc.in/leadership/past-party-presidents/shri-rahul-gandhi</t>
        </is>
      </c>
      <c r="F104" s="4" t="inlineStr">
        <is>
          <t>Passage inspected</t>
        </is>
      </c>
      <c r="G104" s="4" t="inlineStr">
        <is>
          <t>Context &amp; Constraints</t>
        </is>
      </c>
      <c r="H104" s="4" t="inlineStr">
        <is>
          <t>Candidate reference; inspect Claims and Evidence for checked support.</t>
        </is>
      </c>
    </row>
    <row r="105" ht="66" customHeight="1">
      <c r="A105" s="6" t="inlineStr">
        <is>
          <t>CT-P3-07:S015</t>
        </is>
      </c>
      <c r="B105" s="7" t="inlineStr">
        <is>
          <t>CT-P3-07</t>
        </is>
      </c>
      <c r="C105" s="7" t="inlineStr">
        <is>
          <t>S015</t>
        </is>
      </c>
      <c r="D105" s="6" t="inlineStr">
        <is>
          <t>Rahul Gandhi at the conclusion of Bharat Jodo Yatra</t>
        </is>
      </c>
      <c r="E105" s="7" t="inlineStr">
        <is>
          <t>https://indianexpress.com/article/political-pulse/rahul-modi-shah-doval-srinagar-bharat-jodo-yatra-8413548/</t>
        </is>
      </c>
      <c r="F105" s="6" t="inlineStr">
        <is>
          <t>Passage inspected</t>
        </is>
      </c>
      <c r="G105" s="6" t="inlineStr">
        <is>
          <t>Context &amp; Constraints</t>
        </is>
      </c>
      <c r="H105" s="6" t="inlineStr">
        <is>
          <t>Candidate reference; inspect Claims and Evidence for checked support.</t>
        </is>
      </c>
    </row>
    <row r="106" ht="80" customHeight="1">
      <c r="A106" s="4" t="inlineStr">
        <is>
          <t>CT-P3-07:S023</t>
        </is>
      </c>
      <c r="B106" s="5" t="inlineStr">
        <is>
          <t>CT-P3-07</t>
        </is>
      </c>
      <c r="C106" s="5" t="inlineStr">
        <is>
          <t>S023</t>
        </is>
      </c>
      <c r="D106" s="4" t="inlineStr">
        <is>
          <t>Ridiculed for a decade, Rahul Gandhi slows Modi juggernaut</t>
        </is>
      </c>
      <c r="E106" s="5" t="inlineStr">
        <is>
          <t>https://www.marketscreener.com/news/latest/Ridiculed-for-a-decade-India-s-Rahul-Gandhi-slows-Modi-juggernaut-46900641/</t>
        </is>
      </c>
      <c r="F106" s="4" t="inlineStr">
        <is>
          <t>Passage inspected</t>
        </is>
      </c>
      <c r="G106" s="4" t="inlineStr">
        <is>
          <t>Context &amp; Constraints</t>
        </is>
      </c>
      <c r="H106" s="4" t="inlineStr">
        <is>
          <t>Candidate reference; inspect Claims and Evidence for checked support.</t>
        </is>
      </c>
    </row>
    <row r="107" ht="66" customHeight="1">
      <c r="A107" s="6" t="inlineStr">
        <is>
          <t>CT-P3-08:S015</t>
        </is>
      </c>
      <c r="B107" s="7" t="inlineStr">
        <is>
          <t>CT-P3-08</t>
        </is>
      </c>
      <c r="C107" s="7" t="inlineStr">
        <is>
          <t>S015</t>
        </is>
      </c>
      <c r="D107" s="6" t="inlineStr">
        <is>
          <t>Rahul Gandhi at the conclusion of Bharat Jodo Yatra</t>
        </is>
      </c>
      <c r="E107" s="7" t="inlineStr">
        <is>
          <t>https://indianexpress.com/article/political-pulse/rahul-modi-shah-doval-srinagar-bharat-jodo-yatra-8413548/</t>
        </is>
      </c>
      <c r="F107" s="6" t="inlineStr">
        <is>
          <t>Passage inspected</t>
        </is>
      </c>
      <c r="G107" s="6" t="inlineStr">
        <is>
          <t>Context &amp; Constraints</t>
        </is>
      </c>
      <c r="H107" s="6" t="inlineStr">
        <is>
          <t>Candidate reference; inspect Claims and Evidence for checked support.</t>
        </is>
      </c>
    </row>
    <row r="108" ht="44" customHeight="1">
      <c r="A108" s="4" t="inlineStr">
        <is>
          <t>CT-P3-08:S016</t>
        </is>
      </c>
      <c r="B108" s="5" t="inlineStr">
        <is>
          <t>CT-P3-08</t>
        </is>
      </c>
      <c r="C108" s="5" t="inlineStr">
        <is>
          <t>S016</t>
        </is>
      </c>
      <c r="D108" s="4" t="inlineStr">
        <is>
          <t>Nyay Patra 2024: Equity</t>
        </is>
      </c>
      <c r="E108" s="5" t="inlineStr">
        <is>
          <t>https://manifesto.inc.in/en/equity/</t>
        </is>
      </c>
      <c r="F108" s="4" t="inlineStr">
        <is>
          <t>Passage inspected</t>
        </is>
      </c>
      <c r="G108" s="4" t="inlineStr">
        <is>
          <t>Context &amp; Constraints</t>
        </is>
      </c>
      <c r="H108" s="4" t="inlineStr">
        <is>
          <t>Candidate reference; inspect Claims and Evidence for checked support.</t>
        </is>
      </c>
    </row>
    <row r="109" ht="44" customHeight="1">
      <c r="A109" s="6" t="inlineStr">
        <is>
          <t>CT-P3-09:S042</t>
        </is>
      </c>
      <c r="B109" s="7" t="inlineStr">
        <is>
          <t>CT-P3-09</t>
        </is>
      </c>
      <c r="C109" s="7" t="inlineStr">
        <is>
          <t>S042</t>
        </is>
      </c>
      <c r="D109" s="6" t="inlineStr">
        <is>
          <t>Rahul Gandhi: 17th Lok Sabha MPTrack</t>
        </is>
      </c>
      <c r="E109" s="7" t="inlineStr">
        <is>
          <t>https://prsindia.org/mptrack/17-lok-sabha/rahul-gandhi</t>
        </is>
      </c>
      <c r="F109" s="6" t="inlineStr">
        <is>
          <t>Passage inspected</t>
        </is>
      </c>
      <c r="G109" s="6" t="inlineStr">
        <is>
          <t>Context &amp; Constraints</t>
        </is>
      </c>
      <c r="H109" s="6" t="inlineStr">
        <is>
          <t>Candidate reference; inspect Claims and Evidence for checked support.</t>
        </is>
      </c>
    </row>
    <row r="110" ht="52" customHeight="1">
      <c r="A110" s="4" t="inlineStr">
        <is>
          <t>CT-P3-09:S004</t>
        </is>
      </c>
      <c r="B110" s="5" t="inlineStr">
        <is>
          <t>CT-P3-09</t>
        </is>
      </c>
      <c r="C110" s="5" t="inlineStr">
        <is>
          <t>S004</t>
        </is>
      </c>
      <c r="D110" s="4" t="inlineStr">
        <is>
          <t>Shri Rahul Gandhi: past party president</t>
        </is>
      </c>
      <c r="E110" s="5" t="inlineStr">
        <is>
          <t>https://inc.in/leadership/past-party-presidents/shri-rahul-gandhi</t>
        </is>
      </c>
      <c r="F110" s="4" t="inlineStr">
        <is>
          <t>Passage inspected</t>
        </is>
      </c>
      <c r="G110" s="4" t="inlineStr">
        <is>
          <t>Context &amp; Constraints</t>
        </is>
      </c>
      <c r="H110" s="4" t="inlineStr">
        <is>
          <t>Candidate reference; inspect Claims and Evidence for checked support.</t>
        </is>
      </c>
    </row>
    <row r="111" ht="66" customHeight="1">
      <c r="A111" s="6" t="inlineStr">
        <is>
          <t>CT-P3-10:S010</t>
        </is>
      </c>
      <c r="B111" s="7" t="inlineStr">
        <is>
          <t>CT-P3-10</t>
        </is>
      </c>
      <c r="C111" s="7" t="inlineStr">
        <is>
          <t>S010</t>
        </is>
      </c>
      <c r="D111" s="6" t="inlineStr">
        <is>
          <t>Rahul Gandhi v Purnesh Ishwarbhai Modi: stay order</t>
        </is>
      </c>
      <c r="E111" s="7" t="inlineStr">
        <is>
          <t>https://api.sci.gov.in/supremecourt/2023/27941/27941_2023_4_55_45901_Order_04-Aug-2023.pdf</t>
        </is>
      </c>
      <c r="F111" s="6" t="inlineStr">
        <is>
          <t>Passage inspected</t>
        </is>
      </c>
      <c r="G111" s="6" t="inlineStr">
        <is>
          <t>Context &amp; Constraints</t>
        </is>
      </c>
      <c r="H111" s="6" t="inlineStr">
        <is>
          <t>Candidate reference; inspect Claims and Evidence for checked support.</t>
        </is>
      </c>
    </row>
    <row r="112" ht="66" customHeight="1">
      <c r="A112" s="4" t="inlineStr">
        <is>
          <t>CT-P3-10:S011</t>
        </is>
      </c>
      <c r="B112" s="5" t="inlineStr">
        <is>
          <t>CT-P3-10</t>
        </is>
      </c>
      <c r="C112" s="5" t="inlineStr">
        <is>
          <t>S011</t>
        </is>
      </c>
      <c r="D112" s="4" t="inlineStr">
        <is>
          <t>Rahul Gandhi’s MP status restored</t>
        </is>
      </c>
      <c r="E112" s="5" t="inlineStr">
        <is>
          <t>https://indianexpress.com/article/political-pulse/rahul-gandhi-returns-mp-lok-sabha-supreme-court-8880307/</t>
        </is>
      </c>
      <c r="F112" s="4" t="inlineStr">
        <is>
          <t>Passage inspected</t>
        </is>
      </c>
      <c r="G112" s="4" t="inlineStr">
        <is>
          <t>Context &amp; Constraints</t>
        </is>
      </c>
      <c r="H112" s="4" t="inlineStr">
        <is>
          <t>Candidate reference; inspect Claims and Evidence for checked support.</t>
        </is>
      </c>
    </row>
    <row r="113" ht="52" customHeight="1">
      <c r="A113" s="6" t="inlineStr">
        <is>
          <t>CT-P4-01:S024</t>
        </is>
      </c>
      <c r="B113" s="7" t="inlineStr">
        <is>
          <t>CT-P4-01</t>
        </is>
      </c>
      <c r="C113" s="7" t="inlineStr">
        <is>
          <t>S024</t>
        </is>
      </c>
      <c r="D113" s="6" t="inlineStr">
        <is>
          <t>The Resilience of India’s Fourth Party System</t>
        </is>
      </c>
      <c r="E113" s="7" t="inlineStr">
        <is>
          <t>https://carnegieendowment.org/research/2024/09/india-election-bjp-party-politics</t>
        </is>
      </c>
      <c r="F113" s="6" t="inlineStr">
        <is>
          <t>Passage inspected</t>
        </is>
      </c>
      <c r="G113" s="6" t="inlineStr">
        <is>
          <t>Context &amp; Constraints</t>
        </is>
      </c>
      <c r="H113" s="6" t="inlineStr">
        <is>
          <t>Candidate reference; inspect Claims and Evidence for checked support.</t>
        </is>
      </c>
    </row>
    <row r="114" ht="44" customHeight="1">
      <c r="A114" s="4" t="inlineStr">
        <is>
          <t>CT-P4-01:S002</t>
        </is>
      </c>
      <c r="B114" s="5" t="inlineStr">
        <is>
          <t>CT-P4-01</t>
        </is>
      </c>
      <c r="C114" s="5" t="inlineStr">
        <is>
          <t>S002</t>
        </is>
      </c>
      <c r="D114" s="4" t="inlineStr">
        <is>
          <t>Leader of Opposition</t>
        </is>
      </c>
      <c r="E114" s="5" t="inlineStr">
        <is>
          <t>https://sansad.in/ls/about/leader-of-opposition</t>
        </is>
      </c>
      <c r="F114" s="4" t="inlineStr">
        <is>
          <t>Passage inspected</t>
        </is>
      </c>
      <c r="G114" s="4" t="inlineStr">
        <is>
          <t>Context &amp; Constraints</t>
        </is>
      </c>
      <c r="H114" s="4" t="inlineStr">
        <is>
          <t>Candidate reference; inspect Claims and Evidence for checked support.</t>
        </is>
      </c>
    </row>
    <row r="115" ht="44" customHeight="1">
      <c r="A115" s="6" t="inlineStr">
        <is>
          <t>CT-P4-02:S002</t>
        </is>
      </c>
      <c r="B115" s="7" t="inlineStr">
        <is>
          <t>CT-P4-02</t>
        </is>
      </c>
      <c r="C115" s="7" t="inlineStr">
        <is>
          <t>S002</t>
        </is>
      </c>
      <c r="D115" s="6" t="inlineStr">
        <is>
          <t>Leader of Opposition</t>
        </is>
      </c>
      <c r="E115" s="7" t="inlineStr">
        <is>
          <t>https://sansad.in/ls/about/leader-of-opposition</t>
        </is>
      </c>
      <c r="F115" s="6" t="inlineStr">
        <is>
          <t>Passage inspected</t>
        </is>
      </c>
      <c r="G115" s="6" t="inlineStr">
        <is>
          <t>Context &amp; Constraints</t>
        </is>
      </c>
      <c r="H115" s="6" t="inlineStr">
        <is>
          <t>Candidate reference; inspect Claims and Evidence for checked support.</t>
        </is>
      </c>
    </row>
    <row r="116" ht="44" customHeight="1">
      <c r="A116" s="4" t="inlineStr">
        <is>
          <t>CT-P4-02:S003</t>
        </is>
      </c>
      <c r="B116" s="5" t="inlineStr">
        <is>
          <t>CT-P4-02</t>
        </is>
      </c>
      <c r="C116" s="5" t="inlineStr">
        <is>
          <t>S003</t>
        </is>
      </c>
      <c r="D116" s="4" t="inlineStr">
        <is>
          <t>Rahul Gandhi: 18th Lok Sabha MPTrack</t>
        </is>
      </c>
      <c r="E116" s="5" t="inlineStr">
        <is>
          <t>https://prsindia.org/mptrack/18-lok-sabha/rahul-gandhi</t>
        </is>
      </c>
      <c r="F116" s="4" t="inlineStr">
        <is>
          <t>Passage inspected</t>
        </is>
      </c>
      <c r="G116" s="4" t="inlineStr">
        <is>
          <t>Context &amp; Constraints</t>
        </is>
      </c>
      <c r="H116" s="4" t="inlineStr">
        <is>
          <t>Candidate reference; inspect Claims and Evidence for checked support.</t>
        </is>
      </c>
    </row>
    <row r="117" ht="80" customHeight="1">
      <c r="A117" s="6" t="inlineStr">
        <is>
          <t>CT-P4-03:S006</t>
        </is>
      </c>
      <c r="B117" s="7" t="inlineStr">
        <is>
          <t>CT-P4-03</t>
        </is>
      </c>
      <c r="C117" s="7" t="inlineStr">
        <is>
          <t>S006</t>
        </is>
      </c>
      <c r="D117" s="6" t="inlineStr">
        <is>
          <t>General Election 2024: constituency-wise detailed result</t>
        </is>
      </c>
      <c r="E117" s="7" t="inlineStr">
        <is>
          <t>https://www.eci.gov.in/eci-backend/public/all_files/GE-2024-statistical-report/33-Constituency-Wise-Detailed-Result.pdf</t>
        </is>
      </c>
      <c r="F117" s="6" t="inlineStr">
        <is>
          <t>Passage inspected</t>
        </is>
      </c>
      <c r="G117" s="6" t="inlineStr">
        <is>
          <t>Context &amp; Constraints</t>
        </is>
      </c>
      <c r="H117" s="6" t="inlineStr">
        <is>
          <t>Candidate reference; inspect Claims and Evidence for checked support.</t>
        </is>
      </c>
    </row>
    <row r="118" ht="66" customHeight="1">
      <c r="A118" s="4" t="inlineStr">
        <is>
          <t>CT-P4-03:S043</t>
        </is>
      </c>
      <c r="B118" s="5" t="inlineStr">
        <is>
          <t>CT-P4-03</t>
        </is>
      </c>
      <c r="C118" s="5" t="inlineStr">
        <is>
          <t>S043</t>
        </is>
      </c>
      <c r="D118" s="4" t="inlineStr">
        <is>
          <t>Wayanad seat resignation</t>
        </is>
      </c>
      <c r="E118" s="5" t="inlineStr">
        <is>
          <t>https://www.ndtv.com/india-news/rahul-gandhi-resigns-from-wayanad-seat-retains-raebareli-5918402</t>
        </is>
      </c>
      <c r="F118" s="4" t="inlineStr">
        <is>
          <t>Passage inspected</t>
        </is>
      </c>
      <c r="G118" s="4" t="inlineStr">
        <is>
          <t>Context &amp; Constraints</t>
        </is>
      </c>
      <c r="H118" s="4" t="inlineStr">
        <is>
          <t>Candidate reference; inspect Claims and Evidence for checked support.</t>
        </is>
      </c>
    </row>
    <row r="119" ht="80" customHeight="1">
      <c r="A119" s="6" t="inlineStr">
        <is>
          <t>CT-P4-03:S026</t>
        </is>
      </c>
      <c r="B119" s="7" t="inlineStr">
        <is>
          <t>CT-P4-03</t>
        </is>
      </c>
      <c r="C119" s="7" t="inlineStr">
        <is>
          <t>S026</t>
        </is>
      </c>
      <c r="D119" s="6" t="inlineStr">
        <is>
          <t>Congress camp’s Bihar post-mortem</t>
        </is>
      </c>
      <c r="E119" s="7" t="inlineStr">
        <is>
          <t>https://indianexpress.com/article/political-pulse/congress-camps-bihar-post-mortem-rahul-yatra-fiasco-allavaru-problem-weak-structure-10375553/</t>
        </is>
      </c>
      <c r="F119" s="6" t="inlineStr">
        <is>
          <t>Passage inspected</t>
        </is>
      </c>
      <c r="G119" s="6" t="inlineStr">
        <is>
          <t>Context &amp; Constraints</t>
        </is>
      </c>
      <c r="H119" s="6" t="inlineStr">
        <is>
          <t>Candidate reference; inspect Claims and Evidence for checked support.</t>
        </is>
      </c>
    </row>
    <row r="120" ht="44" customHeight="1">
      <c r="A120" s="4" t="inlineStr">
        <is>
          <t>CT-P4-04:S003</t>
        </is>
      </c>
      <c r="B120" s="5" t="inlineStr">
        <is>
          <t>CT-P4-04</t>
        </is>
      </c>
      <c r="C120" s="5" t="inlineStr">
        <is>
          <t>S003</t>
        </is>
      </c>
      <c r="D120" s="4" t="inlineStr">
        <is>
          <t>Rahul Gandhi: 18th Lok Sabha MPTrack</t>
        </is>
      </c>
      <c r="E120" s="5" t="inlineStr">
        <is>
          <t>https://prsindia.org/mptrack/18-lok-sabha/rahul-gandhi</t>
        </is>
      </c>
      <c r="F120" s="4" t="inlineStr">
        <is>
          <t>Passage inspected</t>
        </is>
      </c>
      <c r="G120" s="4" t="inlineStr">
        <is>
          <t>Context &amp; Constraints</t>
        </is>
      </c>
      <c r="H120" s="4" t="inlineStr">
        <is>
          <t>Candidate reference; inspect Claims and Evidence for checked support.</t>
        </is>
      </c>
    </row>
    <row r="121" ht="44" customHeight="1">
      <c r="A121" s="6" t="inlineStr">
        <is>
          <t>CT-P4-04:S017</t>
        </is>
      </c>
      <c r="B121" s="7" t="inlineStr">
        <is>
          <t>CT-P4-04</t>
        </is>
      </c>
      <c r="C121" s="7" t="inlineStr">
        <is>
          <t>S017</t>
        </is>
      </c>
      <c r="D121" s="6" t="inlineStr">
        <is>
          <t>Nyay Patra 2024: Women</t>
        </is>
      </c>
      <c r="E121" s="7" t="inlineStr">
        <is>
          <t>https://manifesto.inc.in/en/women/</t>
        </is>
      </c>
      <c r="F121" s="6" t="inlineStr">
        <is>
          <t>Passage inspected</t>
        </is>
      </c>
      <c r="G121" s="6" t="inlineStr">
        <is>
          <t>Context &amp; Constraints</t>
        </is>
      </c>
      <c r="H121" s="6" t="inlineStr">
        <is>
          <t>Candidate reference; inspect Claims and Evidence for checked support.</t>
        </is>
      </c>
    </row>
    <row r="122" ht="44" customHeight="1">
      <c r="A122" s="4" t="inlineStr">
        <is>
          <t>CT-P4-04:S018</t>
        </is>
      </c>
      <c r="B122" s="5" t="inlineStr">
        <is>
          <t>CT-P4-04</t>
        </is>
      </c>
      <c r="C122" s="5" t="inlineStr">
        <is>
          <t>S018</t>
        </is>
      </c>
      <c r="D122" s="4" t="inlineStr">
        <is>
          <t>Nyay Patra 2024: Youth</t>
        </is>
      </c>
      <c r="E122" s="5" t="inlineStr">
        <is>
          <t>https://manifesto.inc.in/en/youth/</t>
        </is>
      </c>
      <c r="F122" s="4" t="inlineStr">
        <is>
          <t>Passage inspected</t>
        </is>
      </c>
      <c r="G122" s="4" t="inlineStr">
        <is>
          <t>Context &amp; Constraints</t>
        </is>
      </c>
      <c r="H122" s="4" t="inlineStr">
        <is>
          <t>Candidate reference; inspect Claims and Evidence for checked support.</t>
        </is>
      </c>
    </row>
    <row r="123" ht="44" customHeight="1">
      <c r="A123" s="6" t="inlineStr">
        <is>
          <t>CT-P4-05:S020</t>
        </is>
      </c>
      <c r="B123" s="7" t="inlineStr">
        <is>
          <t>CT-P4-05</t>
        </is>
      </c>
      <c r="C123" s="7" t="inlineStr">
        <is>
          <t>S020</t>
        </is>
      </c>
      <c r="D123" s="6" t="inlineStr">
        <is>
          <t>Nyay Patra 2024: National Security</t>
        </is>
      </c>
      <c r="E123" s="7" t="inlineStr">
        <is>
          <t>https://manifesto.inc.in/en/national-security/</t>
        </is>
      </c>
      <c r="F123" s="6" t="inlineStr">
        <is>
          <t>Passage inspected</t>
        </is>
      </c>
      <c r="G123" s="6" t="inlineStr">
        <is>
          <t>Context &amp; Constraints</t>
        </is>
      </c>
      <c r="H123" s="6" t="inlineStr">
        <is>
          <t>Candidate reference; inspect Claims and Evidence for checked support.</t>
        </is>
      </c>
    </row>
    <row r="124" ht="44" customHeight="1">
      <c r="A124" s="4" t="inlineStr">
        <is>
          <t>CT-P4-05:S002</t>
        </is>
      </c>
      <c r="B124" s="5" t="inlineStr">
        <is>
          <t>CT-P4-05</t>
        </is>
      </c>
      <c r="C124" s="5" t="inlineStr">
        <is>
          <t>S002</t>
        </is>
      </c>
      <c r="D124" s="4" t="inlineStr">
        <is>
          <t>Leader of Opposition</t>
        </is>
      </c>
      <c r="E124" s="5" t="inlineStr">
        <is>
          <t>https://sansad.in/ls/about/leader-of-opposition</t>
        </is>
      </c>
      <c r="F124" s="4" t="inlineStr">
        <is>
          <t>Passage inspected</t>
        </is>
      </c>
      <c r="G124" s="4" t="inlineStr">
        <is>
          <t>Context &amp; Constraints</t>
        </is>
      </c>
      <c r="H124" s="4" t="inlineStr">
        <is>
          <t>Candidate reference; inspect Claims and Evidence for checked support.</t>
        </is>
      </c>
    </row>
    <row r="125" ht="80" customHeight="1">
      <c r="A125" s="6" t="inlineStr">
        <is>
          <t>CT-P4-06:S031</t>
        </is>
      </c>
      <c r="B125" s="7" t="inlineStr">
        <is>
          <t>CT-P4-06</t>
        </is>
      </c>
      <c r="C125" s="7" t="inlineStr">
        <is>
          <t>S031</t>
        </is>
      </c>
      <c r="D125" s="6" t="inlineStr">
        <is>
          <t>Gandhi’s voter deletion allegations and EC response</t>
        </is>
      </c>
      <c r="E125" s="7" t="inlineStr">
        <is>
          <t>https://indianexpress.com/article/india/rahul-gandhi-vote-chori-cec-gyanesh-kumar-protecting-killing-democracy-10257103/</t>
        </is>
      </c>
      <c r="F125" s="6" t="inlineStr">
        <is>
          <t>Passage inspected</t>
        </is>
      </c>
      <c r="G125" s="6" t="inlineStr">
        <is>
          <t>Context &amp; Constraints</t>
        </is>
      </c>
      <c r="H125" s="6" t="inlineStr">
        <is>
          <t>Candidate reference; inspect Claims and Evidence for checked support.</t>
        </is>
      </c>
    </row>
    <row r="126" ht="94" customHeight="1">
      <c r="A126" s="4" t="inlineStr">
        <is>
          <t>CT-P4-06:S030</t>
        </is>
      </c>
      <c r="B126" s="5" t="inlineStr">
        <is>
          <t>CT-P4-06</t>
        </is>
      </c>
      <c r="C126" s="5" t="inlineStr">
        <is>
          <t>S030</t>
        </is>
      </c>
      <c r="D126" s="4" t="inlineStr">
        <is>
          <t>Rahul Gandhi escalates EC criticism amid SIR dispute</t>
        </is>
      </c>
      <c r="E126" s="5" t="inlineStr">
        <is>
          <t>https://timesofindia.indiatimes.com/india/rahul-gandhi-press-conference-on-ec-gyanesh-kumar-resignation-sir-congress-vote-chori-election-bjp/articleshow/134457370.cms</t>
        </is>
      </c>
      <c r="F126" s="4" t="inlineStr">
        <is>
          <t>Passage inspected</t>
        </is>
      </c>
      <c r="G126" s="4" t="inlineStr">
        <is>
          <t>Context &amp; Constraints</t>
        </is>
      </c>
      <c r="H126" s="4" t="inlineStr">
        <is>
          <t>Candidate reference; inspect Claims and Evidence for checked support.</t>
        </is>
      </c>
    </row>
    <row r="127" ht="80" customHeight="1">
      <c r="A127" s="6" t="inlineStr">
        <is>
          <t>CT-P4-07:S026</t>
        </is>
      </c>
      <c r="B127" s="7" t="inlineStr">
        <is>
          <t>CT-P4-07</t>
        </is>
      </c>
      <c r="C127" s="7" t="inlineStr">
        <is>
          <t>S026</t>
        </is>
      </c>
      <c r="D127" s="6" t="inlineStr">
        <is>
          <t>Congress camp’s Bihar post-mortem</t>
        </is>
      </c>
      <c r="E127" s="7" t="inlineStr">
        <is>
          <t>https://indianexpress.com/article/political-pulse/congress-camps-bihar-post-mortem-rahul-yatra-fiasco-allavaru-problem-weak-structure-10375553/</t>
        </is>
      </c>
      <c r="F127" s="6" t="inlineStr">
        <is>
          <t>Passage inspected</t>
        </is>
      </c>
      <c r="G127" s="6" t="inlineStr">
        <is>
          <t>Context &amp; Constraints</t>
        </is>
      </c>
      <c r="H127" s="6" t="inlineStr">
        <is>
          <t>Candidate reference; inspect Claims and Evidence for checked support.</t>
        </is>
      </c>
    </row>
    <row r="128" ht="66" customHeight="1">
      <c r="A128" s="4" t="inlineStr">
        <is>
          <t>CT-P4-07:S027</t>
        </is>
      </c>
      <c r="B128" s="5" t="inlineStr">
        <is>
          <t>CT-P4-07</t>
        </is>
      </c>
      <c r="C128" s="5" t="inlineStr">
        <is>
          <t>S027</t>
        </is>
      </c>
      <c r="D128" s="4" t="inlineStr">
        <is>
          <t>Rahul reportedly accepts shared responsibility for Bihar loss</t>
        </is>
      </c>
      <c r="E128" s="5" t="inlineStr">
        <is>
          <t>https://indianexpress.com/article/political-pulse/rahul-equallyresponsible-bihar-loss-poll-review-10390484/</t>
        </is>
      </c>
      <c r="F128" s="4" t="inlineStr">
        <is>
          <t>Passage inspected</t>
        </is>
      </c>
      <c r="G128" s="4" t="inlineStr">
        <is>
          <t>Context &amp; Constraints</t>
        </is>
      </c>
      <c r="H128" s="4" t="inlineStr">
        <is>
          <t>Candidate reference; inspect Claims and Evidence for checked support.</t>
        </is>
      </c>
    </row>
    <row r="129" ht="66" customHeight="1">
      <c r="A129" s="6" t="inlineStr">
        <is>
          <t>CT-P4-08:S035</t>
        </is>
      </c>
      <c r="B129" s="7" t="inlineStr">
        <is>
          <t>CT-P4-08</t>
        </is>
      </c>
      <c r="C129" s="7" t="inlineStr">
        <is>
          <t>S035</t>
        </is>
      </c>
      <c r="D129" s="6" t="inlineStr">
        <is>
          <t>Rahul Gandhi welcomes caste-enumeration decision and seeks timeline</t>
        </is>
      </c>
      <c r="E129" s="7" t="inlineStr">
        <is>
          <t>https://indianexpress.com/article/india/rahul-gandhi-caste-census-population-congress-centre-cabinet-9975117/</t>
        </is>
      </c>
      <c r="F129" s="6" t="inlineStr">
        <is>
          <t>Passage inspected</t>
        </is>
      </c>
      <c r="G129" s="6" t="inlineStr">
        <is>
          <t>Context &amp; Constraints</t>
        </is>
      </c>
      <c r="H129" s="6" t="inlineStr">
        <is>
          <t>Candidate reference; inspect Claims and Evidence for checked support.</t>
        </is>
      </c>
    </row>
    <row r="130" ht="52" customHeight="1">
      <c r="A130" s="4" t="inlineStr">
        <is>
          <t>CT-P4-08:S036</t>
        </is>
      </c>
      <c r="B130" s="5" t="inlineStr">
        <is>
          <t>CT-P4-08</t>
        </is>
      </c>
      <c r="C130" s="5" t="inlineStr">
        <is>
          <t>S036</t>
        </is>
      </c>
      <c r="D130" s="4" t="inlineStr">
        <is>
          <t>Government decision to include caste enumeration in census</t>
        </is>
      </c>
      <c r="E130" s="5" t="inlineStr">
        <is>
          <t>https://www.pib.gov.in/PressReleasePage.aspx?PRID=2125576</t>
        </is>
      </c>
      <c r="F130" s="4" t="inlineStr">
        <is>
          <t>Passage inspected</t>
        </is>
      </c>
      <c r="G130" s="4" t="inlineStr">
        <is>
          <t>Context &amp; Constraints</t>
        </is>
      </c>
      <c r="H130" s="4" t="inlineStr">
        <is>
          <t>Candidate reference; inspect Claims and Evidence for checked support.</t>
        </is>
      </c>
    </row>
    <row r="131" ht="44" customHeight="1">
      <c r="A131" s="6" t="inlineStr">
        <is>
          <t>CT-P4-09:S003</t>
        </is>
      </c>
      <c r="B131" s="7" t="inlineStr">
        <is>
          <t>CT-P4-09</t>
        </is>
      </c>
      <c r="C131" s="7" t="inlineStr">
        <is>
          <t>S003</t>
        </is>
      </c>
      <c r="D131" s="6" t="inlineStr">
        <is>
          <t>Rahul Gandhi: 18th Lok Sabha MPTrack</t>
        </is>
      </c>
      <c r="E131" s="7" t="inlineStr">
        <is>
          <t>https://prsindia.org/mptrack/18-lok-sabha/rahul-gandhi</t>
        </is>
      </c>
      <c r="F131" s="6" t="inlineStr">
        <is>
          <t>Passage inspected</t>
        </is>
      </c>
      <c r="G131" s="6" t="inlineStr">
        <is>
          <t>Context &amp; Constraints</t>
        </is>
      </c>
      <c r="H131" s="6" t="inlineStr">
        <is>
          <t>Candidate reference; inspect Claims and Evidence for checked support.</t>
        </is>
      </c>
    </row>
    <row r="132" ht="66" customHeight="1">
      <c r="A132" s="4" t="inlineStr">
        <is>
          <t>CT-P4-09:S043</t>
        </is>
      </c>
      <c r="B132" s="5" t="inlineStr">
        <is>
          <t>CT-P4-09</t>
        </is>
      </c>
      <c r="C132" s="5" t="inlineStr">
        <is>
          <t>S043</t>
        </is>
      </c>
      <c r="D132" s="4" t="inlineStr">
        <is>
          <t>Wayanad seat resignation</t>
        </is>
      </c>
      <c r="E132" s="5" t="inlineStr">
        <is>
          <t>https://www.ndtv.com/india-news/rahul-gandhi-resigns-from-wayanad-seat-retains-raebareli-5918402</t>
        </is>
      </c>
      <c r="F132" s="4" t="inlineStr">
        <is>
          <t>Passage inspected</t>
        </is>
      </c>
      <c r="G132" s="4" t="inlineStr">
        <is>
          <t>Context &amp; Constraints</t>
        </is>
      </c>
      <c r="H132" s="4" t="inlineStr">
        <is>
          <t>Candidate reference; inspect Claims and Evidence for checked support.</t>
        </is>
      </c>
    </row>
    <row r="133" ht="44" customHeight="1">
      <c r="A133" s="6" t="inlineStr">
        <is>
          <t>CT-P4-10:S003</t>
        </is>
      </c>
      <c r="B133" s="7" t="inlineStr">
        <is>
          <t>CT-P4-10</t>
        </is>
      </c>
      <c r="C133" s="7" t="inlineStr">
        <is>
          <t>S003</t>
        </is>
      </c>
      <c r="D133" s="6" t="inlineStr">
        <is>
          <t>Rahul Gandhi: 18th Lok Sabha MPTrack</t>
        </is>
      </c>
      <c r="E133" s="7" t="inlineStr">
        <is>
          <t>https://prsindia.org/mptrack/18-lok-sabha/rahul-gandhi</t>
        </is>
      </c>
      <c r="F133" s="6" t="inlineStr">
        <is>
          <t>Passage inspected</t>
        </is>
      </c>
      <c r="G133" s="6" t="inlineStr">
        <is>
          <t>Context &amp; Constraints</t>
        </is>
      </c>
      <c r="H133" s="6" t="inlineStr">
        <is>
          <t>Candidate reference; inspect Claims and Evidence for checked support.</t>
        </is>
      </c>
    </row>
    <row r="134" ht="80" customHeight="1">
      <c r="A134" s="4" t="inlineStr">
        <is>
          <t>CT-P4-10:S012</t>
        </is>
      </c>
      <c r="B134" s="5" t="inlineStr">
        <is>
          <t>CT-P4-10</t>
        </is>
      </c>
      <c r="C134" s="5" t="inlineStr">
        <is>
          <t>S012</t>
        </is>
      </c>
      <c r="D134" s="4" t="inlineStr">
        <is>
          <t>Private complaint cannot be ED’s foundation for National Herald case, say Gandhis</t>
        </is>
      </c>
      <c r="E134" s="5" t="inlineStr">
        <is>
          <t>https://indianexpress.com/article/legal-news/national-herald-case-gandhis-oppose-ed-plea-private-complaint-10889668/</t>
        </is>
      </c>
      <c r="F134" s="4" t="inlineStr">
        <is>
          <t>Passage inspected</t>
        </is>
      </c>
      <c r="G134" s="4" t="inlineStr">
        <is>
          <t>Context &amp; Constraints</t>
        </is>
      </c>
      <c r="H134" s="4" t="inlineStr">
        <is>
          <t>Candidate reference; inspect Claims and Evidence for checked support.</t>
        </is>
      </c>
    </row>
    <row r="135" ht="94" customHeight="1">
      <c r="A135" s="6" t="inlineStr">
        <is>
          <t>CT-P4-10:S013</t>
        </is>
      </c>
      <c r="B135" s="7" t="inlineStr">
        <is>
          <t>CT-P4-10</t>
        </is>
      </c>
      <c r="C135" s="7" t="inlineStr">
        <is>
          <t>S013</t>
        </is>
      </c>
      <c r="D135" s="6" t="inlineStr">
        <is>
          <t>Gandhis’ reply to Delhi High Court on National Herald case</t>
        </is>
      </c>
      <c r="E135" s="7" t="inlineStr">
        <is>
          <t>https://www.barandbench.com/news/only-case-where-ed-proceeded-on-private-complaint-sonia-and-rahul-gandhi-to-delhi-high-court-on-national-herald-case</t>
        </is>
      </c>
      <c r="F135" s="6" t="inlineStr">
        <is>
          <t>Passage inspected</t>
        </is>
      </c>
      <c r="G135" s="6" t="inlineStr">
        <is>
          <t>Context &amp; Constraints</t>
        </is>
      </c>
      <c r="H135" s="6" t="inlineStr">
        <is>
          <t>Candidate reference; inspect Claims and Evidence for checked support.</t>
        </is>
      </c>
    </row>
    <row r="136" ht="52" customHeight="1">
      <c r="A136" s="4" t="inlineStr">
        <is>
          <t>CT-G-01:S004</t>
        </is>
      </c>
      <c r="B136" s="5" t="inlineStr">
        <is>
          <t>CT-G-01</t>
        </is>
      </c>
      <c r="C136" s="5" t="inlineStr">
        <is>
          <t>S004</t>
        </is>
      </c>
      <c r="D136" s="4" t="inlineStr">
        <is>
          <t>Shri Rahul Gandhi: past party president</t>
        </is>
      </c>
      <c r="E136" s="5" t="inlineStr">
        <is>
          <t>https://inc.in/leadership/past-party-presidents/shri-rahul-gandhi</t>
        </is>
      </c>
      <c r="F136" s="4" t="inlineStr">
        <is>
          <t>Passage inspected</t>
        </is>
      </c>
      <c r="G136" s="4" t="inlineStr">
        <is>
          <t>Context &amp; Constraints</t>
        </is>
      </c>
      <c r="H136" s="4" t="inlineStr">
        <is>
          <t>Candidate reference; inspect Claims and Evidence for checked support.</t>
        </is>
      </c>
    </row>
    <row r="137" ht="80" customHeight="1">
      <c r="A137" s="6" t="inlineStr">
        <is>
          <t>CT-G-01:S005</t>
        </is>
      </c>
      <c r="B137" s="7" t="inlineStr">
        <is>
          <t>CT-G-01</t>
        </is>
      </c>
      <c r="C137" s="7" t="inlineStr">
        <is>
          <t>S005</t>
        </is>
      </c>
      <c r="D137" s="6" t="inlineStr">
        <is>
          <t>Rahul Gandhi turns 53: before joining politics</t>
        </is>
      </c>
      <c r="E137" s="7" t="inlineStr">
        <is>
          <t>https://indianexpress.com/article/explained/explained-politics/rahul-gandhi-turns-53-what-he-was-doing-before-politics-8672843/lite/</t>
        </is>
      </c>
      <c r="F137" s="6" t="inlineStr">
        <is>
          <t>Passage inspected</t>
        </is>
      </c>
      <c r="G137" s="6" t="inlineStr">
        <is>
          <t>Context &amp; Constraints</t>
        </is>
      </c>
      <c r="H137" s="6" t="inlineStr">
        <is>
          <t>Candidate reference; inspect Claims and Evidence for checked support.</t>
        </is>
      </c>
    </row>
    <row r="138" ht="80" customHeight="1">
      <c r="A138" s="4" t="inlineStr">
        <is>
          <t>CT-G-01:S023</t>
        </is>
      </c>
      <c r="B138" s="5" t="inlineStr">
        <is>
          <t>CT-G-01</t>
        </is>
      </c>
      <c r="C138" s="5" t="inlineStr">
        <is>
          <t>S023</t>
        </is>
      </c>
      <c r="D138" s="4" t="inlineStr">
        <is>
          <t>Ridiculed for a decade, Rahul Gandhi slows Modi juggernaut</t>
        </is>
      </c>
      <c r="E138" s="5" t="inlineStr">
        <is>
          <t>https://www.marketscreener.com/news/latest/Ridiculed-for-a-decade-India-s-Rahul-Gandhi-slows-Modi-juggernaut-46900641/</t>
        </is>
      </c>
      <c r="F138" s="4" t="inlineStr">
        <is>
          <t>Passage inspected</t>
        </is>
      </c>
      <c r="G138" s="4" t="inlineStr">
        <is>
          <t>Context &amp; Constraints</t>
        </is>
      </c>
      <c r="H138" s="4" t="inlineStr">
        <is>
          <t>Candidate reference; inspect Claims and Evidence for checked support.</t>
        </is>
      </c>
    </row>
    <row r="139" ht="44" customHeight="1">
      <c r="A139" s="6" t="inlineStr">
        <is>
          <t>CT-G-02:S002</t>
        </is>
      </c>
      <c r="B139" s="7" t="inlineStr">
        <is>
          <t>CT-G-02</t>
        </is>
      </c>
      <c r="C139" s="7" t="inlineStr">
        <is>
          <t>S002</t>
        </is>
      </c>
      <c r="D139" s="6" t="inlineStr">
        <is>
          <t>Leader of Opposition</t>
        </is>
      </c>
      <c r="E139" s="7" t="inlineStr">
        <is>
          <t>https://sansad.in/ls/about/leader-of-opposition</t>
        </is>
      </c>
      <c r="F139" s="6" t="inlineStr">
        <is>
          <t>Passage inspected</t>
        </is>
      </c>
      <c r="G139" s="6" t="inlineStr">
        <is>
          <t>Context &amp; Constraints</t>
        </is>
      </c>
      <c r="H139" s="6" t="inlineStr">
        <is>
          <t>Candidate reference; inspect Claims and Evidence for checked support.</t>
        </is>
      </c>
    </row>
    <row r="140" ht="52" customHeight="1">
      <c r="A140" s="4" t="inlineStr">
        <is>
          <t>CT-G-02:S004</t>
        </is>
      </c>
      <c r="B140" s="5" t="inlineStr">
        <is>
          <t>CT-G-02</t>
        </is>
      </c>
      <c r="C140" s="5" t="inlineStr">
        <is>
          <t>S004</t>
        </is>
      </c>
      <c r="D140" s="4" t="inlineStr">
        <is>
          <t>Shri Rahul Gandhi: past party president</t>
        </is>
      </c>
      <c r="E140" s="5" t="inlineStr">
        <is>
          <t>https://inc.in/leadership/past-party-presidents/shri-rahul-gandhi</t>
        </is>
      </c>
      <c r="F140" s="4" t="inlineStr">
        <is>
          <t>Passage inspected</t>
        </is>
      </c>
      <c r="G140" s="4" t="inlineStr">
        <is>
          <t>Context &amp; Constraints</t>
        </is>
      </c>
      <c r="H140" s="4" t="inlineStr">
        <is>
          <t>Candidate reference; inspect Claims and Evidence for checked support.</t>
        </is>
      </c>
    </row>
    <row r="141" ht="52" customHeight="1">
      <c r="A141" s="6" t="inlineStr">
        <is>
          <t>CT-G-03:S004</t>
        </is>
      </c>
      <c r="B141" s="7" t="inlineStr">
        <is>
          <t>CT-G-03</t>
        </is>
      </c>
      <c r="C141" s="7" t="inlineStr">
        <is>
          <t>S004</t>
        </is>
      </c>
      <c r="D141" s="6" t="inlineStr">
        <is>
          <t>Shri Rahul Gandhi: past party president</t>
        </is>
      </c>
      <c r="E141" s="7" t="inlineStr">
        <is>
          <t>https://inc.in/leadership/past-party-presidents/shri-rahul-gandhi</t>
        </is>
      </c>
      <c r="F141" s="6" t="inlineStr">
        <is>
          <t>Passage inspected</t>
        </is>
      </c>
      <c r="G141" s="6" t="inlineStr">
        <is>
          <t>Context &amp; Constraints</t>
        </is>
      </c>
      <c r="H141" s="6" t="inlineStr">
        <is>
          <t>Candidate reference; inspect Claims and Evidence for checked support.</t>
        </is>
      </c>
    </row>
    <row r="142" ht="80" customHeight="1">
      <c r="A142" s="4" t="inlineStr">
        <is>
          <t>CT-G-03:S005</t>
        </is>
      </c>
      <c r="B142" s="5" t="inlineStr">
        <is>
          <t>CT-G-03</t>
        </is>
      </c>
      <c r="C142" s="5" t="inlineStr">
        <is>
          <t>S005</t>
        </is>
      </c>
      <c r="D142" s="4" t="inlineStr">
        <is>
          <t>Rahul Gandhi turns 53: before joining politics</t>
        </is>
      </c>
      <c r="E142" s="5" t="inlineStr">
        <is>
          <t>https://indianexpress.com/article/explained/explained-politics/rahul-gandhi-turns-53-what-he-was-doing-before-politics-8672843/lite/</t>
        </is>
      </c>
      <c r="F142" s="4" t="inlineStr">
        <is>
          <t>Passage inspected</t>
        </is>
      </c>
      <c r="G142" s="4" t="inlineStr">
        <is>
          <t>Context &amp; Constraints</t>
        </is>
      </c>
      <c r="H142" s="4" t="inlineStr">
        <is>
          <t>Candidate reference; inspect Claims and Evidence for checked support.</t>
        </is>
      </c>
    </row>
    <row r="143" ht="52" customHeight="1">
      <c r="A143" s="6" t="inlineStr">
        <is>
          <t>CT-G-04:S004</t>
        </is>
      </c>
      <c r="B143" s="7" t="inlineStr">
        <is>
          <t>CT-G-04</t>
        </is>
      </c>
      <c r="C143" s="7" t="inlineStr">
        <is>
          <t>S004</t>
        </is>
      </c>
      <c r="D143" s="6" t="inlineStr">
        <is>
          <t>Shri Rahul Gandhi: past party president</t>
        </is>
      </c>
      <c r="E143" s="7" t="inlineStr">
        <is>
          <t>https://inc.in/leadership/past-party-presidents/shri-rahul-gandhi</t>
        </is>
      </c>
      <c r="F143" s="6" t="inlineStr">
        <is>
          <t>Passage inspected</t>
        </is>
      </c>
      <c r="G143" s="6" t="inlineStr">
        <is>
          <t>Context &amp; Constraints</t>
        </is>
      </c>
      <c r="H143" s="6" t="inlineStr">
        <is>
          <t>Candidate reference; inspect Claims and Evidence for checked support.</t>
        </is>
      </c>
    </row>
    <row r="144" ht="52" customHeight="1">
      <c r="A144" s="4" t="inlineStr">
        <is>
          <t>CT-G-05:S025</t>
        </is>
      </c>
      <c r="B144" s="5" t="inlineStr">
        <is>
          <t>CT-G-05</t>
        </is>
      </c>
      <c r="C144" s="5" t="inlineStr">
        <is>
          <t>S025</t>
        </is>
      </c>
      <c r="D144" s="4" t="inlineStr">
        <is>
          <t>The T-Shirt Debate Shows India Is All About Testosterone</t>
        </is>
      </c>
      <c r="E144" s="5" t="inlineStr">
        <is>
          <t>https://m.thewire.in/article/politics/rahul-gandhi-t-shirt</t>
        </is>
      </c>
      <c r="F144" s="4" t="inlineStr">
        <is>
          <t>Passage inspected</t>
        </is>
      </c>
      <c r="G144" s="4" t="inlineStr">
        <is>
          <t>Context &amp; Constraints</t>
        </is>
      </c>
      <c r="H144" s="4" t="inlineStr">
        <is>
          <t>Candidate reference; inspect Claims and Evidence for checked support.</t>
        </is>
      </c>
    </row>
    <row r="145" ht="80" customHeight="1">
      <c r="A145" s="6" t="inlineStr">
        <is>
          <t>CT-G-06:S005</t>
        </is>
      </c>
      <c r="B145" s="7" t="inlineStr">
        <is>
          <t>CT-G-06</t>
        </is>
      </c>
      <c r="C145" s="7" t="inlineStr">
        <is>
          <t>S005</t>
        </is>
      </c>
      <c r="D145" s="6" t="inlineStr">
        <is>
          <t>Rahul Gandhi turns 53: before joining politics</t>
        </is>
      </c>
      <c r="E145" s="7" t="inlineStr">
        <is>
          <t>https://indianexpress.com/article/explained/explained-politics/rahul-gandhi-turns-53-what-he-was-doing-before-politics-8672843/lite/</t>
        </is>
      </c>
      <c r="F145" s="6" t="inlineStr">
        <is>
          <t>Passage inspected</t>
        </is>
      </c>
      <c r="G145" s="6" t="inlineStr">
        <is>
          <t>Context &amp; Constraints</t>
        </is>
      </c>
      <c r="H145" s="6" t="inlineStr">
        <is>
          <t>Candidate reference; inspect Claims and Evidence for checked support.</t>
        </is>
      </c>
    </row>
    <row r="146" ht="66" customHeight="1">
      <c r="A146" s="4" t="inlineStr">
        <is>
          <t>CT-G-07:S033</t>
        </is>
      </c>
      <c r="B146" s="5" t="inlineStr">
        <is>
          <t>CT-G-07</t>
        </is>
      </c>
      <c r="C146" s="5" t="inlineStr">
        <is>
          <t>S033</t>
        </is>
      </c>
      <c r="D146" s="4" t="inlineStr">
        <is>
          <t>Women’s reservation Bill and OBC quota: Rahul Gandhi’s speech</t>
        </is>
      </c>
      <c r="E146" s="5" t="inlineStr">
        <is>
          <t>https://indianexpress.com/article/india/lok-sabha-rahul-gandhi-women-reservation-bill-obc-quota-8948629/</t>
        </is>
      </c>
      <c r="F146" s="4" t="inlineStr">
        <is>
          <t>Passage inspected</t>
        </is>
      </c>
      <c r="G146" s="4" t="inlineStr">
        <is>
          <t>Context &amp; Constraints</t>
        </is>
      </c>
      <c r="H146" s="4" t="inlineStr">
        <is>
          <t>Candidate reference; inspect Claims and Evidence for checked support.</t>
        </is>
      </c>
    </row>
    <row r="147" ht="44" customHeight="1">
      <c r="A147" s="6" t="inlineStr">
        <is>
          <t>CT-G-07:S017</t>
        </is>
      </c>
      <c r="B147" s="7" t="inlineStr">
        <is>
          <t>CT-G-07</t>
        </is>
      </c>
      <c r="C147" s="7" t="inlineStr">
        <is>
          <t>S017</t>
        </is>
      </c>
      <c r="D147" s="6" t="inlineStr">
        <is>
          <t>Nyay Patra 2024: Women</t>
        </is>
      </c>
      <c r="E147" s="7" t="inlineStr">
        <is>
          <t>https://manifesto.inc.in/en/women/</t>
        </is>
      </c>
      <c r="F147" s="6" t="inlineStr">
        <is>
          <t>Passage inspected</t>
        </is>
      </c>
      <c r="G147" s="6" t="inlineStr">
        <is>
          <t>Context &amp; Constraints</t>
        </is>
      </c>
      <c r="H147" s="6" t="inlineStr">
        <is>
          <t>Candidate reference; inspect Claims and Evidence for checked support.</t>
        </is>
      </c>
    </row>
    <row r="148" ht="52" customHeight="1">
      <c r="A148" s="4" t="inlineStr">
        <is>
          <t>CT-G-08:S025</t>
        </is>
      </c>
      <c r="B148" s="5" t="inlineStr">
        <is>
          <t>CT-G-08</t>
        </is>
      </c>
      <c r="C148" s="5" t="inlineStr">
        <is>
          <t>S025</t>
        </is>
      </c>
      <c r="D148" s="4" t="inlineStr">
        <is>
          <t>The T-Shirt Debate Shows India Is All About Testosterone</t>
        </is>
      </c>
      <c r="E148" s="5" t="inlineStr">
        <is>
          <t>https://m.thewire.in/article/politics/rahul-gandhi-t-shirt</t>
        </is>
      </c>
      <c r="F148" s="4" t="inlineStr">
        <is>
          <t>Passage inspected</t>
        </is>
      </c>
      <c r="G148" s="4" t="inlineStr">
        <is>
          <t>Context &amp; Constraints</t>
        </is>
      </c>
      <c r="H148" s="4" t="inlineStr">
        <is>
          <t>Candidate reference; inspect Claims and Evidence for checked support.</t>
        </is>
      </c>
    </row>
    <row r="149" ht="66" customHeight="1">
      <c r="A149" s="6" t="inlineStr">
        <is>
          <t>CT-G-09:S033</t>
        </is>
      </c>
      <c r="B149" s="7" t="inlineStr">
        <is>
          <t>CT-G-09</t>
        </is>
      </c>
      <c r="C149" s="7" t="inlineStr">
        <is>
          <t>S033</t>
        </is>
      </c>
      <c r="D149" s="6" t="inlineStr">
        <is>
          <t>Women’s reservation Bill and OBC quota: Rahul Gandhi’s speech</t>
        </is>
      </c>
      <c r="E149" s="7" t="inlineStr">
        <is>
          <t>https://indianexpress.com/article/india/lok-sabha-rahul-gandhi-women-reservation-bill-obc-quota-8948629/</t>
        </is>
      </c>
      <c r="F149" s="6" t="inlineStr">
        <is>
          <t>Passage inspected</t>
        </is>
      </c>
      <c r="G149" s="6" t="inlineStr">
        <is>
          <t>Context &amp; Constraints</t>
        </is>
      </c>
      <c r="H149" s="6" t="inlineStr">
        <is>
          <t>Candidate reference; inspect Claims and Evidence for checked support.</t>
        </is>
      </c>
    </row>
    <row r="150" ht="44" customHeight="1">
      <c r="A150" s="4" t="inlineStr">
        <is>
          <t>CT-G-09:S017</t>
        </is>
      </c>
      <c r="B150" s="5" t="inlineStr">
        <is>
          <t>CT-G-09</t>
        </is>
      </c>
      <c r="C150" s="5" t="inlineStr">
        <is>
          <t>S017</t>
        </is>
      </c>
      <c r="D150" s="4" t="inlineStr">
        <is>
          <t>Nyay Patra 2024: Women</t>
        </is>
      </c>
      <c r="E150" s="5" t="inlineStr">
        <is>
          <t>https://manifesto.inc.in/en/women/</t>
        </is>
      </c>
      <c r="F150" s="4" t="inlineStr">
        <is>
          <t>Passage inspected</t>
        </is>
      </c>
      <c r="G150" s="4" t="inlineStr">
        <is>
          <t>Context &amp; Constraints</t>
        </is>
      </c>
      <c r="H150" s="4" t="inlineStr">
        <is>
          <t>Candidate reference; inspect Claims and Evidence for checked support.</t>
        </is>
      </c>
    </row>
    <row r="151" ht="52" customHeight="1">
      <c r="A151" s="6" t="inlineStr">
        <is>
          <t>CT-G-10:S025</t>
        </is>
      </c>
      <c r="B151" s="7" t="inlineStr">
        <is>
          <t>CT-G-10</t>
        </is>
      </c>
      <c r="C151" s="7" t="inlineStr">
        <is>
          <t>S025</t>
        </is>
      </c>
      <c r="D151" s="6" t="inlineStr">
        <is>
          <t>The T-Shirt Debate Shows India Is All About Testosterone</t>
        </is>
      </c>
      <c r="E151" s="7" t="inlineStr">
        <is>
          <t>https://m.thewire.in/article/politics/rahul-gandhi-t-shirt</t>
        </is>
      </c>
      <c r="F151" s="6" t="inlineStr">
        <is>
          <t>Passage inspected</t>
        </is>
      </c>
      <c r="G151" s="6" t="inlineStr">
        <is>
          <t>Context &amp; Constraints</t>
        </is>
      </c>
      <c r="H151" s="6" t="inlineStr">
        <is>
          <t>Candidate reference; inspect Claims and Evidence for checked support.</t>
        </is>
      </c>
    </row>
    <row r="152" ht="66" customHeight="1">
      <c r="A152" s="4" t="inlineStr">
        <is>
          <t>CT-G-10:S033</t>
        </is>
      </c>
      <c r="B152" s="5" t="inlineStr">
        <is>
          <t>CT-G-10</t>
        </is>
      </c>
      <c r="C152" s="5" t="inlineStr">
        <is>
          <t>S033</t>
        </is>
      </c>
      <c r="D152" s="4" t="inlineStr">
        <is>
          <t>Women’s reservation Bill and OBC quota: Rahul Gandhi’s speech</t>
        </is>
      </c>
      <c r="E152" s="5" t="inlineStr">
        <is>
          <t>https://indianexpress.com/article/india/lok-sabha-rahul-gandhi-women-reservation-bill-obc-quota-8948629/</t>
        </is>
      </c>
      <c r="F152" s="4" t="inlineStr">
        <is>
          <t>Passage inspected</t>
        </is>
      </c>
      <c r="G152" s="4" t="inlineStr">
        <is>
          <t>Context &amp; Constraints</t>
        </is>
      </c>
      <c r="H152" s="4" t="inlineStr">
        <is>
          <t>Candidate reference; inspect Claims and Evidence for checked support.</t>
        </is>
      </c>
    </row>
    <row r="153" ht="44" customHeight="1">
      <c r="A153" s="6" t="inlineStr">
        <is>
          <t>CT-G-10:S017</t>
        </is>
      </c>
      <c r="B153" s="7" t="inlineStr">
        <is>
          <t>CT-G-10</t>
        </is>
      </c>
      <c r="C153" s="7" t="inlineStr">
        <is>
          <t>S017</t>
        </is>
      </c>
      <c r="D153" s="6" t="inlineStr">
        <is>
          <t>Nyay Patra 2024: Women</t>
        </is>
      </c>
      <c r="E153" s="7" t="inlineStr">
        <is>
          <t>https://manifesto.inc.in/en/women/</t>
        </is>
      </c>
      <c r="F153" s="6" t="inlineStr">
        <is>
          <t>Passage inspected</t>
        </is>
      </c>
      <c r="G153" s="6" t="inlineStr">
        <is>
          <t>Context &amp; Constraints</t>
        </is>
      </c>
      <c r="H153" s="6" t="inlineStr">
        <is>
          <t>Candidate reference; inspect Claims and Evidence for checked support.</t>
        </is>
      </c>
    </row>
    <row r="154" ht="52" customHeight="1">
      <c r="A154" s="4" t="inlineStr">
        <is>
          <t>T01:S004</t>
        </is>
      </c>
      <c r="B154" s="5" t="inlineStr">
        <is>
          <t>T01</t>
        </is>
      </c>
      <c r="C154" s="5" t="inlineStr">
        <is>
          <t>S004</t>
        </is>
      </c>
      <c r="D154" s="4" t="inlineStr">
        <is>
          <t>Shri Rahul Gandhi: past party president</t>
        </is>
      </c>
      <c r="E154" s="5" t="inlineStr">
        <is>
          <t>https://inc.in/leadership/past-party-presidents/shri-rahul-gandhi</t>
        </is>
      </c>
      <c r="F154" s="4" t="inlineStr">
        <is>
          <t>Passage inspected</t>
        </is>
      </c>
      <c r="G154" s="4" t="inlineStr">
        <is>
          <t>Career Timeline</t>
        </is>
      </c>
      <c r="H154" s="4" t="inlineStr">
        <is>
          <t>Candidate reference; inspect Claims and Evidence for checked support.</t>
        </is>
      </c>
    </row>
    <row r="155" ht="80" customHeight="1">
      <c r="A155" s="6" t="inlineStr">
        <is>
          <t>T02:S005</t>
        </is>
      </c>
      <c r="B155" s="7" t="inlineStr">
        <is>
          <t>T02</t>
        </is>
      </c>
      <c r="C155" s="7" t="inlineStr">
        <is>
          <t>S005</t>
        </is>
      </c>
      <c r="D155" s="6" t="inlineStr">
        <is>
          <t>Rahul Gandhi turns 53: before joining politics</t>
        </is>
      </c>
      <c r="E155" s="7" t="inlineStr">
        <is>
          <t>https://indianexpress.com/article/explained/explained-politics/rahul-gandhi-turns-53-what-he-was-doing-before-politics-8672843/lite/</t>
        </is>
      </c>
      <c r="F155" s="6" t="inlineStr">
        <is>
          <t>Passage inspected</t>
        </is>
      </c>
      <c r="G155" s="6" t="inlineStr">
        <is>
          <t>Career Timeline</t>
        </is>
      </c>
      <c r="H155" s="6" t="inlineStr">
        <is>
          <t>Candidate reference; inspect Claims and Evidence for checked support.</t>
        </is>
      </c>
    </row>
    <row r="156" ht="80" customHeight="1">
      <c r="A156" s="4" t="inlineStr">
        <is>
          <t>T03:S005</t>
        </is>
      </c>
      <c r="B156" s="5" t="inlineStr">
        <is>
          <t>T03</t>
        </is>
      </c>
      <c r="C156" s="5" t="inlineStr">
        <is>
          <t>S005</t>
        </is>
      </c>
      <c r="D156" s="4" t="inlineStr">
        <is>
          <t>Rahul Gandhi turns 53: before joining politics</t>
        </is>
      </c>
      <c r="E156" s="5" t="inlineStr">
        <is>
          <t>https://indianexpress.com/article/explained/explained-politics/rahul-gandhi-turns-53-what-he-was-doing-before-politics-8672843/lite/</t>
        </is>
      </c>
      <c r="F156" s="4" t="inlineStr">
        <is>
          <t>Passage inspected</t>
        </is>
      </c>
      <c r="G156" s="4" t="inlineStr">
        <is>
          <t>Career Timeline</t>
        </is>
      </c>
      <c r="H156" s="4" t="inlineStr">
        <is>
          <t>Candidate reference; inspect Claims and Evidence for checked support.</t>
        </is>
      </c>
    </row>
    <row r="157" ht="52" customHeight="1">
      <c r="A157" s="6" t="inlineStr">
        <is>
          <t>T04:S009</t>
        </is>
      </c>
      <c r="B157" s="7" t="inlineStr">
        <is>
          <t>T04</t>
        </is>
      </c>
      <c r="C157" s="7" t="inlineStr">
        <is>
          <t>S009</t>
        </is>
      </c>
      <c r="D157" s="6" t="inlineStr">
        <is>
          <t>2004 India General Election results</t>
        </is>
      </c>
      <c r="E157" s="7" t="inlineStr">
        <is>
          <t>https://www.elections.in/parliamentary-constituencies/2004-election-results.html</t>
        </is>
      </c>
      <c r="F157" s="6" t="inlineStr">
        <is>
          <t>Passage inspected</t>
        </is>
      </c>
      <c r="G157" s="6" t="inlineStr">
        <is>
          <t>Career Timeline</t>
        </is>
      </c>
      <c r="H157" s="6" t="inlineStr">
        <is>
          <t>Candidate reference; inspect Claims and Evidence for checked support.</t>
        </is>
      </c>
    </row>
    <row r="158" ht="52" customHeight="1">
      <c r="A158" s="4" t="inlineStr">
        <is>
          <t>T04:S004</t>
        </is>
      </c>
      <c r="B158" s="5" t="inlineStr">
        <is>
          <t>T04</t>
        </is>
      </c>
      <c r="C158" s="5" t="inlineStr">
        <is>
          <t>S004</t>
        </is>
      </c>
      <c r="D158" s="4" t="inlineStr">
        <is>
          <t>Shri Rahul Gandhi: past party president</t>
        </is>
      </c>
      <c r="E158" s="5" t="inlineStr">
        <is>
          <t>https://inc.in/leadership/past-party-presidents/shri-rahul-gandhi</t>
        </is>
      </c>
      <c r="F158" s="4" t="inlineStr">
        <is>
          <t>Passage inspected</t>
        </is>
      </c>
      <c r="G158" s="4" t="inlineStr">
        <is>
          <t>Career Timeline</t>
        </is>
      </c>
      <c r="H158" s="4" t="inlineStr">
        <is>
          <t>Candidate reference; inspect Claims and Evidence for checked support.</t>
        </is>
      </c>
    </row>
    <row r="159" ht="52" customHeight="1">
      <c r="A159" s="6" t="inlineStr">
        <is>
          <t>T05:S004</t>
        </is>
      </c>
      <c r="B159" s="7" t="inlineStr">
        <is>
          <t>T05</t>
        </is>
      </c>
      <c r="C159" s="7" t="inlineStr">
        <is>
          <t>S004</t>
        </is>
      </c>
      <c r="D159" s="6" t="inlineStr">
        <is>
          <t>Shri Rahul Gandhi: past party president</t>
        </is>
      </c>
      <c r="E159" s="7" t="inlineStr">
        <is>
          <t>https://inc.in/leadership/past-party-presidents/shri-rahul-gandhi</t>
        </is>
      </c>
      <c r="F159" s="6" t="inlineStr">
        <is>
          <t>Passage inspected</t>
        </is>
      </c>
      <c r="G159" s="6" t="inlineStr">
        <is>
          <t>Career Timeline</t>
        </is>
      </c>
      <c r="H159" s="6" t="inlineStr">
        <is>
          <t>Candidate reference; inspect Claims and Evidence for checked support.</t>
        </is>
      </c>
    </row>
    <row r="160" ht="80" customHeight="1">
      <c r="A160" s="4" t="inlineStr">
        <is>
          <t>T06:S008</t>
        </is>
      </c>
      <c r="B160" s="5" t="inlineStr">
        <is>
          <t>T06</t>
        </is>
      </c>
      <c r="C160" s="5" t="inlineStr">
        <is>
          <t>S008</t>
        </is>
      </c>
      <c r="D160" s="4" t="inlineStr">
        <is>
          <t>Amethi: past election results</t>
        </is>
      </c>
      <c r="E160" s="5" t="inlineStr">
        <is>
          <t>https://www.moneycontrol.com/elections/lok-sabha-election/uttar-pradesh/constituencies/amethi-constituency-s24led2008p037/</t>
        </is>
      </c>
      <c r="F160" s="4" t="inlineStr">
        <is>
          <t>Passage inspected</t>
        </is>
      </c>
      <c r="G160" s="4" t="inlineStr">
        <is>
          <t>Career Timeline</t>
        </is>
      </c>
      <c r="H160" s="4" t="inlineStr">
        <is>
          <t>Candidate reference; inspect Claims and Evidence for checked support.</t>
        </is>
      </c>
    </row>
    <row r="161" ht="52" customHeight="1">
      <c r="A161" s="6" t="inlineStr">
        <is>
          <t>T07:S004</t>
        </is>
      </c>
      <c r="B161" s="7" t="inlineStr">
        <is>
          <t>T07</t>
        </is>
      </c>
      <c r="C161" s="7" t="inlineStr">
        <is>
          <t>S004</t>
        </is>
      </c>
      <c r="D161" s="6" t="inlineStr">
        <is>
          <t>Shri Rahul Gandhi: past party president</t>
        </is>
      </c>
      <c r="E161" s="7" t="inlineStr">
        <is>
          <t>https://inc.in/leadership/past-party-presidents/shri-rahul-gandhi</t>
        </is>
      </c>
      <c r="F161" s="6" t="inlineStr">
        <is>
          <t>Passage inspected</t>
        </is>
      </c>
      <c r="G161" s="6" t="inlineStr">
        <is>
          <t>Career Timeline</t>
        </is>
      </c>
      <c r="H161" s="6" t="inlineStr">
        <is>
          <t>Candidate reference; inspect Claims and Evidence for checked support.</t>
        </is>
      </c>
    </row>
    <row r="162" ht="66" customHeight="1">
      <c r="A162" s="4" t="inlineStr">
        <is>
          <t>T08:S034</t>
        </is>
      </c>
      <c r="B162" s="5" t="inlineStr">
        <is>
          <t>T08</t>
        </is>
      </c>
      <c r="C162" s="5" t="inlineStr">
        <is>
          <t>S034</t>
        </is>
      </c>
      <c r="D162" s="4" t="inlineStr">
        <is>
          <t>Rahul Gandhi accepts responsibility for UP result</t>
        </is>
      </c>
      <c r="E162" s="5" t="inlineStr">
        <is>
          <t>https://www.ndtv.com/assembly/i-take-responsibility-says-rahul-gandhi-about-up-results-470319</t>
        </is>
      </c>
      <c r="F162" s="4" t="inlineStr">
        <is>
          <t>Passage inspected</t>
        </is>
      </c>
      <c r="G162" s="4" t="inlineStr">
        <is>
          <t>Career Timeline</t>
        </is>
      </c>
      <c r="H162" s="4" t="inlineStr">
        <is>
          <t>Candidate reference; inspect Claims and Evidence for checked support.</t>
        </is>
      </c>
    </row>
    <row r="163" ht="52" customHeight="1">
      <c r="A163" s="6" t="inlineStr">
        <is>
          <t>T09:S004</t>
        </is>
      </c>
      <c r="B163" s="7" t="inlineStr">
        <is>
          <t>T09</t>
        </is>
      </c>
      <c r="C163" s="7" t="inlineStr">
        <is>
          <t>S004</t>
        </is>
      </c>
      <c r="D163" s="6" t="inlineStr">
        <is>
          <t>Shri Rahul Gandhi: past party president</t>
        </is>
      </c>
      <c r="E163" s="7" t="inlineStr">
        <is>
          <t>https://inc.in/leadership/past-party-presidents/shri-rahul-gandhi</t>
        </is>
      </c>
      <c r="F163" s="6" t="inlineStr">
        <is>
          <t>Passage inspected</t>
        </is>
      </c>
      <c r="G163" s="6" t="inlineStr">
        <is>
          <t>Career Timeline</t>
        </is>
      </c>
      <c r="H163" s="6" t="inlineStr">
        <is>
          <t>Candidate reference; inspect Claims and Evidence for checked support.</t>
        </is>
      </c>
    </row>
    <row r="164" ht="80" customHeight="1">
      <c r="A164" s="4" t="inlineStr">
        <is>
          <t>T10:S038</t>
        </is>
      </c>
      <c r="B164" s="5" t="inlineStr">
        <is>
          <t>T10</t>
        </is>
      </c>
      <c r="C164" s="5" t="inlineStr">
        <is>
          <t>S038</t>
        </is>
      </c>
      <c r="D164" s="4" t="inlineStr">
        <is>
          <t>Rahul Gandhi criticises convicted-lawmakers ordinance</t>
        </is>
      </c>
      <c r="E164" s="5" t="inlineStr">
        <is>
          <t>https://www.ndtv.com/india-news/rahul-gandhi-calls-ordinance-on-convicted-lawmakers-nonsense-huge-embarrassment-for-pm-535906</t>
        </is>
      </c>
      <c r="F164" s="4" t="inlineStr">
        <is>
          <t>Passage inspected</t>
        </is>
      </c>
      <c r="G164" s="4" t="inlineStr">
        <is>
          <t>Career Timeline</t>
        </is>
      </c>
      <c r="H164" s="4" t="inlineStr">
        <is>
          <t>Candidate reference; inspect Claims and Evidence for checked support.</t>
        </is>
      </c>
    </row>
    <row r="165" ht="80" customHeight="1">
      <c r="A165" s="6" t="inlineStr">
        <is>
          <t>T10:S039</t>
        </is>
      </c>
      <c r="B165" s="7" t="inlineStr">
        <is>
          <t>T10</t>
        </is>
      </c>
      <c r="C165" s="7" t="inlineStr">
        <is>
          <t>S039</t>
        </is>
      </c>
      <c r="D165" s="6" t="inlineStr">
        <is>
          <t>Government withdraws ordinance plan</t>
        </is>
      </c>
      <c r="E165" s="7" t="inlineStr">
        <is>
          <t>https://www.business-standard.com/article/politics/govt-bows-before-rahul-withdraws-ordinance-plan-113100200706_1.html</t>
        </is>
      </c>
      <c r="F165" s="6" t="inlineStr">
        <is>
          <t>Passage inspected</t>
        </is>
      </c>
      <c r="G165" s="6" t="inlineStr">
        <is>
          <t>Career Timeline</t>
        </is>
      </c>
      <c r="H165" s="6" t="inlineStr">
        <is>
          <t>Candidate reference; inspect Claims and Evidence for checked support.</t>
        </is>
      </c>
    </row>
    <row r="166" ht="80" customHeight="1">
      <c r="A166" s="4" t="inlineStr">
        <is>
          <t>T11:S008</t>
        </is>
      </c>
      <c r="B166" s="5" t="inlineStr">
        <is>
          <t>T11</t>
        </is>
      </c>
      <c r="C166" s="5" t="inlineStr">
        <is>
          <t>S008</t>
        </is>
      </c>
      <c r="D166" s="4" t="inlineStr">
        <is>
          <t>Amethi: past election results</t>
        </is>
      </c>
      <c r="E166" s="5" t="inlineStr">
        <is>
          <t>https://www.moneycontrol.com/elections/lok-sabha-election/uttar-pradesh/constituencies/amethi-constituency-s24led2008p037/</t>
        </is>
      </c>
      <c r="F166" s="4" t="inlineStr">
        <is>
          <t>Passage inspected</t>
        </is>
      </c>
      <c r="G166" s="4" t="inlineStr">
        <is>
          <t>Career Timeline</t>
        </is>
      </c>
      <c r="H166" s="4" t="inlineStr">
        <is>
          <t>Candidate reference; inspect Claims and Evidence for checked support.</t>
        </is>
      </c>
    </row>
    <row r="167" ht="52" customHeight="1">
      <c r="A167" s="6" t="inlineStr">
        <is>
          <t>T11:S024</t>
        </is>
      </c>
      <c r="B167" s="7" t="inlineStr">
        <is>
          <t>T11</t>
        </is>
      </c>
      <c r="C167" s="7" t="inlineStr">
        <is>
          <t>S024</t>
        </is>
      </c>
      <c r="D167" s="6" t="inlineStr">
        <is>
          <t>The Resilience of India’s Fourth Party System</t>
        </is>
      </c>
      <c r="E167" s="7" t="inlineStr">
        <is>
          <t>https://carnegieendowment.org/research/2024/09/india-election-bjp-party-politics</t>
        </is>
      </c>
      <c r="F167" s="6" t="inlineStr">
        <is>
          <t>Passage inspected</t>
        </is>
      </c>
      <c r="G167" s="6" t="inlineStr">
        <is>
          <t>Career Timeline</t>
        </is>
      </c>
      <c r="H167" s="6" t="inlineStr">
        <is>
          <t>Candidate reference; inspect Claims and Evidence for checked support.</t>
        </is>
      </c>
    </row>
    <row r="168" ht="94" customHeight="1">
      <c r="A168" s="4" t="inlineStr">
        <is>
          <t>T12:S037</t>
        </is>
      </c>
      <c r="B168" s="5" t="inlineStr">
        <is>
          <t>T12</t>
        </is>
      </c>
      <c r="C168" s="5" t="inlineStr">
        <is>
          <t>S037</t>
        </is>
      </c>
      <c r="D168" s="4" t="inlineStr">
        <is>
          <t>Rahul Gandhi vows to oppose land bill</t>
        </is>
      </c>
      <c r="E168" s="5" t="inlineStr">
        <is>
          <t>https://economictimes.indiatimes.com/news/politics-and-nation/rahul-gandhi-vows-to-oppose-land-bill-inside-and-outside-parliament/articleshow/47249971.cms</t>
        </is>
      </c>
      <c r="F168" s="4" t="inlineStr">
        <is>
          <t>Passage inspected</t>
        </is>
      </c>
      <c r="G168" s="4" t="inlineStr">
        <is>
          <t>Career Timeline</t>
        </is>
      </c>
      <c r="H168" s="4" t="inlineStr">
        <is>
          <t>Candidate reference; inspect Claims and Evidence for checked support.</t>
        </is>
      </c>
    </row>
    <row r="169" ht="52" customHeight="1">
      <c r="A169" s="6" t="inlineStr">
        <is>
          <t>T13:S004</t>
        </is>
      </c>
      <c r="B169" s="7" t="inlineStr">
        <is>
          <t>T13</t>
        </is>
      </c>
      <c r="C169" s="7" t="inlineStr">
        <is>
          <t>S004</t>
        </is>
      </c>
      <c r="D169" s="6" t="inlineStr">
        <is>
          <t>Shri Rahul Gandhi: past party president</t>
        </is>
      </c>
      <c r="E169" s="7" t="inlineStr">
        <is>
          <t>https://inc.in/leadership/past-party-presidents/shri-rahul-gandhi</t>
        </is>
      </c>
      <c r="F169" s="6" t="inlineStr">
        <is>
          <t>Passage inspected</t>
        </is>
      </c>
      <c r="G169" s="6" t="inlineStr">
        <is>
          <t>Career Timeline</t>
        </is>
      </c>
      <c r="H169" s="6" t="inlineStr">
        <is>
          <t>Candidate reference; inspect Claims and Evidence for checked support.</t>
        </is>
      </c>
    </row>
    <row r="170" ht="80" customHeight="1">
      <c r="A170" s="4" t="inlineStr">
        <is>
          <t>T14:S040</t>
        </is>
      </c>
      <c r="B170" s="5" t="inlineStr">
        <is>
          <t>T14</t>
        </is>
      </c>
      <c r="C170" s="5" t="inlineStr">
        <is>
          <t>S040</t>
        </is>
      </c>
      <c r="D170" s="4" t="inlineStr">
        <is>
          <t>Assembly election results, December 2018</t>
        </is>
      </c>
      <c r="E170" s="5" t="inlineStr">
        <is>
          <t>https://www.ndtv.com/india-news/election-results-2018-live-rajasthan-madhya-pradesh-telangana-chhattisgarh-mizoram-1960481</t>
        </is>
      </c>
      <c r="F170" s="4" t="inlineStr">
        <is>
          <t>Passage inspected</t>
        </is>
      </c>
      <c r="G170" s="4" t="inlineStr">
        <is>
          <t>Career Timeline</t>
        </is>
      </c>
      <c r="H170" s="4" t="inlineStr">
        <is>
          <t>Candidate reference; inspect Claims and Evidence for checked support.</t>
        </is>
      </c>
    </row>
    <row r="171" ht="66" customHeight="1">
      <c r="A171" s="6" t="inlineStr">
        <is>
          <t>T15:S007</t>
        </is>
      </c>
      <c r="B171" s="7" t="inlineStr">
        <is>
          <t>T15</t>
        </is>
      </c>
      <c r="C171" s="7" t="inlineStr">
        <is>
          <t>S007</t>
        </is>
      </c>
      <c r="D171" s="6" t="inlineStr">
        <is>
          <t>Analysis of Vote Share and Margin of Victory: Lok Sabha 2019</t>
        </is>
      </c>
      <c r="E171" s="7" t="inlineStr">
        <is>
          <t>https://adrindia.org/sites/default/files/Analysis_of_Vote_Share_Margin_Of_Victory_Lok_Sabha__2019.pdf</t>
        </is>
      </c>
      <c r="F171" s="6" t="inlineStr">
        <is>
          <t>Passage inspected</t>
        </is>
      </c>
      <c r="G171" s="6" t="inlineStr">
        <is>
          <t>Career Timeline</t>
        </is>
      </c>
      <c r="H171" s="6" t="inlineStr">
        <is>
          <t>Candidate reference; inspect Claims and Evidence for checked support.</t>
        </is>
      </c>
    </row>
    <row r="172" ht="66" customHeight="1">
      <c r="A172" s="4" t="inlineStr">
        <is>
          <t>T15:S014</t>
        </is>
      </c>
      <c r="B172" s="5" t="inlineStr">
        <is>
          <t>T15</t>
        </is>
      </c>
      <c r="C172" s="5" t="inlineStr">
        <is>
          <t>S014</t>
        </is>
      </c>
      <c r="D172" s="4" t="inlineStr">
        <is>
          <t>Rahul Gandhi’s resignation letter and accountability statement</t>
        </is>
      </c>
      <c r="E172" s="5" t="inlineStr">
        <is>
          <t>https://www.ndtv.com/india-news/rahul-gandhis-open-letter-full-text-at-times-i-stood-completely-alone-2063455</t>
        </is>
      </c>
      <c r="F172" s="4" t="inlineStr">
        <is>
          <t>Passage inspected</t>
        </is>
      </c>
      <c r="G172" s="4" t="inlineStr">
        <is>
          <t>Career Timeline</t>
        </is>
      </c>
      <c r="H172" s="4" t="inlineStr">
        <is>
          <t>Candidate reference; inspect Claims and Evidence for checked support.</t>
        </is>
      </c>
    </row>
    <row r="173" ht="66" customHeight="1">
      <c r="A173" s="6" t="inlineStr">
        <is>
          <t>T16:S014</t>
        </is>
      </c>
      <c r="B173" s="7" t="inlineStr">
        <is>
          <t>T16</t>
        </is>
      </c>
      <c r="C173" s="7" t="inlineStr">
        <is>
          <t>S014</t>
        </is>
      </c>
      <c r="D173" s="6" t="inlineStr">
        <is>
          <t>Rahul Gandhi’s resignation letter and accountability statement</t>
        </is>
      </c>
      <c r="E173" s="7" t="inlineStr">
        <is>
          <t>https://www.ndtv.com/india-news/rahul-gandhis-open-letter-full-text-at-times-i-stood-completely-alone-2063455</t>
        </is>
      </c>
      <c r="F173" s="6" t="inlineStr">
        <is>
          <t>Passage inspected</t>
        </is>
      </c>
      <c r="G173" s="6" t="inlineStr">
        <is>
          <t>Career Timeline</t>
        </is>
      </c>
      <c r="H173" s="6" t="inlineStr">
        <is>
          <t>Candidate reference; inspect Claims and Evidence for checked support.</t>
        </is>
      </c>
    </row>
    <row r="174" ht="80" customHeight="1">
      <c r="A174" s="4" t="inlineStr">
        <is>
          <t>T17:S029</t>
        </is>
      </c>
      <c r="B174" s="5" t="inlineStr">
        <is>
          <t>T17</t>
        </is>
      </c>
      <c r="C174" s="5" t="inlineStr">
        <is>
          <t>S029</t>
        </is>
      </c>
      <c r="D174" s="4" t="inlineStr">
        <is>
          <t>Supreme Court closes Rafale-related contempt proceedings</t>
        </is>
      </c>
      <c r="E174" s="5" t="inlineStr">
        <is>
          <t>https://indianexpress.com/article/india/rafale-case-sc-closes-defamation-case-against-rahul-gandhi-says-he-needs-to-be-more-careful/</t>
        </is>
      </c>
      <c r="F174" s="4" t="inlineStr">
        <is>
          <t>Passage inspected</t>
        </is>
      </c>
      <c r="G174" s="4" t="inlineStr">
        <is>
          <t>Career Timeline</t>
        </is>
      </c>
      <c r="H174" s="4" t="inlineStr">
        <is>
          <t>Candidate reference; inspect Claims and Evidence for checked support.</t>
        </is>
      </c>
    </row>
    <row r="175" ht="66" customHeight="1">
      <c r="A175" s="6" t="inlineStr">
        <is>
          <t>T18:S015</t>
        </is>
      </c>
      <c r="B175" s="7" t="inlineStr">
        <is>
          <t>T18</t>
        </is>
      </c>
      <c r="C175" s="7" t="inlineStr">
        <is>
          <t>S015</t>
        </is>
      </c>
      <c r="D175" s="6" t="inlineStr">
        <is>
          <t>Rahul Gandhi at the conclusion of Bharat Jodo Yatra</t>
        </is>
      </c>
      <c r="E175" s="7" t="inlineStr">
        <is>
          <t>https://indianexpress.com/article/political-pulse/rahul-modi-shah-doval-srinagar-bharat-jodo-yatra-8413548/</t>
        </is>
      </c>
      <c r="F175" s="6" t="inlineStr">
        <is>
          <t>Passage inspected</t>
        </is>
      </c>
      <c r="G175" s="6" t="inlineStr">
        <is>
          <t>Career Timeline</t>
        </is>
      </c>
      <c r="H175" s="6" t="inlineStr">
        <is>
          <t>Candidate reference; inspect Claims and Evidence for checked support.</t>
        </is>
      </c>
    </row>
    <row r="176" ht="66" customHeight="1">
      <c r="A176" s="4" t="inlineStr">
        <is>
          <t>T19:S010</t>
        </is>
      </c>
      <c r="B176" s="5" t="inlineStr">
        <is>
          <t>T19</t>
        </is>
      </c>
      <c r="C176" s="5" t="inlineStr">
        <is>
          <t>S010</t>
        </is>
      </c>
      <c r="D176" s="4" t="inlineStr">
        <is>
          <t>Rahul Gandhi v Purnesh Ishwarbhai Modi: stay order</t>
        </is>
      </c>
      <c r="E176" s="5" t="inlineStr">
        <is>
          <t>https://api.sci.gov.in/supremecourt/2023/27941/27941_2023_4_55_45901_Order_04-Aug-2023.pdf</t>
        </is>
      </c>
      <c r="F176" s="4" t="inlineStr">
        <is>
          <t>Passage inspected</t>
        </is>
      </c>
      <c r="G176" s="4" t="inlineStr">
        <is>
          <t>Career Timeline</t>
        </is>
      </c>
      <c r="H176" s="4" t="inlineStr">
        <is>
          <t>Candidate reference; inspect Claims and Evidence for checked support.</t>
        </is>
      </c>
    </row>
    <row r="177" ht="66" customHeight="1">
      <c r="A177" s="6" t="inlineStr">
        <is>
          <t>T19:S011</t>
        </is>
      </c>
      <c r="B177" s="7" t="inlineStr">
        <is>
          <t>T19</t>
        </is>
      </c>
      <c r="C177" s="7" t="inlineStr">
        <is>
          <t>S011</t>
        </is>
      </c>
      <c r="D177" s="6" t="inlineStr">
        <is>
          <t>Rahul Gandhi’s MP status restored</t>
        </is>
      </c>
      <c r="E177" s="7" t="inlineStr">
        <is>
          <t>https://indianexpress.com/article/political-pulse/rahul-gandhi-returns-mp-lok-sabha-supreme-court-8880307/</t>
        </is>
      </c>
      <c r="F177" s="6" t="inlineStr">
        <is>
          <t>Passage inspected</t>
        </is>
      </c>
      <c r="G177" s="6" t="inlineStr">
        <is>
          <t>Career Timeline</t>
        </is>
      </c>
      <c r="H177" s="6" t="inlineStr">
        <is>
          <t>Candidate reference; inspect Claims and Evidence for checked support.</t>
        </is>
      </c>
    </row>
    <row r="178" ht="52" customHeight="1">
      <c r="A178" s="4" t="inlineStr">
        <is>
          <t>T20:S004</t>
        </is>
      </c>
      <c r="B178" s="5" t="inlineStr">
        <is>
          <t>T20</t>
        </is>
      </c>
      <c r="C178" s="5" t="inlineStr">
        <is>
          <t>S004</t>
        </is>
      </c>
      <c r="D178" s="4" t="inlineStr">
        <is>
          <t>Shri Rahul Gandhi: past party president</t>
        </is>
      </c>
      <c r="E178" s="5" t="inlineStr">
        <is>
          <t>https://inc.in/leadership/past-party-presidents/shri-rahul-gandhi</t>
        </is>
      </c>
      <c r="F178" s="4" t="inlineStr">
        <is>
          <t>Passage inspected</t>
        </is>
      </c>
      <c r="G178" s="4" t="inlineStr">
        <is>
          <t>Career Timeline</t>
        </is>
      </c>
      <c r="H178" s="4" t="inlineStr">
        <is>
          <t>Candidate reference; inspect Claims and Evidence for checked support.</t>
        </is>
      </c>
    </row>
    <row r="179" ht="80" customHeight="1">
      <c r="A179" s="6" t="inlineStr">
        <is>
          <t>T21:S006</t>
        </is>
      </c>
      <c r="B179" s="7" t="inlineStr">
        <is>
          <t>T21</t>
        </is>
      </c>
      <c r="C179" s="7" t="inlineStr">
        <is>
          <t>S006</t>
        </is>
      </c>
      <c r="D179" s="6" t="inlineStr">
        <is>
          <t>General Election 2024: constituency-wise detailed result</t>
        </is>
      </c>
      <c r="E179" s="7" t="inlineStr">
        <is>
          <t>https://www.eci.gov.in/eci-backend/public/all_files/GE-2024-statistical-report/33-Constituency-Wise-Detailed-Result.pdf</t>
        </is>
      </c>
      <c r="F179" s="6" t="inlineStr">
        <is>
          <t>Passage inspected</t>
        </is>
      </c>
      <c r="G179" s="6" t="inlineStr">
        <is>
          <t>Career Timeline</t>
        </is>
      </c>
      <c r="H179" s="6" t="inlineStr">
        <is>
          <t>Candidate reference; inspect Claims and Evidence for checked support.</t>
        </is>
      </c>
    </row>
    <row r="180" ht="66" customHeight="1">
      <c r="A180" s="4" t="inlineStr">
        <is>
          <t>T21:S043</t>
        </is>
      </c>
      <c r="B180" s="5" t="inlineStr">
        <is>
          <t>T21</t>
        </is>
      </c>
      <c r="C180" s="5" t="inlineStr">
        <is>
          <t>S043</t>
        </is>
      </c>
      <c r="D180" s="4" t="inlineStr">
        <is>
          <t>Wayanad seat resignation</t>
        </is>
      </c>
      <c r="E180" s="5" t="inlineStr">
        <is>
          <t>https://www.ndtv.com/india-news/rahul-gandhi-resigns-from-wayanad-seat-retains-raebareli-5918402</t>
        </is>
      </c>
      <c r="F180" s="4" t="inlineStr">
        <is>
          <t>Passage inspected</t>
        </is>
      </c>
      <c r="G180" s="4" t="inlineStr">
        <is>
          <t>Career Timeline</t>
        </is>
      </c>
      <c r="H180" s="4" t="inlineStr">
        <is>
          <t>Candidate reference; inspect Claims and Evidence for checked support.</t>
        </is>
      </c>
    </row>
    <row r="181" ht="44" customHeight="1">
      <c r="A181" s="6" t="inlineStr">
        <is>
          <t>T22:S002</t>
        </is>
      </c>
      <c r="B181" s="7" t="inlineStr">
        <is>
          <t>T22</t>
        </is>
      </c>
      <c r="C181" s="7" t="inlineStr">
        <is>
          <t>S002</t>
        </is>
      </c>
      <c r="D181" s="6" t="inlineStr">
        <is>
          <t>Leader of Opposition</t>
        </is>
      </c>
      <c r="E181" s="7" t="inlineStr">
        <is>
          <t>https://sansad.in/ls/about/leader-of-opposition</t>
        </is>
      </c>
      <c r="F181" s="6" t="inlineStr">
        <is>
          <t>Passage inspected</t>
        </is>
      </c>
      <c r="G181" s="6" t="inlineStr">
        <is>
          <t>Career Timeline</t>
        </is>
      </c>
      <c r="H181" s="6" t="inlineStr">
        <is>
          <t>Candidate reference; inspect Claims and Evidence for checked support.</t>
        </is>
      </c>
    </row>
    <row r="182" ht="66" customHeight="1">
      <c r="A182" s="4" t="inlineStr">
        <is>
          <t>T23:S035</t>
        </is>
      </c>
      <c r="B182" s="5" t="inlineStr">
        <is>
          <t>T23</t>
        </is>
      </c>
      <c r="C182" s="5" t="inlineStr">
        <is>
          <t>S035</t>
        </is>
      </c>
      <c r="D182" s="4" t="inlineStr">
        <is>
          <t>Rahul Gandhi welcomes caste-enumeration decision and seeks timeline</t>
        </is>
      </c>
      <c r="E182" s="5" t="inlineStr">
        <is>
          <t>https://indianexpress.com/article/india/rahul-gandhi-caste-census-population-congress-centre-cabinet-9975117/</t>
        </is>
      </c>
      <c r="F182" s="4" t="inlineStr">
        <is>
          <t>Passage inspected</t>
        </is>
      </c>
      <c r="G182" s="4" t="inlineStr">
        <is>
          <t>Career Timeline</t>
        </is>
      </c>
      <c r="H182" s="4" t="inlineStr">
        <is>
          <t>Candidate reference; inspect Claims and Evidence for checked support.</t>
        </is>
      </c>
    </row>
    <row r="183" ht="52" customHeight="1">
      <c r="A183" s="6" t="inlineStr">
        <is>
          <t>T23:S036</t>
        </is>
      </c>
      <c r="B183" s="7" t="inlineStr">
        <is>
          <t>T23</t>
        </is>
      </c>
      <c r="C183" s="7" t="inlineStr">
        <is>
          <t>S036</t>
        </is>
      </c>
      <c r="D183" s="6" t="inlineStr">
        <is>
          <t>Government decision to include caste enumeration in census</t>
        </is>
      </c>
      <c r="E183" s="7" t="inlineStr">
        <is>
          <t>https://www.pib.gov.in/PressReleasePage.aspx?PRID=2125576</t>
        </is>
      </c>
      <c r="F183" s="6" t="inlineStr">
        <is>
          <t>Passage inspected</t>
        </is>
      </c>
      <c r="G183" s="6" t="inlineStr">
        <is>
          <t>Career Timeline</t>
        </is>
      </c>
      <c r="H183" s="6" t="inlineStr">
        <is>
          <t>Candidate reference; inspect Claims and Evidence for checked support.</t>
        </is>
      </c>
    </row>
    <row r="184" ht="80" customHeight="1">
      <c r="A184" s="4" t="inlineStr">
        <is>
          <t>T24:S026</t>
        </is>
      </c>
      <c r="B184" s="5" t="inlineStr">
        <is>
          <t>T24</t>
        </is>
      </c>
      <c r="C184" s="5" t="inlineStr">
        <is>
          <t>S026</t>
        </is>
      </c>
      <c r="D184" s="4" t="inlineStr">
        <is>
          <t>Congress camp’s Bihar post-mortem</t>
        </is>
      </c>
      <c r="E184" s="5" t="inlineStr">
        <is>
          <t>https://indianexpress.com/article/political-pulse/congress-camps-bihar-post-mortem-rahul-yatra-fiasco-allavaru-problem-weak-structure-10375553/</t>
        </is>
      </c>
      <c r="F184" s="4" t="inlineStr">
        <is>
          <t>Passage inspected</t>
        </is>
      </c>
      <c r="G184" s="4" t="inlineStr">
        <is>
          <t>Career Timeline</t>
        </is>
      </c>
      <c r="H184" s="4" t="inlineStr">
        <is>
          <t>Candidate reference; inspect Claims and Evidence for checked support.</t>
        </is>
      </c>
    </row>
    <row r="185" ht="66" customHeight="1">
      <c r="A185" s="6" t="inlineStr">
        <is>
          <t>T24:S027</t>
        </is>
      </c>
      <c r="B185" s="7" t="inlineStr">
        <is>
          <t>T24</t>
        </is>
      </c>
      <c r="C185" s="7" t="inlineStr">
        <is>
          <t>S027</t>
        </is>
      </c>
      <c r="D185" s="6" t="inlineStr">
        <is>
          <t>Rahul reportedly accepts shared responsibility for Bihar loss</t>
        </is>
      </c>
      <c r="E185" s="7" t="inlineStr">
        <is>
          <t>https://indianexpress.com/article/political-pulse/rahul-equallyresponsible-bihar-loss-poll-review-10390484/</t>
        </is>
      </c>
      <c r="F185" s="6" t="inlineStr">
        <is>
          <t>Passage inspected</t>
        </is>
      </c>
      <c r="G185" s="6" t="inlineStr">
        <is>
          <t>Career Timeline</t>
        </is>
      </c>
      <c r="H185" s="6" t="inlineStr">
        <is>
          <t>Candidate reference; inspect Claims and Evidence for checked support.</t>
        </is>
      </c>
    </row>
    <row r="186" ht="94" customHeight="1">
      <c r="A186" s="4" t="inlineStr">
        <is>
          <t>T25:S013</t>
        </is>
      </c>
      <c r="B186" s="5" t="inlineStr">
        <is>
          <t>T25</t>
        </is>
      </c>
      <c r="C186" s="5" t="inlineStr">
        <is>
          <t>S013</t>
        </is>
      </c>
      <c r="D186" s="4" t="inlineStr">
        <is>
          <t>Gandhis’ reply to Delhi High Court on National Herald case</t>
        </is>
      </c>
      <c r="E186" s="5" t="inlineStr">
        <is>
          <t>https://www.barandbench.com/news/only-case-where-ed-proceeded-on-private-complaint-sonia-and-rahul-gandhi-to-delhi-high-court-on-national-herald-case</t>
        </is>
      </c>
      <c r="F186" s="4" t="inlineStr">
        <is>
          <t>Passage inspected</t>
        </is>
      </c>
      <c r="G186" s="4" t="inlineStr">
        <is>
          <t>Career Timeline</t>
        </is>
      </c>
      <c r="H186" s="4" t="inlineStr">
        <is>
          <t>Candidate reference; inspect Claims and Evidence for checked support.</t>
        </is>
      </c>
    </row>
    <row r="187" ht="94" customHeight="1">
      <c r="A187" s="6" t="inlineStr">
        <is>
          <t>T25:S030</t>
        </is>
      </c>
      <c r="B187" s="7" t="inlineStr">
        <is>
          <t>T25</t>
        </is>
      </c>
      <c r="C187" s="7" t="inlineStr">
        <is>
          <t>S030</t>
        </is>
      </c>
      <c r="D187" s="6" t="inlineStr">
        <is>
          <t>Rahul Gandhi escalates EC criticism amid SIR dispute</t>
        </is>
      </c>
      <c r="E187" s="7" t="inlineStr">
        <is>
          <t>https://timesofindia.indiatimes.com/india/rahul-gandhi-press-conference-on-ec-gyanesh-kumar-resignation-sir-congress-vote-chori-election-bjp/articleshow/134457370.cms</t>
        </is>
      </c>
      <c r="F187" s="6" t="inlineStr">
        <is>
          <t>Passage inspected</t>
        </is>
      </c>
      <c r="G187" s="6" t="inlineStr">
        <is>
          <t>Career Timeline</t>
        </is>
      </c>
      <c r="H187" s="6" t="inlineStr">
        <is>
          <t>Candidate reference; inspect Claims and Evidence for checked support.</t>
        </is>
      </c>
    </row>
    <row r="188" ht="52" customHeight="1">
      <c r="A188" s="4" t="inlineStr">
        <is>
          <t>EL01:S009</t>
        </is>
      </c>
      <c r="B188" s="5" t="inlineStr">
        <is>
          <t>EL01</t>
        </is>
      </c>
      <c r="C188" s="5" t="inlineStr">
        <is>
          <t>S009</t>
        </is>
      </c>
      <c r="D188" s="4" t="inlineStr">
        <is>
          <t>2004 India General Election results</t>
        </is>
      </c>
      <c r="E188" s="5" t="inlineStr">
        <is>
          <t>https://www.elections.in/parliamentary-constituencies/2004-election-results.html</t>
        </is>
      </c>
      <c r="F188" s="4" t="inlineStr">
        <is>
          <t>Passage inspected</t>
        </is>
      </c>
      <c r="G188" s="4" t="inlineStr">
        <is>
          <t>Elections</t>
        </is>
      </c>
      <c r="H188" s="4" t="inlineStr">
        <is>
          <t>Candidate reference; inspect Claims and Evidence for checked support.</t>
        </is>
      </c>
    </row>
    <row r="189" ht="80" customHeight="1">
      <c r="A189" s="6" t="inlineStr">
        <is>
          <t>EL02:S008</t>
        </is>
      </c>
      <c r="B189" s="7" t="inlineStr">
        <is>
          <t>EL02</t>
        </is>
      </c>
      <c r="C189" s="7" t="inlineStr">
        <is>
          <t>S008</t>
        </is>
      </c>
      <c r="D189" s="6" t="inlineStr">
        <is>
          <t>Amethi: past election results</t>
        </is>
      </c>
      <c r="E189" s="7" t="inlineStr">
        <is>
          <t>https://www.moneycontrol.com/elections/lok-sabha-election/uttar-pradesh/constituencies/amethi-constituency-s24led2008p037/</t>
        </is>
      </c>
      <c r="F189" s="6" t="inlineStr">
        <is>
          <t>Passage inspected</t>
        </is>
      </c>
      <c r="G189" s="6" t="inlineStr">
        <is>
          <t>Elections</t>
        </is>
      </c>
      <c r="H189" s="6" t="inlineStr">
        <is>
          <t>Candidate reference; inspect Claims and Evidence for checked support.</t>
        </is>
      </c>
    </row>
    <row r="190" ht="80" customHeight="1">
      <c r="A190" s="4" t="inlineStr">
        <is>
          <t>EL03:S008</t>
        </is>
      </c>
      <c r="B190" s="5" t="inlineStr">
        <is>
          <t>EL03</t>
        </is>
      </c>
      <c r="C190" s="5" t="inlineStr">
        <is>
          <t>S008</t>
        </is>
      </c>
      <c r="D190" s="4" t="inlineStr">
        <is>
          <t>Amethi: past election results</t>
        </is>
      </c>
      <c r="E190" s="5" t="inlineStr">
        <is>
          <t>https://www.moneycontrol.com/elections/lok-sabha-election/uttar-pradesh/constituencies/amethi-constituency-s24led2008p037/</t>
        </is>
      </c>
      <c r="F190" s="4" t="inlineStr">
        <is>
          <t>Passage inspected</t>
        </is>
      </c>
      <c r="G190" s="4" t="inlineStr">
        <is>
          <t>Elections</t>
        </is>
      </c>
      <c r="H190" s="4" t="inlineStr">
        <is>
          <t>Candidate reference; inspect Claims and Evidence for checked support.</t>
        </is>
      </c>
    </row>
    <row r="191" ht="66" customHeight="1">
      <c r="A191" s="6" t="inlineStr">
        <is>
          <t>EL04:S007</t>
        </is>
      </c>
      <c r="B191" s="7" t="inlineStr">
        <is>
          <t>EL04</t>
        </is>
      </c>
      <c r="C191" s="7" t="inlineStr">
        <is>
          <t>S007</t>
        </is>
      </c>
      <c r="D191" s="6" t="inlineStr">
        <is>
          <t>Analysis of Vote Share and Margin of Victory: Lok Sabha 2019</t>
        </is>
      </c>
      <c r="E191" s="7" t="inlineStr">
        <is>
          <t>https://adrindia.org/sites/default/files/Analysis_of_Vote_Share_Margin_Of_Victory_Lok_Sabha__2019.pdf</t>
        </is>
      </c>
      <c r="F191" s="6" t="inlineStr">
        <is>
          <t>Passage inspected</t>
        </is>
      </c>
      <c r="G191" s="6" t="inlineStr">
        <is>
          <t>Elections</t>
        </is>
      </c>
      <c r="H191" s="6" t="inlineStr">
        <is>
          <t>Candidate reference; inspect Claims and Evidence for checked support.</t>
        </is>
      </c>
    </row>
    <row r="192" ht="66" customHeight="1">
      <c r="A192" s="4" t="inlineStr">
        <is>
          <t>EL05:S007</t>
        </is>
      </c>
      <c r="B192" s="5" t="inlineStr">
        <is>
          <t>EL05</t>
        </is>
      </c>
      <c r="C192" s="5" t="inlineStr">
        <is>
          <t>S007</t>
        </is>
      </c>
      <c r="D192" s="4" t="inlineStr">
        <is>
          <t>Analysis of Vote Share and Margin of Victory: Lok Sabha 2019</t>
        </is>
      </c>
      <c r="E192" s="5" t="inlineStr">
        <is>
          <t>https://adrindia.org/sites/default/files/Analysis_of_Vote_Share_Margin_Of_Victory_Lok_Sabha__2019.pdf</t>
        </is>
      </c>
      <c r="F192" s="4" t="inlineStr">
        <is>
          <t>Passage inspected</t>
        </is>
      </c>
      <c r="G192" s="4" t="inlineStr">
        <is>
          <t>Elections</t>
        </is>
      </c>
      <c r="H192" s="4" t="inlineStr">
        <is>
          <t>Candidate reference; inspect Claims and Evidence for checked support.</t>
        </is>
      </c>
    </row>
    <row r="193" ht="44" customHeight="1">
      <c r="A193" s="6" t="inlineStr">
        <is>
          <t>EL05:S041</t>
        </is>
      </c>
      <c r="B193" s="7" t="inlineStr">
        <is>
          <t>EL05</t>
        </is>
      </c>
      <c r="C193" s="7" t="inlineStr">
        <is>
          <t>S041</t>
        </is>
      </c>
      <c r="D193" s="6" t="inlineStr">
        <is>
          <t>Elected members: Lok Sabha 2019</t>
        </is>
      </c>
      <c r="E193" s="7" t="inlineStr">
        <is>
          <t>https://www.ceo.kerala.gov.in/electedmembers</t>
        </is>
      </c>
      <c r="F193" s="6" t="inlineStr">
        <is>
          <t>Passage inspected</t>
        </is>
      </c>
      <c r="G193" s="6" t="inlineStr">
        <is>
          <t>Elections</t>
        </is>
      </c>
      <c r="H193" s="6" t="inlineStr">
        <is>
          <t>Candidate reference; inspect Claims and Evidence for checked support.</t>
        </is>
      </c>
    </row>
    <row r="194" ht="80" customHeight="1">
      <c r="A194" s="4" t="inlineStr">
        <is>
          <t>EL06:S006</t>
        </is>
      </c>
      <c r="B194" s="5" t="inlineStr">
        <is>
          <t>EL06</t>
        </is>
      </c>
      <c r="C194" s="5" t="inlineStr">
        <is>
          <t>S006</t>
        </is>
      </c>
      <c r="D194" s="4" t="inlineStr">
        <is>
          <t>General Election 2024: constituency-wise detailed result</t>
        </is>
      </c>
      <c r="E194" s="5" t="inlineStr">
        <is>
          <t>https://www.eci.gov.in/eci-backend/public/all_files/GE-2024-statistical-report/33-Constituency-Wise-Detailed-Result.pdf</t>
        </is>
      </c>
      <c r="F194" s="4" t="inlineStr">
        <is>
          <t>Passage inspected</t>
        </is>
      </c>
      <c r="G194" s="4" t="inlineStr">
        <is>
          <t>Elections</t>
        </is>
      </c>
      <c r="H194" s="4" t="inlineStr">
        <is>
          <t>Candidate reference; inspect Claims and Evidence for checked support.</t>
        </is>
      </c>
    </row>
    <row r="195" ht="80" customHeight="1">
      <c r="A195" s="6" t="inlineStr">
        <is>
          <t>EL07:S006</t>
        </is>
      </c>
      <c r="B195" s="7" t="inlineStr">
        <is>
          <t>EL07</t>
        </is>
      </c>
      <c r="C195" s="7" t="inlineStr">
        <is>
          <t>S006</t>
        </is>
      </c>
      <c r="D195" s="6" t="inlineStr">
        <is>
          <t>General Election 2024: constituency-wise detailed result</t>
        </is>
      </c>
      <c r="E195" s="7" t="inlineStr">
        <is>
          <t>https://www.eci.gov.in/eci-backend/public/all_files/GE-2024-statistical-report/33-Constituency-Wise-Detailed-Result.pdf</t>
        </is>
      </c>
      <c r="F195" s="6" t="inlineStr">
        <is>
          <t>Passage inspected</t>
        </is>
      </c>
      <c r="G195" s="6" t="inlineStr">
        <is>
          <t>Elections</t>
        </is>
      </c>
      <c r="H195" s="6" t="inlineStr">
        <is>
          <t>Candidate reference; inspect Claims and Evidence for checked support.</t>
        </is>
      </c>
    </row>
    <row r="196" ht="66" customHeight="1">
      <c r="A196" s="4" t="inlineStr">
        <is>
          <t>EL07:S043</t>
        </is>
      </c>
      <c r="B196" s="5" t="inlineStr">
        <is>
          <t>EL07</t>
        </is>
      </c>
      <c r="C196" s="5" t="inlineStr">
        <is>
          <t>S043</t>
        </is>
      </c>
      <c r="D196" s="4" t="inlineStr">
        <is>
          <t>Wayanad seat resignation</t>
        </is>
      </c>
      <c r="E196" s="5" t="inlineStr">
        <is>
          <t>https://www.ndtv.com/india-news/rahul-gandhi-resigns-from-wayanad-seat-retains-raebareli-5918402</t>
        </is>
      </c>
      <c r="F196" s="4" t="inlineStr">
        <is>
          <t>Passage inspected</t>
        </is>
      </c>
      <c r="G196" s="4" t="inlineStr">
        <is>
          <t>Elections</t>
        </is>
      </c>
      <c r="H196" s="4" t="inlineStr">
        <is>
          <t>Candidate reference; inspect Claims and Evidence for checked support.</t>
        </is>
      </c>
    </row>
    <row r="197" ht="52" customHeight="1">
      <c r="A197" s="6" t="inlineStr">
        <is>
          <t>OF01:S004</t>
        </is>
      </c>
      <c r="B197" s="7" t="inlineStr">
        <is>
          <t>OF01</t>
        </is>
      </c>
      <c r="C197" s="7" t="inlineStr">
        <is>
          <t>S004</t>
        </is>
      </c>
      <c r="D197" s="6" t="inlineStr">
        <is>
          <t>Shri Rahul Gandhi: past party president</t>
        </is>
      </c>
      <c r="E197" s="7" t="inlineStr">
        <is>
          <t>https://inc.in/leadership/past-party-presidents/shri-rahul-gandhi</t>
        </is>
      </c>
      <c r="F197" s="6" t="inlineStr">
        <is>
          <t>Passage inspected</t>
        </is>
      </c>
      <c r="G197" s="6" t="inlineStr">
        <is>
          <t>Offices &amp; Party</t>
        </is>
      </c>
      <c r="H197" s="6" t="inlineStr">
        <is>
          <t>Candidate reference; inspect Claims and Evidence for checked support.</t>
        </is>
      </c>
    </row>
    <row r="198" ht="52" customHeight="1">
      <c r="A198" s="4" t="inlineStr">
        <is>
          <t>OF01:S009</t>
        </is>
      </c>
      <c r="B198" s="5" t="inlineStr">
        <is>
          <t>OF01</t>
        </is>
      </c>
      <c r="C198" s="5" t="inlineStr">
        <is>
          <t>S009</t>
        </is>
      </c>
      <c r="D198" s="4" t="inlineStr">
        <is>
          <t>2004 India General Election results</t>
        </is>
      </c>
      <c r="E198" s="5" t="inlineStr">
        <is>
          <t>https://www.elections.in/parliamentary-constituencies/2004-election-results.html</t>
        </is>
      </c>
      <c r="F198" s="4" t="inlineStr">
        <is>
          <t>Passage inspected</t>
        </is>
      </c>
      <c r="G198" s="4" t="inlineStr">
        <is>
          <t>Offices &amp; Party</t>
        </is>
      </c>
      <c r="H198" s="4" t="inlineStr">
        <is>
          <t>Candidate reference; inspect Claims and Evidence for checked support.</t>
        </is>
      </c>
    </row>
    <row r="199" ht="52" customHeight="1">
      <c r="A199" s="6" t="inlineStr">
        <is>
          <t>OF02:S004</t>
        </is>
      </c>
      <c r="B199" s="7" t="inlineStr">
        <is>
          <t>OF02</t>
        </is>
      </c>
      <c r="C199" s="7" t="inlineStr">
        <is>
          <t>S004</t>
        </is>
      </c>
      <c r="D199" s="6" t="inlineStr">
        <is>
          <t>Shri Rahul Gandhi: past party president</t>
        </is>
      </c>
      <c r="E199" s="7" t="inlineStr">
        <is>
          <t>https://inc.in/leadership/past-party-presidents/shri-rahul-gandhi</t>
        </is>
      </c>
      <c r="F199" s="6" t="inlineStr">
        <is>
          <t>Passage inspected</t>
        </is>
      </c>
      <c r="G199" s="6" t="inlineStr">
        <is>
          <t>Offices &amp; Party</t>
        </is>
      </c>
      <c r="H199" s="6" t="inlineStr">
        <is>
          <t>Candidate reference; inspect Claims and Evidence for checked support.</t>
        </is>
      </c>
    </row>
    <row r="200" ht="80" customHeight="1">
      <c r="A200" s="4" t="inlineStr">
        <is>
          <t>OF02:S008</t>
        </is>
      </c>
      <c r="B200" s="5" t="inlineStr">
        <is>
          <t>OF02</t>
        </is>
      </c>
      <c r="C200" s="5" t="inlineStr">
        <is>
          <t>S008</t>
        </is>
      </c>
      <c r="D200" s="4" t="inlineStr">
        <is>
          <t>Amethi: past election results</t>
        </is>
      </c>
      <c r="E200" s="5" t="inlineStr">
        <is>
          <t>https://www.moneycontrol.com/elections/lok-sabha-election/uttar-pradesh/constituencies/amethi-constituency-s24led2008p037/</t>
        </is>
      </c>
      <c r="F200" s="4" t="inlineStr">
        <is>
          <t>Passage inspected</t>
        </is>
      </c>
      <c r="G200" s="4" t="inlineStr">
        <is>
          <t>Offices &amp; Party</t>
        </is>
      </c>
      <c r="H200" s="4" t="inlineStr">
        <is>
          <t>Candidate reference; inspect Claims and Evidence for checked support.</t>
        </is>
      </c>
    </row>
    <row r="201" ht="52" customHeight="1">
      <c r="A201" s="6" t="inlineStr">
        <is>
          <t>OF03:S004</t>
        </is>
      </c>
      <c r="B201" s="7" t="inlineStr">
        <is>
          <t>OF03</t>
        </is>
      </c>
      <c r="C201" s="7" t="inlineStr">
        <is>
          <t>S004</t>
        </is>
      </c>
      <c r="D201" s="6" t="inlineStr">
        <is>
          <t>Shri Rahul Gandhi: past party president</t>
        </is>
      </c>
      <c r="E201" s="7" t="inlineStr">
        <is>
          <t>https://inc.in/leadership/past-party-presidents/shri-rahul-gandhi</t>
        </is>
      </c>
      <c r="F201" s="6" t="inlineStr">
        <is>
          <t>Passage inspected</t>
        </is>
      </c>
      <c r="G201" s="6" t="inlineStr">
        <is>
          <t>Offices &amp; Party</t>
        </is>
      </c>
      <c r="H201" s="6" t="inlineStr">
        <is>
          <t>Candidate reference; inspect Claims and Evidence for checked support.</t>
        </is>
      </c>
    </row>
    <row r="202" ht="66" customHeight="1">
      <c r="A202" s="4" t="inlineStr">
        <is>
          <t>OF03:S007</t>
        </is>
      </c>
      <c r="B202" s="5" t="inlineStr">
        <is>
          <t>OF03</t>
        </is>
      </c>
      <c r="C202" s="5" t="inlineStr">
        <is>
          <t>S007</t>
        </is>
      </c>
      <c r="D202" s="4" t="inlineStr">
        <is>
          <t>Analysis of Vote Share and Margin of Victory: Lok Sabha 2019</t>
        </is>
      </c>
      <c r="E202" s="5" t="inlineStr">
        <is>
          <t>https://adrindia.org/sites/default/files/Analysis_of_Vote_Share_Margin_Of_Victory_Lok_Sabha__2019.pdf</t>
        </is>
      </c>
      <c r="F202" s="4" t="inlineStr">
        <is>
          <t>Passage inspected</t>
        </is>
      </c>
      <c r="G202" s="4" t="inlineStr">
        <is>
          <t>Offices &amp; Party</t>
        </is>
      </c>
      <c r="H202" s="4" t="inlineStr">
        <is>
          <t>Candidate reference; inspect Claims and Evidence for checked support.</t>
        </is>
      </c>
    </row>
    <row r="203" ht="80" customHeight="1">
      <c r="A203" s="6" t="inlineStr">
        <is>
          <t>OF03:S008</t>
        </is>
      </c>
      <c r="B203" s="7" t="inlineStr">
        <is>
          <t>OF03</t>
        </is>
      </c>
      <c r="C203" s="7" t="inlineStr">
        <is>
          <t>S008</t>
        </is>
      </c>
      <c r="D203" s="6" t="inlineStr">
        <is>
          <t>Amethi: past election results</t>
        </is>
      </c>
      <c r="E203" s="7" t="inlineStr">
        <is>
          <t>https://www.moneycontrol.com/elections/lok-sabha-election/uttar-pradesh/constituencies/amethi-constituency-s24led2008p037/</t>
        </is>
      </c>
      <c r="F203" s="6" t="inlineStr">
        <is>
          <t>Passage inspected</t>
        </is>
      </c>
      <c r="G203" s="6" t="inlineStr">
        <is>
          <t>Offices &amp; Party</t>
        </is>
      </c>
      <c r="H203" s="6" t="inlineStr">
        <is>
          <t>Candidate reference; inspect Claims and Evidence for checked support.</t>
        </is>
      </c>
    </row>
    <row r="204" ht="44" customHeight="1">
      <c r="A204" s="4" t="inlineStr">
        <is>
          <t>OF04:S042</t>
        </is>
      </c>
      <c r="B204" s="5" t="inlineStr">
        <is>
          <t>OF04</t>
        </is>
      </c>
      <c r="C204" s="5" t="inlineStr">
        <is>
          <t>S042</t>
        </is>
      </c>
      <c r="D204" s="4" t="inlineStr">
        <is>
          <t>Rahul Gandhi: 17th Lok Sabha MPTrack</t>
        </is>
      </c>
      <c r="E204" s="5" t="inlineStr">
        <is>
          <t>https://prsindia.org/mptrack/17-lok-sabha/rahul-gandhi</t>
        </is>
      </c>
      <c r="F204" s="4" t="inlineStr">
        <is>
          <t>Passage inspected</t>
        </is>
      </c>
      <c r="G204" s="4" t="inlineStr">
        <is>
          <t>Offices &amp; Party</t>
        </is>
      </c>
      <c r="H204" s="4" t="inlineStr">
        <is>
          <t>Candidate reference; inspect Claims and Evidence for checked support.</t>
        </is>
      </c>
    </row>
    <row r="205" ht="66" customHeight="1">
      <c r="A205" s="6" t="inlineStr">
        <is>
          <t>OF04:S011</t>
        </is>
      </c>
      <c r="B205" s="7" t="inlineStr">
        <is>
          <t>OF04</t>
        </is>
      </c>
      <c r="C205" s="7" t="inlineStr">
        <is>
          <t>S011</t>
        </is>
      </c>
      <c r="D205" s="6" t="inlineStr">
        <is>
          <t>Rahul Gandhi’s MP status restored</t>
        </is>
      </c>
      <c r="E205" s="7" t="inlineStr">
        <is>
          <t>https://indianexpress.com/article/political-pulse/rahul-gandhi-returns-mp-lok-sabha-supreme-court-8880307/</t>
        </is>
      </c>
      <c r="F205" s="6" t="inlineStr">
        <is>
          <t>Passage inspected</t>
        </is>
      </c>
      <c r="G205" s="6" t="inlineStr">
        <is>
          <t>Offices &amp; Party</t>
        </is>
      </c>
      <c r="H205" s="6" t="inlineStr">
        <is>
          <t>Candidate reference; inspect Claims and Evidence for checked support.</t>
        </is>
      </c>
    </row>
    <row r="206" ht="66" customHeight="1">
      <c r="A206" s="4" t="inlineStr">
        <is>
          <t>OF05:S011</t>
        </is>
      </c>
      <c r="B206" s="5" t="inlineStr">
        <is>
          <t>OF05</t>
        </is>
      </c>
      <c r="C206" s="5" t="inlineStr">
        <is>
          <t>S011</t>
        </is>
      </c>
      <c r="D206" s="4" t="inlineStr">
        <is>
          <t>Rahul Gandhi’s MP status restored</t>
        </is>
      </c>
      <c r="E206" s="5" t="inlineStr">
        <is>
          <t>https://indianexpress.com/article/political-pulse/rahul-gandhi-returns-mp-lok-sabha-supreme-court-8880307/</t>
        </is>
      </c>
      <c r="F206" s="4" t="inlineStr">
        <is>
          <t>Passage inspected</t>
        </is>
      </c>
      <c r="G206" s="4" t="inlineStr">
        <is>
          <t>Offices &amp; Party</t>
        </is>
      </c>
      <c r="H206" s="4" t="inlineStr">
        <is>
          <t>Candidate reference; inspect Claims and Evidence for checked support.</t>
        </is>
      </c>
    </row>
    <row r="207" ht="44" customHeight="1">
      <c r="A207" s="6" t="inlineStr">
        <is>
          <t>OF05:S042</t>
        </is>
      </c>
      <c r="B207" s="7" t="inlineStr">
        <is>
          <t>OF05</t>
        </is>
      </c>
      <c r="C207" s="7" t="inlineStr">
        <is>
          <t>S042</t>
        </is>
      </c>
      <c r="D207" s="6" t="inlineStr">
        <is>
          <t>Rahul Gandhi: 17th Lok Sabha MPTrack</t>
        </is>
      </c>
      <c r="E207" s="7" t="inlineStr">
        <is>
          <t>https://prsindia.org/mptrack/17-lok-sabha/rahul-gandhi</t>
        </is>
      </c>
      <c r="F207" s="6" t="inlineStr">
        <is>
          <t>Passage inspected</t>
        </is>
      </c>
      <c r="G207" s="6" t="inlineStr">
        <is>
          <t>Offices &amp; Party</t>
        </is>
      </c>
      <c r="H207" s="6" t="inlineStr">
        <is>
          <t>Candidate reference; inspect Claims and Evidence for checked support.</t>
        </is>
      </c>
    </row>
    <row r="208" ht="80" customHeight="1">
      <c r="A208" s="4" t="inlineStr">
        <is>
          <t>OF06:S006</t>
        </is>
      </c>
      <c r="B208" s="5" t="inlineStr">
        <is>
          <t>OF06</t>
        </is>
      </c>
      <c r="C208" s="5" t="inlineStr">
        <is>
          <t>S006</t>
        </is>
      </c>
      <c r="D208" s="4" t="inlineStr">
        <is>
          <t>General Election 2024: constituency-wise detailed result</t>
        </is>
      </c>
      <c r="E208" s="5" t="inlineStr">
        <is>
          <t>https://www.eci.gov.in/eci-backend/public/all_files/GE-2024-statistical-report/33-Constituency-Wise-Detailed-Result.pdf</t>
        </is>
      </c>
      <c r="F208" s="4" t="inlineStr">
        <is>
          <t>Passage inspected</t>
        </is>
      </c>
      <c r="G208" s="4" t="inlineStr">
        <is>
          <t>Offices &amp; Party</t>
        </is>
      </c>
      <c r="H208" s="4" t="inlineStr">
        <is>
          <t>Candidate reference; inspect Claims and Evidence for checked support.</t>
        </is>
      </c>
    </row>
    <row r="209" ht="66" customHeight="1">
      <c r="A209" s="6" t="inlineStr">
        <is>
          <t>OF06:S043</t>
        </is>
      </c>
      <c r="B209" s="7" t="inlineStr">
        <is>
          <t>OF06</t>
        </is>
      </c>
      <c r="C209" s="7" t="inlineStr">
        <is>
          <t>S043</t>
        </is>
      </c>
      <c r="D209" s="6" t="inlineStr">
        <is>
          <t>Wayanad seat resignation</t>
        </is>
      </c>
      <c r="E209" s="7" t="inlineStr">
        <is>
          <t>https://www.ndtv.com/india-news/rahul-gandhi-resigns-from-wayanad-seat-retains-raebareli-5918402</t>
        </is>
      </c>
      <c r="F209" s="6" t="inlineStr">
        <is>
          <t>Passage inspected</t>
        </is>
      </c>
      <c r="G209" s="6" t="inlineStr">
        <is>
          <t>Offices &amp; Party</t>
        </is>
      </c>
      <c r="H209" s="6" t="inlineStr">
        <is>
          <t>Candidate reference; inspect Claims and Evidence for checked support.</t>
        </is>
      </c>
    </row>
    <row r="210" ht="44" customHeight="1">
      <c r="A210" s="4" t="inlineStr">
        <is>
          <t>OF07:S003</t>
        </is>
      </c>
      <c r="B210" s="5" t="inlineStr">
        <is>
          <t>OF07</t>
        </is>
      </c>
      <c r="C210" s="5" t="inlineStr">
        <is>
          <t>S003</t>
        </is>
      </c>
      <c r="D210" s="4" t="inlineStr">
        <is>
          <t>Rahul Gandhi: 18th Lok Sabha MPTrack</t>
        </is>
      </c>
      <c r="E210" s="5" t="inlineStr">
        <is>
          <t>https://prsindia.org/mptrack/18-lok-sabha/rahul-gandhi</t>
        </is>
      </c>
      <c r="F210" s="4" t="inlineStr">
        <is>
          <t>Passage inspected</t>
        </is>
      </c>
      <c r="G210" s="4" t="inlineStr">
        <is>
          <t>Offices &amp; Party</t>
        </is>
      </c>
      <c r="H210" s="4" t="inlineStr">
        <is>
          <t>Candidate reference; inspect Claims and Evidence for checked support.</t>
        </is>
      </c>
    </row>
    <row r="211" ht="66" customHeight="1">
      <c r="A211" s="6" t="inlineStr">
        <is>
          <t>OF07:S043</t>
        </is>
      </c>
      <c r="B211" s="7" t="inlineStr">
        <is>
          <t>OF07</t>
        </is>
      </c>
      <c r="C211" s="7" t="inlineStr">
        <is>
          <t>S043</t>
        </is>
      </c>
      <c r="D211" s="6" t="inlineStr">
        <is>
          <t>Wayanad seat resignation</t>
        </is>
      </c>
      <c r="E211" s="7" t="inlineStr">
        <is>
          <t>https://www.ndtv.com/india-news/rahul-gandhi-resigns-from-wayanad-seat-retains-raebareli-5918402</t>
        </is>
      </c>
      <c r="F211" s="6" t="inlineStr">
        <is>
          <t>Passage inspected</t>
        </is>
      </c>
      <c r="G211" s="6" t="inlineStr">
        <is>
          <t>Offices &amp; Party</t>
        </is>
      </c>
      <c r="H211" s="6" t="inlineStr">
        <is>
          <t>Candidate reference; inspect Claims and Evidence for checked support.</t>
        </is>
      </c>
    </row>
    <row r="212" ht="44" customHeight="1">
      <c r="A212" s="4" t="inlineStr">
        <is>
          <t>OF08:S002</t>
        </is>
      </c>
      <c r="B212" s="5" t="inlineStr">
        <is>
          <t>OF08</t>
        </is>
      </c>
      <c r="C212" s="5" t="inlineStr">
        <is>
          <t>S002</t>
        </is>
      </c>
      <c r="D212" s="4" t="inlineStr">
        <is>
          <t>Leader of Opposition</t>
        </is>
      </c>
      <c r="E212" s="5" t="inlineStr">
        <is>
          <t>https://sansad.in/ls/about/leader-of-opposition</t>
        </is>
      </c>
      <c r="F212" s="4" t="inlineStr">
        <is>
          <t>Passage inspected</t>
        </is>
      </c>
      <c r="G212" s="4" t="inlineStr">
        <is>
          <t>Offices &amp; Party</t>
        </is>
      </c>
      <c r="H212" s="4" t="inlineStr">
        <is>
          <t>Candidate reference; inspect Claims and Evidence for checked support.</t>
        </is>
      </c>
    </row>
    <row r="213" ht="44" customHeight="1">
      <c r="A213" s="6" t="inlineStr">
        <is>
          <t>OF08:S003</t>
        </is>
      </c>
      <c r="B213" s="7" t="inlineStr">
        <is>
          <t>OF08</t>
        </is>
      </c>
      <c r="C213" s="7" t="inlineStr">
        <is>
          <t>S003</t>
        </is>
      </c>
      <c r="D213" s="6" t="inlineStr">
        <is>
          <t>Rahul Gandhi: 18th Lok Sabha MPTrack</t>
        </is>
      </c>
      <c r="E213" s="7" t="inlineStr">
        <is>
          <t>https://prsindia.org/mptrack/18-lok-sabha/rahul-gandhi</t>
        </is>
      </c>
      <c r="F213" s="6" t="inlineStr">
        <is>
          <t>Passage inspected</t>
        </is>
      </c>
      <c r="G213" s="6" t="inlineStr">
        <is>
          <t>Offices &amp; Party</t>
        </is>
      </c>
      <c r="H213" s="6" t="inlineStr">
        <is>
          <t>Candidate reference; inspect Claims and Evidence for checked support.</t>
        </is>
      </c>
    </row>
    <row r="214" ht="52" customHeight="1">
      <c r="A214" s="4" t="inlineStr">
        <is>
          <t>OF09:S004</t>
        </is>
      </c>
      <c r="B214" s="5" t="inlineStr">
        <is>
          <t>OF09</t>
        </is>
      </c>
      <c r="C214" s="5" t="inlineStr">
        <is>
          <t>S004</t>
        </is>
      </c>
      <c r="D214" s="4" t="inlineStr">
        <is>
          <t>Shri Rahul Gandhi: past party president</t>
        </is>
      </c>
      <c r="E214" s="5" t="inlineStr">
        <is>
          <t>https://inc.in/leadership/past-party-presidents/shri-rahul-gandhi</t>
        </is>
      </c>
      <c r="F214" s="4" t="inlineStr">
        <is>
          <t>Passage inspected</t>
        </is>
      </c>
      <c r="G214" s="4" t="inlineStr">
        <is>
          <t>Offices &amp; Party</t>
        </is>
      </c>
      <c r="H214" s="4" t="inlineStr">
        <is>
          <t>Candidate reference; inspect Claims and Evidence for checked support.</t>
        </is>
      </c>
    </row>
    <row r="215" ht="52" customHeight="1">
      <c r="A215" s="6" t="inlineStr">
        <is>
          <t>OF10:S004</t>
        </is>
      </c>
      <c r="B215" s="7" t="inlineStr">
        <is>
          <t>OF10</t>
        </is>
      </c>
      <c r="C215" s="7" t="inlineStr">
        <is>
          <t>S004</t>
        </is>
      </c>
      <c r="D215" s="6" t="inlineStr">
        <is>
          <t>Shri Rahul Gandhi: past party president</t>
        </is>
      </c>
      <c r="E215" s="7" t="inlineStr">
        <is>
          <t>https://inc.in/leadership/past-party-presidents/shri-rahul-gandhi</t>
        </is>
      </c>
      <c r="F215" s="6" t="inlineStr">
        <is>
          <t>Passage inspected</t>
        </is>
      </c>
      <c r="G215" s="6" t="inlineStr">
        <is>
          <t>Offices &amp; Party</t>
        </is>
      </c>
      <c r="H215" s="6" t="inlineStr">
        <is>
          <t>Candidate reference; inspect Claims and Evidence for checked support.</t>
        </is>
      </c>
    </row>
    <row r="216" ht="52" customHeight="1">
      <c r="A216" s="4" t="inlineStr">
        <is>
          <t>OF11:S004</t>
        </is>
      </c>
      <c r="B216" s="5" t="inlineStr">
        <is>
          <t>OF11</t>
        </is>
      </c>
      <c r="C216" s="5" t="inlineStr">
        <is>
          <t>S004</t>
        </is>
      </c>
      <c r="D216" s="4" t="inlineStr">
        <is>
          <t>Shri Rahul Gandhi: past party president</t>
        </is>
      </c>
      <c r="E216" s="5" t="inlineStr">
        <is>
          <t>https://inc.in/leadership/past-party-presidents/shri-rahul-gandhi</t>
        </is>
      </c>
      <c r="F216" s="4" t="inlineStr">
        <is>
          <t>Passage inspected</t>
        </is>
      </c>
      <c r="G216" s="4" t="inlineStr">
        <is>
          <t>Offices &amp; Party</t>
        </is>
      </c>
      <c r="H216" s="4" t="inlineStr">
        <is>
          <t>Candidate reference; inspect Claims and Evidence for checked support.</t>
        </is>
      </c>
    </row>
    <row r="217" ht="66" customHeight="1">
      <c r="A217" s="6" t="inlineStr">
        <is>
          <t>OF11:S014</t>
        </is>
      </c>
      <c r="B217" s="7" t="inlineStr">
        <is>
          <t>OF11</t>
        </is>
      </c>
      <c r="C217" s="7" t="inlineStr">
        <is>
          <t>S014</t>
        </is>
      </c>
      <c r="D217" s="6" t="inlineStr">
        <is>
          <t>Rahul Gandhi’s resignation letter and accountability statement</t>
        </is>
      </c>
      <c r="E217" s="7" t="inlineStr">
        <is>
          <t>https://www.ndtv.com/india-news/rahul-gandhis-open-letter-full-text-at-times-i-stood-completely-alone-2063455</t>
        </is>
      </c>
      <c r="F217" s="6" t="inlineStr">
        <is>
          <t>Passage inspected</t>
        </is>
      </c>
      <c r="G217" s="6" t="inlineStr">
        <is>
          <t>Offices &amp; Party</t>
        </is>
      </c>
      <c r="H217" s="6" t="inlineStr">
        <is>
          <t>Candidate reference; inspect Claims and Evidence for checked support.</t>
        </is>
      </c>
    </row>
    <row r="218" ht="52" customHeight="1">
      <c r="A218" s="4" t="inlineStr">
        <is>
          <t>OF12:S004</t>
        </is>
      </c>
      <c r="B218" s="5" t="inlineStr">
        <is>
          <t>OF12</t>
        </is>
      </c>
      <c r="C218" s="5" t="inlineStr">
        <is>
          <t>S004</t>
        </is>
      </c>
      <c r="D218" s="4" t="inlineStr">
        <is>
          <t>Shri Rahul Gandhi: past party president</t>
        </is>
      </c>
      <c r="E218" s="5" t="inlineStr">
        <is>
          <t>https://inc.in/leadership/past-party-presidents/shri-rahul-gandhi</t>
        </is>
      </c>
      <c r="F218" s="4" t="inlineStr">
        <is>
          <t>Passage inspected</t>
        </is>
      </c>
      <c r="G218" s="4" t="inlineStr">
        <is>
          <t>Offices &amp; Party</t>
        </is>
      </c>
      <c r="H218" s="4" t="inlineStr">
        <is>
          <t>Candidate reference; inspect Claims and Evidence for checked support.</t>
        </is>
      </c>
    </row>
    <row r="219" ht="52" customHeight="1">
      <c r="A219" s="6" t="inlineStr">
        <is>
          <t>OF13:S004</t>
        </is>
      </c>
      <c r="B219" s="7" t="inlineStr">
        <is>
          <t>OF13</t>
        </is>
      </c>
      <c r="C219" s="7" t="inlineStr">
        <is>
          <t>S004</t>
        </is>
      </c>
      <c r="D219" s="6" t="inlineStr">
        <is>
          <t>Shri Rahul Gandhi: past party president</t>
        </is>
      </c>
      <c r="E219" s="7" t="inlineStr">
        <is>
          <t>https://inc.in/leadership/past-party-presidents/shri-rahul-gandhi</t>
        </is>
      </c>
      <c r="F219" s="6" t="inlineStr">
        <is>
          <t>Passage inspected</t>
        </is>
      </c>
      <c r="G219" s="6" t="inlineStr">
        <is>
          <t>Offices &amp; Party</t>
        </is>
      </c>
      <c r="H219" s="6" t="inlineStr">
        <is>
          <t>Candidate reference; inspect Claims and Evidence for checked support.</t>
        </is>
      </c>
    </row>
    <row r="220" ht="66" customHeight="1">
      <c r="A220" s="4" t="inlineStr">
        <is>
          <t>OF13:S015</t>
        </is>
      </c>
      <c r="B220" s="5" t="inlineStr">
        <is>
          <t>OF13</t>
        </is>
      </c>
      <c r="C220" s="5" t="inlineStr">
        <is>
          <t>S015</t>
        </is>
      </c>
      <c r="D220" s="4" t="inlineStr">
        <is>
          <t>Rahul Gandhi at the conclusion of Bharat Jodo Yatra</t>
        </is>
      </c>
      <c r="E220" s="5" t="inlineStr">
        <is>
          <t>https://indianexpress.com/article/political-pulse/rahul-modi-shah-doval-srinagar-bharat-jodo-yatra-8413548/</t>
        </is>
      </c>
      <c r="F220" s="4" t="inlineStr">
        <is>
          <t>Passage inspected</t>
        </is>
      </c>
      <c r="G220" s="4" t="inlineStr">
        <is>
          <t>Offices &amp; Party</t>
        </is>
      </c>
      <c r="H220" s="4" t="inlineStr">
        <is>
          <t>Candidate reference; inspect Claims and Evidence for checked support.</t>
        </is>
      </c>
    </row>
    <row r="221" ht="80" customHeight="1">
      <c r="A221" s="6" t="inlineStr">
        <is>
          <t>PG01:S021</t>
        </is>
      </c>
      <c r="B221" s="7" t="inlineStr">
        <is>
          <t>PG01</t>
        </is>
      </c>
      <c r="C221" s="7" t="inlineStr">
        <is>
          <t>S021</t>
        </is>
      </c>
      <c r="D221" s="6" t="inlineStr">
        <is>
          <t>Dissent over Rahul’s internal election system</t>
        </is>
      </c>
      <c r="E221" s="7" t="inlineStr">
        <is>
          <t>https://indianexpress.com/article/political-pulse/in-kerala-youth-cong-dissent-over-rahuls-internal-election-system/</t>
        </is>
      </c>
      <c r="F221" s="6" t="inlineStr">
        <is>
          <t>Passage inspected</t>
        </is>
      </c>
      <c r="G221" s="6" t="inlineStr">
        <is>
          <t>Policy &amp; Governance</t>
        </is>
      </c>
      <c r="H221" s="6" t="inlineStr">
        <is>
          <t>Candidate reference; inspect Claims and Evidence for checked support.</t>
        </is>
      </c>
    </row>
    <row r="222" ht="66" customHeight="1">
      <c r="A222" s="4" t="inlineStr">
        <is>
          <t>PG01:S022</t>
        </is>
      </c>
      <c r="B222" s="5" t="inlineStr">
        <is>
          <t>PG01</t>
        </is>
      </c>
      <c r="C222" s="5" t="inlineStr">
        <is>
          <t>S022</t>
        </is>
      </c>
      <c r="D222" s="4" t="inlineStr">
        <is>
          <t>Youth Congress to retain internal polls</t>
        </is>
      </c>
      <c r="E222" s="5" t="inlineStr">
        <is>
          <t>https://timesofindia.indiatimes.com/india/youth-congress-to-retain-internal-polls/articleshow/36734347.cms</t>
        </is>
      </c>
      <c r="F222" s="4" t="inlineStr">
        <is>
          <t>Passage inspected</t>
        </is>
      </c>
      <c r="G222" s="4" t="inlineStr">
        <is>
          <t>Policy &amp; Governance</t>
        </is>
      </c>
      <c r="H222" s="4" t="inlineStr">
        <is>
          <t>Candidate reference; inspect Claims and Evidence for checked support.</t>
        </is>
      </c>
    </row>
    <row r="223" ht="80" customHeight="1">
      <c r="A223" s="6" t="inlineStr">
        <is>
          <t>PG02:S038</t>
        </is>
      </c>
      <c r="B223" s="7" t="inlineStr">
        <is>
          <t>PG02</t>
        </is>
      </c>
      <c r="C223" s="7" t="inlineStr">
        <is>
          <t>S038</t>
        </is>
      </c>
      <c r="D223" s="6" t="inlineStr">
        <is>
          <t>Rahul Gandhi criticises convicted-lawmakers ordinance</t>
        </is>
      </c>
      <c r="E223" s="7" t="inlineStr">
        <is>
          <t>https://www.ndtv.com/india-news/rahul-gandhi-calls-ordinance-on-convicted-lawmakers-nonsense-huge-embarrassment-for-pm-535906</t>
        </is>
      </c>
      <c r="F223" s="6" t="inlineStr">
        <is>
          <t>Passage inspected</t>
        </is>
      </c>
      <c r="G223" s="6" t="inlineStr">
        <is>
          <t>Policy &amp; Governance</t>
        </is>
      </c>
      <c r="H223" s="6" t="inlineStr">
        <is>
          <t>Candidate reference; inspect Claims and Evidence for checked support.</t>
        </is>
      </c>
    </row>
    <row r="224" ht="80" customHeight="1">
      <c r="A224" s="4" t="inlineStr">
        <is>
          <t>PG02:S039</t>
        </is>
      </c>
      <c r="B224" s="5" t="inlineStr">
        <is>
          <t>PG02</t>
        </is>
      </c>
      <c r="C224" s="5" t="inlineStr">
        <is>
          <t>S039</t>
        </is>
      </c>
      <c r="D224" s="4" t="inlineStr">
        <is>
          <t>Government withdraws ordinance plan</t>
        </is>
      </c>
      <c r="E224" s="5" t="inlineStr">
        <is>
          <t>https://www.business-standard.com/article/politics/govt-bows-before-rahul-withdraws-ordinance-plan-113100200706_1.html</t>
        </is>
      </c>
      <c r="F224" s="4" t="inlineStr">
        <is>
          <t>Passage inspected</t>
        </is>
      </c>
      <c r="G224" s="4" t="inlineStr">
        <is>
          <t>Policy &amp; Governance</t>
        </is>
      </c>
      <c r="H224" s="4" t="inlineStr">
        <is>
          <t>Candidate reference; inspect Claims and Evidence for checked support.</t>
        </is>
      </c>
    </row>
    <row r="225" ht="94" customHeight="1">
      <c r="A225" s="6" t="inlineStr">
        <is>
          <t>PG03:S037</t>
        </is>
      </c>
      <c r="B225" s="7" t="inlineStr">
        <is>
          <t>PG03</t>
        </is>
      </c>
      <c r="C225" s="7" t="inlineStr">
        <is>
          <t>S037</t>
        </is>
      </c>
      <c r="D225" s="6" t="inlineStr">
        <is>
          <t>Rahul Gandhi vows to oppose land bill</t>
        </is>
      </c>
      <c r="E225" s="7" t="inlineStr">
        <is>
          <t>https://economictimes.indiatimes.com/news/politics-and-nation/rahul-gandhi-vows-to-oppose-land-bill-inside-and-outside-parliament/articleshow/47249971.cms</t>
        </is>
      </c>
      <c r="F225" s="6" t="inlineStr">
        <is>
          <t>Passage inspected</t>
        </is>
      </c>
      <c r="G225" s="6" t="inlineStr">
        <is>
          <t>Policy &amp; Governance</t>
        </is>
      </c>
      <c r="H225" s="6" t="inlineStr">
        <is>
          <t>Candidate reference; inspect Claims and Evidence for checked support.</t>
        </is>
      </c>
    </row>
    <row r="226" ht="94" customHeight="1">
      <c r="A226" s="4" t="inlineStr">
        <is>
          <t>PG03:S032</t>
        </is>
      </c>
      <c r="B226" s="5" t="inlineStr">
        <is>
          <t>PG03</t>
        </is>
      </c>
      <c r="C226" s="5" t="inlineStr">
        <is>
          <t>S032</t>
        </is>
      </c>
      <c r="D226" s="4" t="inlineStr">
        <is>
          <t>Land Acquisition Second Amendment Bill 2015</t>
        </is>
      </c>
      <c r="E226" s="5" t="inlineStr">
        <is>
          <t>https://prsindia.org/billtrack/the-right-to-fair-compensation-and-transparency-in-land-acquisition-rehabilitation-and-resettlement-second-amendment-bill-2015</t>
        </is>
      </c>
      <c r="F226" s="4" t="inlineStr">
        <is>
          <t>Passage inspected</t>
        </is>
      </c>
      <c r="G226" s="4" t="inlineStr">
        <is>
          <t>Policy &amp; Governance</t>
        </is>
      </c>
      <c r="H226" s="4" t="inlineStr">
        <is>
          <t>Candidate reference; inspect Claims and Evidence for checked support.</t>
        </is>
      </c>
    </row>
    <row r="227" ht="66" customHeight="1">
      <c r="A227" s="6" t="inlineStr">
        <is>
          <t>PG04:S028</t>
        </is>
      </c>
      <c r="B227" s="7" t="inlineStr">
        <is>
          <t>PG04</t>
        </is>
      </c>
      <c r="C227" s="7" t="inlineStr">
        <is>
          <t>S028</t>
        </is>
      </c>
      <c r="D227" s="6" t="inlineStr">
        <is>
          <t>Rs 72,000 NYAY promise</t>
        </is>
      </c>
      <c r="E227" s="7" t="inlineStr">
        <is>
          <t>https://www.ndtv.com/india-news/rs-72-000-will-be-given-to-beneficiaries-under-nyay-scheme-rahul-gandhi-2031993</t>
        </is>
      </c>
      <c r="F227" s="6" t="inlineStr">
        <is>
          <t>Passage inspected</t>
        </is>
      </c>
      <c r="G227" s="6" t="inlineStr">
        <is>
          <t>Policy &amp; Governance</t>
        </is>
      </c>
      <c r="H227" s="6" t="inlineStr">
        <is>
          <t>Candidate reference; inspect Claims and Evidence for checked support.</t>
        </is>
      </c>
    </row>
    <row r="228" ht="66" customHeight="1">
      <c r="A228" s="4" t="inlineStr">
        <is>
          <t>PG04:S014</t>
        </is>
      </c>
      <c r="B228" s="5" t="inlineStr">
        <is>
          <t>PG04</t>
        </is>
      </c>
      <c r="C228" s="5" t="inlineStr">
        <is>
          <t>S014</t>
        </is>
      </c>
      <c r="D228" s="4" t="inlineStr">
        <is>
          <t>Rahul Gandhi’s resignation letter and accountability statement</t>
        </is>
      </c>
      <c r="E228" s="5" t="inlineStr">
        <is>
          <t>https://www.ndtv.com/india-news/rahul-gandhis-open-letter-full-text-at-times-i-stood-completely-alone-2063455</t>
        </is>
      </c>
      <c r="F228" s="4" t="inlineStr">
        <is>
          <t>Passage inspected</t>
        </is>
      </c>
      <c r="G228" s="4" t="inlineStr">
        <is>
          <t>Policy &amp; Governance</t>
        </is>
      </c>
      <c r="H228" s="4" t="inlineStr">
        <is>
          <t>Candidate reference; inspect Claims and Evidence for checked support.</t>
        </is>
      </c>
    </row>
    <row r="229" ht="44" customHeight="1">
      <c r="A229" s="6" t="inlineStr">
        <is>
          <t>PG05:S016</t>
        </is>
      </c>
      <c r="B229" s="7" t="inlineStr">
        <is>
          <t>PG05</t>
        </is>
      </c>
      <c r="C229" s="7" t="inlineStr">
        <is>
          <t>S016</t>
        </is>
      </c>
      <c r="D229" s="6" t="inlineStr">
        <is>
          <t>Nyay Patra 2024: Equity</t>
        </is>
      </c>
      <c r="E229" s="7" t="inlineStr">
        <is>
          <t>https://manifesto.inc.in/en/equity/</t>
        </is>
      </c>
      <c r="F229" s="6" t="inlineStr">
        <is>
          <t>Passage inspected</t>
        </is>
      </c>
      <c r="G229" s="6" t="inlineStr">
        <is>
          <t>Policy &amp; Governance</t>
        </is>
      </c>
      <c r="H229" s="6" t="inlineStr">
        <is>
          <t>Candidate reference; inspect Claims and Evidence for checked support.</t>
        </is>
      </c>
    </row>
    <row r="230" ht="66" customHeight="1">
      <c r="A230" s="4" t="inlineStr">
        <is>
          <t>PG05:S035</t>
        </is>
      </c>
      <c r="B230" s="5" t="inlineStr">
        <is>
          <t>PG05</t>
        </is>
      </c>
      <c r="C230" s="5" t="inlineStr">
        <is>
          <t>S035</t>
        </is>
      </c>
      <c r="D230" s="4" t="inlineStr">
        <is>
          <t>Rahul Gandhi welcomes caste-enumeration decision and seeks timeline</t>
        </is>
      </c>
      <c r="E230" s="5" t="inlineStr">
        <is>
          <t>https://indianexpress.com/article/india/rahul-gandhi-caste-census-population-congress-centre-cabinet-9975117/</t>
        </is>
      </c>
      <c r="F230" s="4" t="inlineStr">
        <is>
          <t>Passage inspected</t>
        </is>
      </c>
      <c r="G230" s="4" t="inlineStr">
        <is>
          <t>Policy &amp; Governance</t>
        </is>
      </c>
      <c r="H230" s="4" t="inlineStr">
        <is>
          <t>Candidate reference; inspect Claims and Evidence for checked support.</t>
        </is>
      </c>
    </row>
    <row r="231" ht="52" customHeight="1">
      <c r="A231" s="6" t="inlineStr">
        <is>
          <t>PG05:S036</t>
        </is>
      </c>
      <c r="B231" s="7" t="inlineStr">
        <is>
          <t>PG05</t>
        </is>
      </c>
      <c r="C231" s="7" t="inlineStr">
        <is>
          <t>S036</t>
        </is>
      </c>
      <c r="D231" s="6" t="inlineStr">
        <is>
          <t>Government decision to include caste enumeration in census</t>
        </is>
      </c>
      <c r="E231" s="7" t="inlineStr">
        <is>
          <t>https://www.pib.gov.in/PressReleasePage.aspx?PRID=2125576</t>
        </is>
      </c>
      <c r="F231" s="6" t="inlineStr">
        <is>
          <t>Passage inspected</t>
        </is>
      </c>
      <c r="G231" s="6" t="inlineStr">
        <is>
          <t>Policy &amp; Governance</t>
        </is>
      </c>
      <c r="H231" s="6" t="inlineStr">
        <is>
          <t>Candidate reference; inspect Claims and Evidence for checked support.</t>
        </is>
      </c>
    </row>
    <row r="232" ht="66" customHeight="1">
      <c r="A232" s="4" t="inlineStr">
        <is>
          <t>PG06:S033</t>
        </is>
      </c>
      <c r="B232" s="5" t="inlineStr">
        <is>
          <t>PG06</t>
        </is>
      </c>
      <c r="C232" s="5" t="inlineStr">
        <is>
          <t>S033</t>
        </is>
      </c>
      <c r="D232" s="4" t="inlineStr">
        <is>
          <t>Women’s reservation Bill and OBC quota: Rahul Gandhi’s speech</t>
        </is>
      </c>
      <c r="E232" s="5" t="inlineStr">
        <is>
          <t>https://indianexpress.com/article/india/lok-sabha-rahul-gandhi-women-reservation-bill-obc-quota-8948629/</t>
        </is>
      </c>
      <c r="F232" s="4" t="inlineStr">
        <is>
          <t>Passage inspected</t>
        </is>
      </c>
      <c r="G232" s="4" t="inlineStr">
        <is>
          <t>Policy &amp; Governance</t>
        </is>
      </c>
      <c r="H232" s="4" t="inlineStr">
        <is>
          <t>Candidate reference; inspect Claims and Evidence for checked support.</t>
        </is>
      </c>
    </row>
    <row r="233" ht="44" customHeight="1">
      <c r="A233" s="6" t="inlineStr">
        <is>
          <t>PG07:S017</t>
        </is>
      </c>
      <c r="B233" s="7" t="inlineStr">
        <is>
          <t>PG07</t>
        </is>
      </c>
      <c r="C233" s="7" t="inlineStr">
        <is>
          <t>S017</t>
        </is>
      </c>
      <c r="D233" s="6" t="inlineStr">
        <is>
          <t>Nyay Patra 2024: Women</t>
        </is>
      </c>
      <c r="E233" s="7" t="inlineStr">
        <is>
          <t>https://manifesto.inc.in/en/women/</t>
        </is>
      </c>
      <c r="F233" s="6" t="inlineStr">
        <is>
          <t>Passage inspected</t>
        </is>
      </c>
      <c r="G233" s="6" t="inlineStr">
        <is>
          <t>Policy &amp; Governance</t>
        </is>
      </c>
      <c r="H233" s="6" t="inlineStr">
        <is>
          <t>Candidate reference; inspect Claims and Evidence for checked support.</t>
        </is>
      </c>
    </row>
    <row r="234" ht="44" customHeight="1">
      <c r="A234" s="4" t="inlineStr">
        <is>
          <t>PG08:S018</t>
        </is>
      </c>
      <c r="B234" s="5" t="inlineStr">
        <is>
          <t>PG08</t>
        </is>
      </c>
      <c r="C234" s="5" t="inlineStr">
        <is>
          <t>S018</t>
        </is>
      </c>
      <c r="D234" s="4" t="inlineStr">
        <is>
          <t>Nyay Patra 2024: Youth</t>
        </is>
      </c>
      <c r="E234" s="5" t="inlineStr">
        <is>
          <t>https://manifesto.inc.in/en/youth/</t>
        </is>
      </c>
      <c r="F234" s="4" t="inlineStr">
        <is>
          <t>Passage inspected</t>
        </is>
      </c>
      <c r="G234" s="4" t="inlineStr">
        <is>
          <t>Policy &amp; Governance</t>
        </is>
      </c>
      <c r="H234" s="4" t="inlineStr">
        <is>
          <t>Candidate reference; inspect Claims and Evidence for checked support.</t>
        </is>
      </c>
    </row>
    <row r="235" ht="44" customHeight="1">
      <c r="A235" s="6" t="inlineStr">
        <is>
          <t>PG09:S019</t>
        </is>
      </c>
      <c r="B235" s="7" t="inlineStr">
        <is>
          <t>PG09</t>
        </is>
      </c>
      <c r="C235" s="7" t="inlineStr">
        <is>
          <t>S019</t>
        </is>
      </c>
      <c r="D235" s="6" t="inlineStr">
        <is>
          <t>Nyay Patra 2024: Farmers</t>
        </is>
      </c>
      <c r="E235" s="7" t="inlineStr">
        <is>
          <t>https://manifesto.inc.in/en/farmers/</t>
        </is>
      </c>
      <c r="F235" s="6" t="inlineStr">
        <is>
          <t>Passage inspected</t>
        </is>
      </c>
      <c r="G235" s="6" t="inlineStr">
        <is>
          <t>Policy &amp; Governance</t>
        </is>
      </c>
      <c r="H235" s="6" t="inlineStr">
        <is>
          <t>Candidate reference; inspect Claims and Evidence for checked support.</t>
        </is>
      </c>
    </row>
    <row r="236" ht="44" customHeight="1">
      <c r="A236" s="4" t="inlineStr">
        <is>
          <t>PG10:S020</t>
        </is>
      </c>
      <c r="B236" s="5" t="inlineStr">
        <is>
          <t>PG10</t>
        </is>
      </c>
      <c r="C236" s="5" t="inlineStr">
        <is>
          <t>S020</t>
        </is>
      </c>
      <c r="D236" s="4" t="inlineStr">
        <is>
          <t>Nyay Patra 2024: National Security</t>
        </is>
      </c>
      <c r="E236" s="5" t="inlineStr">
        <is>
          <t>https://manifesto.inc.in/en/national-security/</t>
        </is>
      </c>
      <c r="F236" s="4" t="inlineStr">
        <is>
          <t>Passage inspected</t>
        </is>
      </c>
      <c r="G236" s="4" t="inlineStr">
        <is>
          <t>Policy &amp; Governance</t>
        </is>
      </c>
      <c r="H236" s="4" t="inlineStr">
        <is>
          <t>Candidate reference; inspect Claims and Evidence for checked support.</t>
        </is>
      </c>
    </row>
    <row r="237" ht="44" customHeight="1">
      <c r="A237" s="6" t="inlineStr">
        <is>
          <t>PG11:S042</t>
        </is>
      </c>
      <c r="B237" s="7" t="inlineStr">
        <is>
          <t>PG11</t>
        </is>
      </c>
      <c r="C237" s="7" t="inlineStr">
        <is>
          <t>S042</t>
        </is>
      </c>
      <c r="D237" s="6" t="inlineStr">
        <is>
          <t>Rahul Gandhi: 17th Lok Sabha MPTrack</t>
        </is>
      </c>
      <c r="E237" s="7" t="inlineStr">
        <is>
          <t>https://prsindia.org/mptrack/17-lok-sabha/rahul-gandhi</t>
        </is>
      </c>
      <c r="F237" s="6" t="inlineStr">
        <is>
          <t>Passage inspected</t>
        </is>
      </c>
      <c r="G237" s="6" t="inlineStr">
        <is>
          <t>Policy &amp; Governance</t>
        </is>
      </c>
      <c r="H237" s="6" t="inlineStr">
        <is>
          <t>Candidate reference; inspect Claims and Evidence for checked support.</t>
        </is>
      </c>
    </row>
    <row r="238" ht="44" customHeight="1">
      <c r="A238" s="4" t="inlineStr">
        <is>
          <t>PG11:S003</t>
        </is>
      </c>
      <c r="B238" s="5" t="inlineStr">
        <is>
          <t>PG11</t>
        </is>
      </c>
      <c r="C238" s="5" t="inlineStr">
        <is>
          <t>S003</t>
        </is>
      </c>
      <c r="D238" s="4" t="inlineStr">
        <is>
          <t>Rahul Gandhi: 18th Lok Sabha MPTrack</t>
        </is>
      </c>
      <c r="E238" s="5" t="inlineStr">
        <is>
          <t>https://prsindia.org/mptrack/18-lok-sabha/rahul-gandhi</t>
        </is>
      </c>
      <c r="F238" s="4" t="inlineStr">
        <is>
          <t>Passage inspected</t>
        </is>
      </c>
      <c r="G238" s="4" t="inlineStr">
        <is>
          <t>Policy &amp; Governance</t>
        </is>
      </c>
      <c r="H238" s="4" t="inlineStr">
        <is>
          <t>Candidate reference; inspect Claims and Evidence for checked support.</t>
        </is>
      </c>
    </row>
    <row r="239" ht="44" customHeight="1">
      <c r="A239" s="6" t="inlineStr">
        <is>
          <t>PG12:S042</t>
        </is>
      </c>
      <c r="B239" s="7" t="inlineStr">
        <is>
          <t>PG12</t>
        </is>
      </c>
      <c r="C239" s="7" t="inlineStr">
        <is>
          <t>S042</t>
        </is>
      </c>
      <c r="D239" s="6" t="inlineStr">
        <is>
          <t>Rahul Gandhi: 17th Lok Sabha MPTrack</t>
        </is>
      </c>
      <c r="E239" s="7" t="inlineStr">
        <is>
          <t>https://prsindia.org/mptrack/17-lok-sabha/rahul-gandhi</t>
        </is>
      </c>
      <c r="F239" s="6" t="inlineStr">
        <is>
          <t>Passage inspected</t>
        </is>
      </c>
      <c r="G239" s="6" t="inlineStr">
        <is>
          <t>Policy &amp; Governance</t>
        </is>
      </c>
      <c r="H239" s="6" t="inlineStr">
        <is>
          <t>Candidate reference; inspect Claims and Evidence for checked support.</t>
        </is>
      </c>
    </row>
    <row r="240" ht="44" customHeight="1">
      <c r="A240" s="4" t="inlineStr">
        <is>
          <t>PG13:S003</t>
        </is>
      </c>
      <c r="B240" s="5" t="inlineStr">
        <is>
          <t>PG13</t>
        </is>
      </c>
      <c r="C240" s="5" t="inlineStr">
        <is>
          <t>S003</t>
        </is>
      </c>
      <c r="D240" s="4" t="inlineStr">
        <is>
          <t>Rahul Gandhi: 18th Lok Sabha MPTrack</t>
        </is>
      </c>
      <c r="E240" s="5" t="inlineStr">
        <is>
          <t>https://prsindia.org/mptrack/18-lok-sabha/rahul-gandhi</t>
        </is>
      </c>
      <c r="F240" s="4" t="inlineStr">
        <is>
          <t>Passage inspected</t>
        </is>
      </c>
      <c r="G240" s="4" t="inlineStr">
        <is>
          <t>Policy &amp; Governance</t>
        </is>
      </c>
      <c r="H240" s="4" t="inlineStr">
        <is>
          <t>Candidate reference; inspect Claims and Evidence for checked support.</t>
        </is>
      </c>
    </row>
    <row r="241" ht="52" customHeight="1">
      <c r="A241" s="6" t="inlineStr">
        <is>
          <t>IM01:S004</t>
        </is>
      </c>
      <c r="B241" s="7" t="inlineStr">
        <is>
          <t>IM01</t>
        </is>
      </c>
      <c r="C241" s="7" t="inlineStr">
        <is>
          <t>S004</t>
        </is>
      </c>
      <c r="D241" s="6" t="inlineStr">
        <is>
          <t>Shri Rahul Gandhi: past party president</t>
        </is>
      </c>
      <c r="E241" s="7" t="inlineStr">
        <is>
          <t>https://inc.in/leadership/past-party-presidents/shri-rahul-gandhi</t>
        </is>
      </c>
      <c r="F241" s="6" t="inlineStr">
        <is>
          <t>Passage inspected</t>
        </is>
      </c>
      <c r="G241" s="6" t="inlineStr">
        <is>
          <t>Ideas &amp; Political Method</t>
        </is>
      </c>
      <c r="H241" s="6" t="inlineStr">
        <is>
          <t>Candidate reference; inspect Claims and Evidence for checked support.</t>
        </is>
      </c>
    </row>
    <row r="242" ht="80" customHeight="1">
      <c r="A242" s="4" t="inlineStr">
        <is>
          <t>IM01:S023</t>
        </is>
      </c>
      <c r="B242" s="5" t="inlineStr">
        <is>
          <t>IM01</t>
        </is>
      </c>
      <c r="C242" s="5" t="inlineStr">
        <is>
          <t>S023</t>
        </is>
      </c>
      <c r="D242" s="4" t="inlineStr">
        <is>
          <t>Ridiculed for a decade, Rahul Gandhi slows Modi juggernaut</t>
        </is>
      </c>
      <c r="E242" s="5" t="inlineStr">
        <is>
          <t>https://www.marketscreener.com/news/latest/Ridiculed-for-a-decade-India-s-Rahul-Gandhi-slows-Modi-juggernaut-46900641/</t>
        </is>
      </c>
      <c r="F242" s="4" t="inlineStr">
        <is>
          <t>Passage inspected</t>
        </is>
      </c>
      <c r="G242" s="4" t="inlineStr">
        <is>
          <t>Ideas &amp; Political Method</t>
        </is>
      </c>
      <c r="H242" s="4" t="inlineStr">
        <is>
          <t>Candidate reference; inspect Claims and Evidence for checked support.</t>
        </is>
      </c>
    </row>
    <row r="243" ht="80" customHeight="1">
      <c r="A243" s="6" t="inlineStr">
        <is>
          <t>IM02:S021</t>
        </is>
      </c>
      <c r="B243" s="7" t="inlineStr">
        <is>
          <t>IM02</t>
        </is>
      </c>
      <c r="C243" s="7" t="inlineStr">
        <is>
          <t>S021</t>
        </is>
      </c>
      <c r="D243" s="6" t="inlineStr">
        <is>
          <t>Dissent over Rahul’s internal election system</t>
        </is>
      </c>
      <c r="E243" s="7" t="inlineStr">
        <is>
          <t>https://indianexpress.com/article/political-pulse/in-kerala-youth-cong-dissent-over-rahuls-internal-election-system/</t>
        </is>
      </c>
      <c r="F243" s="6" t="inlineStr">
        <is>
          <t>Passage inspected</t>
        </is>
      </c>
      <c r="G243" s="6" t="inlineStr">
        <is>
          <t>Ideas &amp; Political Method</t>
        </is>
      </c>
      <c r="H243" s="6" t="inlineStr">
        <is>
          <t>Candidate reference; inspect Claims and Evidence for checked support.</t>
        </is>
      </c>
    </row>
    <row r="244" ht="66" customHeight="1">
      <c r="A244" s="4" t="inlineStr">
        <is>
          <t>IM02:S022</t>
        </is>
      </c>
      <c r="B244" s="5" t="inlineStr">
        <is>
          <t>IM02</t>
        </is>
      </c>
      <c r="C244" s="5" t="inlineStr">
        <is>
          <t>S022</t>
        </is>
      </c>
      <c r="D244" s="4" t="inlineStr">
        <is>
          <t>Youth Congress to retain internal polls</t>
        </is>
      </c>
      <c r="E244" s="5" t="inlineStr">
        <is>
          <t>https://timesofindia.indiatimes.com/india/youth-congress-to-retain-internal-polls/articleshow/36734347.cms</t>
        </is>
      </c>
      <c r="F244" s="4" t="inlineStr">
        <is>
          <t>Passage inspected</t>
        </is>
      </c>
      <c r="G244" s="4" t="inlineStr">
        <is>
          <t>Ideas &amp; Political Method</t>
        </is>
      </c>
      <c r="H244" s="4" t="inlineStr">
        <is>
          <t>Candidate reference; inspect Claims and Evidence for checked support.</t>
        </is>
      </c>
    </row>
    <row r="245" ht="80" customHeight="1">
      <c r="A245" s="6" t="inlineStr">
        <is>
          <t>IM03:S038</t>
        </is>
      </c>
      <c r="B245" s="7" t="inlineStr">
        <is>
          <t>IM03</t>
        </is>
      </c>
      <c r="C245" s="7" t="inlineStr">
        <is>
          <t>S038</t>
        </is>
      </c>
      <c r="D245" s="6" t="inlineStr">
        <is>
          <t>Rahul Gandhi criticises convicted-lawmakers ordinance</t>
        </is>
      </c>
      <c r="E245" s="7" t="inlineStr">
        <is>
          <t>https://www.ndtv.com/india-news/rahul-gandhi-calls-ordinance-on-convicted-lawmakers-nonsense-huge-embarrassment-for-pm-535906</t>
        </is>
      </c>
      <c r="F245" s="6" t="inlineStr">
        <is>
          <t>Passage inspected</t>
        </is>
      </c>
      <c r="G245" s="6" t="inlineStr">
        <is>
          <t>Ideas &amp; Political Method</t>
        </is>
      </c>
      <c r="H245" s="6" t="inlineStr">
        <is>
          <t>Candidate reference; inspect Claims and Evidence for checked support.</t>
        </is>
      </c>
    </row>
    <row r="246" ht="80" customHeight="1">
      <c r="A246" s="4" t="inlineStr">
        <is>
          <t>IM03:S039</t>
        </is>
      </c>
      <c r="B246" s="5" t="inlineStr">
        <is>
          <t>IM03</t>
        </is>
      </c>
      <c r="C246" s="5" t="inlineStr">
        <is>
          <t>S039</t>
        </is>
      </c>
      <c r="D246" s="4" t="inlineStr">
        <is>
          <t>Government withdraws ordinance plan</t>
        </is>
      </c>
      <c r="E246" s="5" t="inlineStr">
        <is>
          <t>https://www.business-standard.com/article/politics/govt-bows-before-rahul-withdraws-ordinance-plan-113100200706_1.html</t>
        </is>
      </c>
      <c r="F246" s="4" t="inlineStr">
        <is>
          <t>Passage inspected</t>
        </is>
      </c>
      <c r="G246" s="4" t="inlineStr">
        <is>
          <t>Ideas &amp; Political Method</t>
        </is>
      </c>
      <c r="H246" s="4" t="inlineStr">
        <is>
          <t>Candidate reference; inspect Claims and Evidence for checked support.</t>
        </is>
      </c>
    </row>
    <row r="247" ht="94" customHeight="1">
      <c r="A247" s="6" t="inlineStr">
        <is>
          <t>IM04:S037</t>
        </is>
      </c>
      <c r="B247" s="7" t="inlineStr">
        <is>
          <t>IM04</t>
        </is>
      </c>
      <c r="C247" s="7" t="inlineStr">
        <is>
          <t>S037</t>
        </is>
      </c>
      <c r="D247" s="6" t="inlineStr">
        <is>
          <t>Rahul Gandhi vows to oppose land bill</t>
        </is>
      </c>
      <c r="E247" s="7" t="inlineStr">
        <is>
          <t>https://economictimes.indiatimes.com/news/politics-and-nation/rahul-gandhi-vows-to-oppose-land-bill-inside-and-outside-parliament/articleshow/47249971.cms</t>
        </is>
      </c>
      <c r="F247" s="6" t="inlineStr">
        <is>
          <t>Passage inspected</t>
        </is>
      </c>
      <c r="G247" s="6" t="inlineStr">
        <is>
          <t>Ideas &amp; Political Method</t>
        </is>
      </c>
      <c r="H247" s="6" t="inlineStr">
        <is>
          <t>Candidate reference; inspect Claims and Evidence for checked support.</t>
        </is>
      </c>
    </row>
    <row r="248" ht="66" customHeight="1">
      <c r="A248" s="4" t="inlineStr">
        <is>
          <t>IM04:S028</t>
        </is>
      </c>
      <c r="B248" s="5" t="inlineStr">
        <is>
          <t>IM04</t>
        </is>
      </c>
      <c r="C248" s="5" t="inlineStr">
        <is>
          <t>S028</t>
        </is>
      </c>
      <c r="D248" s="4" t="inlineStr">
        <is>
          <t>Rs 72,000 NYAY promise</t>
        </is>
      </c>
      <c r="E248" s="5" t="inlineStr">
        <is>
          <t>https://www.ndtv.com/india-news/rs-72-000-will-be-given-to-beneficiaries-under-nyay-scheme-rahul-gandhi-2031993</t>
        </is>
      </c>
      <c r="F248" s="4" t="inlineStr">
        <is>
          <t>Passage inspected</t>
        </is>
      </c>
      <c r="G248" s="4" t="inlineStr">
        <is>
          <t>Ideas &amp; Political Method</t>
        </is>
      </c>
      <c r="H248" s="4" t="inlineStr">
        <is>
          <t>Candidate reference; inspect Claims and Evidence for checked support.</t>
        </is>
      </c>
    </row>
    <row r="249" ht="66" customHeight="1">
      <c r="A249" s="6" t="inlineStr">
        <is>
          <t>IM05:S014</t>
        </is>
      </c>
      <c r="B249" s="7" t="inlineStr">
        <is>
          <t>IM05</t>
        </is>
      </c>
      <c r="C249" s="7" t="inlineStr">
        <is>
          <t>S014</t>
        </is>
      </c>
      <c r="D249" s="6" t="inlineStr">
        <is>
          <t>Rahul Gandhi’s resignation letter and accountability statement</t>
        </is>
      </c>
      <c r="E249" s="7" t="inlineStr">
        <is>
          <t>https://www.ndtv.com/india-news/rahul-gandhis-open-letter-full-text-at-times-i-stood-completely-alone-2063455</t>
        </is>
      </c>
      <c r="F249" s="6" t="inlineStr">
        <is>
          <t>Passage inspected</t>
        </is>
      </c>
      <c r="G249" s="6" t="inlineStr">
        <is>
          <t>Ideas &amp; Political Method</t>
        </is>
      </c>
      <c r="H249" s="6" t="inlineStr">
        <is>
          <t>Candidate reference; inspect Claims and Evidence for checked support.</t>
        </is>
      </c>
    </row>
    <row r="250" ht="66" customHeight="1">
      <c r="A250" s="4" t="inlineStr">
        <is>
          <t>IM06:S015</t>
        </is>
      </c>
      <c r="B250" s="5" t="inlineStr">
        <is>
          <t>IM06</t>
        </is>
      </c>
      <c r="C250" s="5" t="inlineStr">
        <is>
          <t>S015</t>
        </is>
      </c>
      <c r="D250" s="4" t="inlineStr">
        <is>
          <t>Rahul Gandhi at the conclusion of Bharat Jodo Yatra</t>
        </is>
      </c>
      <c r="E250" s="5" t="inlineStr">
        <is>
          <t>https://indianexpress.com/article/political-pulse/rahul-modi-shah-doval-srinagar-bharat-jodo-yatra-8413548/</t>
        </is>
      </c>
      <c r="F250" s="4" t="inlineStr">
        <is>
          <t>Passage inspected</t>
        </is>
      </c>
      <c r="G250" s="4" t="inlineStr">
        <is>
          <t>Ideas &amp; Political Method</t>
        </is>
      </c>
      <c r="H250" s="4" t="inlineStr">
        <is>
          <t>Candidate reference; inspect Claims and Evidence for checked support.</t>
        </is>
      </c>
    </row>
    <row r="251" ht="80" customHeight="1">
      <c r="A251" s="6" t="inlineStr">
        <is>
          <t>IM06:S023</t>
        </is>
      </c>
      <c r="B251" s="7" t="inlineStr">
        <is>
          <t>IM06</t>
        </is>
      </c>
      <c r="C251" s="7" t="inlineStr">
        <is>
          <t>S023</t>
        </is>
      </c>
      <c r="D251" s="6" t="inlineStr">
        <is>
          <t>Ridiculed for a decade, Rahul Gandhi slows Modi juggernaut</t>
        </is>
      </c>
      <c r="E251" s="7" t="inlineStr">
        <is>
          <t>https://www.marketscreener.com/news/latest/Ridiculed-for-a-decade-India-s-Rahul-Gandhi-slows-Modi-juggernaut-46900641/</t>
        </is>
      </c>
      <c r="F251" s="6" t="inlineStr">
        <is>
          <t>Passage inspected</t>
        </is>
      </c>
      <c r="G251" s="6" t="inlineStr">
        <is>
          <t>Ideas &amp; Political Method</t>
        </is>
      </c>
      <c r="H251" s="6" t="inlineStr">
        <is>
          <t>Candidate reference; inspect Claims and Evidence for checked support.</t>
        </is>
      </c>
    </row>
    <row r="252" ht="44" customHeight="1">
      <c r="A252" s="4" t="inlineStr">
        <is>
          <t>IM07:S016</t>
        </is>
      </c>
      <c r="B252" s="5" t="inlineStr">
        <is>
          <t>IM07</t>
        </is>
      </c>
      <c r="C252" s="5" t="inlineStr">
        <is>
          <t>S016</t>
        </is>
      </c>
      <c r="D252" s="4" t="inlineStr">
        <is>
          <t>Nyay Patra 2024: Equity</t>
        </is>
      </c>
      <c r="E252" s="5" t="inlineStr">
        <is>
          <t>https://manifesto.inc.in/en/equity/</t>
        </is>
      </c>
      <c r="F252" s="4" t="inlineStr">
        <is>
          <t>Passage inspected</t>
        </is>
      </c>
      <c r="G252" s="4" t="inlineStr">
        <is>
          <t>Ideas &amp; Political Method</t>
        </is>
      </c>
      <c r="H252" s="4" t="inlineStr">
        <is>
          <t>Candidate reference; inspect Claims and Evidence for checked support.</t>
        </is>
      </c>
    </row>
    <row r="253" ht="66" customHeight="1">
      <c r="A253" s="6" t="inlineStr">
        <is>
          <t>IM07:S035</t>
        </is>
      </c>
      <c r="B253" s="7" t="inlineStr">
        <is>
          <t>IM07</t>
        </is>
      </c>
      <c r="C253" s="7" t="inlineStr">
        <is>
          <t>S035</t>
        </is>
      </c>
      <c r="D253" s="6" t="inlineStr">
        <is>
          <t>Rahul Gandhi welcomes caste-enumeration decision and seeks timeline</t>
        </is>
      </c>
      <c r="E253" s="7" t="inlineStr">
        <is>
          <t>https://indianexpress.com/article/india/rahul-gandhi-caste-census-population-congress-centre-cabinet-9975117/</t>
        </is>
      </c>
      <c r="F253" s="6" t="inlineStr">
        <is>
          <t>Passage inspected</t>
        </is>
      </c>
      <c r="G253" s="6" t="inlineStr">
        <is>
          <t>Ideas &amp; Political Method</t>
        </is>
      </c>
      <c r="H253" s="6" t="inlineStr">
        <is>
          <t>Candidate reference; inspect Claims and Evidence for checked support.</t>
        </is>
      </c>
    </row>
    <row r="254" ht="44" customHeight="1">
      <c r="A254" s="4" t="inlineStr">
        <is>
          <t>IM08:S016</t>
        </is>
      </c>
      <c r="B254" s="5" t="inlineStr">
        <is>
          <t>IM08</t>
        </is>
      </c>
      <c r="C254" s="5" t="inlineStr">
        <is>
          <t>S016</t>
        </is>
      </c>
      <c r="D254" s="4" t="inlineStr">
        <is>
          <t>Nyay Patra 2024: Equity</t>
        </is>
      </c>
      <c r="E254" s="5" t="inlineStr">
        <is>
          <t>https://manifesto.inc.in/en/equity/</t>
        </is>
      </c>
      <c r="F254" s="4" t="inlineStr">
        <is>
          <t>Passage inspected</t>
        </is>
      </c>
      <c r="G254" s="4" t="inlineStr">
        <is>
          <t>Ideas &amp; Political Method</t>
        </is>
      </c>
      <c r="H254" s="4" t="inlineStr">
        <is>
          <t>Candidate reference; inspect Claims and Evidence for checked support.</t>
        </is>
      </c>
    </row>
    <row r="255" ht="66" customHeight="1">
      <c r="A255" s="6" t="inlineStr">
        <is>
          <t>IM08:S015</t>
        </is>
      </c>
      <c r="B255" s="7" t="inlineStr">
        <is>
          <t>IM08</t>
        </is>
      </c>
      <c r="C255" s="7" t="inlineStr">
        <is>
          <t>S015</t>
        </is>
      </c>
      <c r="D255" s="6" t="inlineStr">
        <is>
          <t>Rahul Gandhi at the conclusion of Bharat Jodo Yatra</t>
        </is>
      </c>
      <c r="E255" s="7" t="inlineStr">
        <is>
          <t>https://indianexpress.com/article/political-pulse/rahul-modi-shah-doval-srinagar-bharat-jodo-yatra-8413548/</t>
        </is>
      </c>
      <c r="F255" s="6" t="inlineStr">
        <is>
          <t>Passage inspected</t>
        </is>
      </c>
      <c r="G255" s="6" t="inlineStr">
        <is>
          <t>Ideas &amp; Political Method</t>
        </is>
      </c>
      <c r="H255" s="6" t="inlineStr">
        <is>
          <t>Candidate reference; inspect Claims and Evidence for checked support.</t>
        </is>
      </c>
    </row>
    <row r="256" ht="80" customHeight="1">
      <c r="A256" s="4" t="inlineStr">
        <is>
          <t>IM09:S023</t>
        </is>
      </c>
      <c r="B256" s="5" t="inlineStr">
        <is>
          <t>IM09</t>
        </is>
      </c>
      <c r="C256" s="5" t="inlineStr">
        <is>
          <t>S023</t>
        </is>
      </c>
      <c r="D256" s="4" t="inlineStr">
        <is>
          <t>Ridiculed for a decade, Rahul Gandhi slows Modi juggernaut</t>
        </is>
      </c>
      <c r="E256" s="5" t="inlineStr">
        <is>
          <t>https://www.marketscreener.com/news/latest/Ridiculed-for-a-decade-India-s-Rahul-Gandhi-slows-Modi-juggernaut-46900641/</t>
        </is>
      </c>
      <c r="F256" s="4" t="inlineStr">
        <is>
          <t>Passage inspected</t>
        </is>
      </c>
      <c r="G256" s="4" t="inlineStr">
        <is>
          <t>Ideas &amp; Political Method</t>
        </is>
      </c>
      <c r="H256" s="4" t="inlineStr">
        <is>
          <t>Candidate reference; inspect Claims and Evidence for checked support.</t>
        </is>
      </c>
    </row>
    <row r="257" ht="52" customHeight="1">
      <c r="A257" s="6" t="inlineStr">
        <is>
          <t>IM09:S024</t>
        </is>
      </c>
      <c r="B257" s="7" t="inlineStr">
        <is>
          <t>IM09</t>
        </is>
      </c>
      <c r="C257" s="7" t="inlineStr">
        <is>
          <t>S024</t>
        </is>
      </c>
      <c r="D257" s="6" t="inlineStr">
        <is>
          <t>The Resilience of India’s Fourth Party System</t>
        </is>
      </c>
      <c r="E257" s="7" t="inlineStr">
        <is>
          <t>https://carnegieendowment.org/research/2024/09/india-election-bjp-party-politics</t>
        </is>
      </c>
      <c r="F257" s="6" t="inlineStr">
        <is>
          <t>Passage inspected</t>
        </is>
      </c>
      <c r="G257" s="6" t="inlineStr">
        <is>
          <t>Ideas &amp; Political Method</t>
        </is>
      </c>
      <c r="H257" s="6" t="inlineStr">
        <is>
          <t>Candidate reference; inspect Claims and Evidence for checked support.</t>
        </is>
      </c>
    </row>
    <row r="258" ht="52" customHeight="1">
      <c r="A258" s="4" t="inlineStr">
        <is>
          <t>IM10:S025</t>
        </is>
      </c>
      <c r="B258" s="5" t="inlineStr">
        <is>
          <t>IM10</t>
        </is>
      </c>
      <c r="C258" s="5" t="inlineStr">
        <is>
          <t>S025</t>
        </is>
      </c>
      <c r="D258" s="4" t="inlineStr">
        <is>
          <t>The T-Shirt Debate Shows India Is All About Testosterone</t>
        </is>
      </c>
      <c r="E258" s="5" t="inlineStr">
        <is>
          <t>https://m.thewire.in/article/politics/rahul-gandhi-t-shirt</t>
        </is>
      </c>
      <c r="F258" s="4" t="inlineStr">
        <is>
          <t>Passage inspected</t>
        </is>
      </c>
      <c r="G258" s="4" t="inlineStr">
        <is>
          <t>Ideas &amp; Political Method</t>
        </is>
      </c>
      <c r="H258" s="4" t="inlineStr">
        <is>
          <t>Candidate reference; inspect Claims and Evidence for checked support.</t>
        </is>
      </c>
    </row>
    <row r="259" ht="80" customHeight="1">
      <c r="A259" s="6" t="inlineStr">
        <is>
          <t>IM11:S031</t>
        </is>
      </c>
      <c r="B259" s="7" t="inlineStr">
        <is>
          <t>IM11</t>
        </is>
      </c>
      <c r="C259" s="7" t="inlineStr">
        <is>
          <t>S031</t>
        </is>
      </c>
      <c r="D259" s="6" t="inlineStr">
        <is>
          <t>Gandhi’s voter deletion allegations and EC response</t>
        </is>
      </c>
      <c r="E259" s="7" t="inlineStr">
        <is>
          <t>https://indianexpress.com/article/india/rahul-gandhi-vote-chori-cec-gyanesh-kumar-protecting-killing-democracy-10257103/</t>
        </is>
      </c>
      <c r="F259" s="6" t="inlineStr">
        <is>
          <t>Passage inspected</t>
        </is>
      </c>
      <c r="G259" s="6" t="inlineStr">
        <is>
          <t>Ideas &amp; Political Method</t>
        </is>
      </c>
      <c r="H259" s="6" t="inlineStr">
        <is>
          <t>Candidate reference; inspect Claims and Evidence for checked support.</t>
        </is>
      </c>
    </row>
    <row r="260" ht="94" customHeight="1">
      <c r="A260" s="4" t="inlineStr">
        <is>
          <t>IM11:S030</t>
        </is>
      </c>
      <c r="B260" s="5" t="inlineStr">
        <is>
          <t>IM11</t>
        </is>
      </c>
      <c r="C260" s="5" t="inlineStr">
        <is>
          <t>S030</t>
        </is>
      </c>
      <c r="D260" s="4" t="inlineStr">
        <is>
          <t>Rahul Gandhi escalates EC criticism amid SIR dispute</t>
        </is>
      </c>
      <c r="E260" s="5" t="inlineStr">
        <is>
          <t>https://timesofindia.indiatimes.com/india/rahul-gandhi-press-conference-on-ec-gyanesh-kumar-resignation-sir-congress-vote-chori-election-bjp/articleshow/134457370.cms</t>
        </is>
      </c>
      <c r="F260" s="4" t="inlineStr">
        <is>
          <t>Passage inspected</t>
        </is>
      </c>
      <c r="G260" s="4" t="inlineStr">
        <is>
          <t>Ideas &amp; Political Method</t>
        </is>
      </c>
      <c r="H260" s="4" t="inlineStr">
        <is>
          <t>Candidate reference; inspect Claims and Evidence for checked support.</t>
        </is>
      </c>
    </row>
    <row r="261" ht="44" customHeight="1">
      <c r="A261" s="6" t="inlineStr">
        <is>
          <t>IM12:S020</t>
        </is>
      </c>
      <c r="B261" s="7" t="inlineStr">
        <is>
          <t>IM12</t>
        </is>
      </c>
      <c r="C261" s="7" t="inlineStr">
        <is>
          <t>S020</t>
        </is>
      </c>
      <c r="D261" s="6" t="inlineStr">
        <is>
          <t>Nyay Patra 2024: National Security</t>
        </is>
      </c>
      <c r="E261" s="7" t="inlineStr">
        <is>
          <t>https://manifesto.inc.in/en/national-security/</t>
        </is>
      </c>
      <c r="F261" s="6" t="inlineStr">
        <is>
          <t>Passage inspected</t>
        </is>
      </c>
      <c r="G261" s="6" t="inlineStr">
        <is>
          <t>Ideas &amp; Political Method</t>
        </is>
      </c>
      <c r="H261" s="6" t="inlineStr">
        <is>
          <t>Candidate reference; inspect Claims and Evidence for checked support.</t>
        </is>
      </c>
    </row>
    <row r="262" ht="66" customHeight="1">
      <c r="A262" s="4" t="inlineStr">
        <is>
          <t>CO01:S010</t>
        </is>
      </c>
      <c r="B262" s="5" t="inlineStr">
        <is>
          <t>CO01</t>
        </is>
      </c>
      <c r="C262" s="5" t="inlineStr">
        <is>
          <t>S010</t>
        </is>
      </c>
      <c r="D262" s="4" t="inlineStr">
        <is>
          <t>Rahul Gandhi v Purnesh Ishwarbhai Modi: stay order</t>
        </is>
      </c>
      <c r="E262" s="5" t="inlineStr">
        <is>
          <t>https://api.sci.gov.in/supremecourt/2023/27941/27941_2023_4_55_45901_Order_04-Aug-2023.pdf</t>
        </is>
      </c>
      <c r="F262" s="4" t="inlineStr">
        <is>
          <t>Passage inspected</t>
        </is>
      </c>
      <c r="G262" s="4" t="inlineStr">
        <is>
          <t>Controversies</t>
        </is>
      </c>
      <c r="H262" s="4" t="inlineStr">
        <is>
          <t>Candidate reference; inspect Claims and Evidence for checked support.</t>
        </is>
      </c>
    </row>
    <row r="263" ht="66" customHeight="1">
      <c r="A263" s="6" t="inlineStr">
        <is>
          <t>CO01:S011</t>
        </is>
      </c>
      <c r="B263" s="7" t="inlineStr">
        <is>
          <t>CO01</t>
        </is>
      </c>
      <c r="C263" s="7" t="inlineStr">
        <is>
          <t>S011</t>
        </is>
      </c>
      <c r="D263" s="6" t="inlineStr">
        <is>
          <t>Rahul Gandhi’s MP status restored</t>
        </is>
      </c>
      <c r="E263" s="7" t="inlineStr">
        <is>
          <t>https://indianexpress.com/article/political-pulse/rahul-gandhi-returns-mp-lok-sabha-supreme-court-8880307/</t>
        </is>
      </c>
      <c r="F263" s="6" t="inlineStr">
        <is>
          <t>Passage inspected</t>
        </is>
      </c>
      <c r="G263" s="6" t="inlineStr">
        <is>
          <t>Controversies</t>
        </is>
      </c>
      <c r="H263" s="6" t="inlineStr">
        <is>
          <t>Candidate reference; inspect Claims and Evidence for checked support.</t>
        </is>
      </c>
    </row>
    <row r="264" ht="80" customHeight="1">
      <c r="A264" s="4" t="inlineStr">
        <is>
          <t>CO02:S012</t>
        </is>
      </c>
      <c r="B264" s="5" t="inlineStr">
        <is>
          <t>CO02</t>
        </is>
      </c>
      <c r="C264" s="5" t="inlineStr">
        <is>
          <t>S012</t>
        </is>
      </c>
      <c r="D264" s="4" t="inlineStr">
        <is>
          <t>Private complaint cannot be ED’s foundation for National Herald case, say Gandhis</t>
        </is>
      </c>
      <c r="E264" s="5" t="inlineStr">
        <is>
          <t>https://indianexpress.com/article/legal-news/national-herald-case-gandhis-oppose-ed-plea-private-complaint-10889668/</t>
        </is>
      </c>
      <c r="F264" s="4" t="inlineStr">
        <is>
          <t>Passage inspected</t>
        </is>
      </c>
      <c r="G264" s="4" t="inlineStr">
        <is>
          <t>Controversies</t>
        </is>
      </c>
      <c r="H264" s="4" t="inlineStr">
        <is>
          <t>Candidate reference; inspect Claims and Evidence for checked support.</t>
        </is>
      </c>
    </row>
    <row r="265" ht="94" customHeight="1">
      <c r="A265" s="6" t="inlineStr">
        <is>
          <t>CO02:S013</t>
        </is>
      </c>
      <c r="B265" s="7" t="inlineStr">
        <is>
          <t>CO02</t>
        </is>
      </c>
      <c r="C265" s="7" t="inlineStr">
        <is>
          <t>S013</t>
        </is>
      </c>
      <c r="D265" s="6" t="inlineStr">
        <is>
          <t>Gandhis’ reply to Delhi High Court on National Herald case</t>
        </is>
      </c>
      <c r="E265" s="7" t="inlineStr">
        <is>
          <t>https://www.barandbench.com/news/only-case-where-ed-proceeded-on-private-complaint-sonia-and-rahul-gandhi-to-delhi-high-court-on-national-herald-case</t>
        </is>
      </c>
      <c r="F265" s="6" t="inlineStr">
        <is>
          <t>Passage inspected</t>
        </is>
      </c>
      <c r="G265" s="6" t="inlineStr">
        <is>
          <t>Controversies</t>
        </is>
      </c>
      <c r="H265" s="6" t="inlineStr">
        <is>
          <t>Candidate reference; inspect Claims and Evidence for checked support.</t>
        </is>
      </c>
    </row>
    <row r="266" ht="80" customHeight="1">
      <c r="A266" s="4" t="inlineStr">
        <is>
          <t>CO03:S029</t>
        </is>
      </c>
      <c r="B266" s="5" t="inlineStr">
        <is>
          <t>CO03</t>
        </is>
      </c>
      <c r="C266" s="5" t="inlineStr">
        <is>
          <t>S029</t>
        </is>
      </c>
      <c r="D266" s="4" t="inlineStr">
        <is>
          <t>Supreme Court closes Rafale-related contempt proceedings</t>
        </is>
      </c>
      <c r="E266" s="5" t="inlineStr">
        <is>
          <t>https://indianexpress.com/article/india/rafale-case-sc-closes-defamation-case-against-rahul-gandhi-says-he-needs-to-be-more-careful/</t>
        </is>
      </c>
      <c r="F266" s="4" t="inlineStr">
        <is>
          <t>Passage inspected</t>
        </is>
      </c>
      <c r="G266" s="4" t="inlineStr">
        <is>
          <t>Controversies</t>
        </is>
      </c>
      <c r="H266" s="4" t="inlineStr">
        <is>
          <t>Candidate reference; inspect Claims and Evidence for checked support.</t>
        </is>
      </c>
    </row>
    <row r="267" ht="66" customHeight="1">
      <c r="A267" s="6" t="inlineStr">
        <is>
          <t>CO03:S010</t>
        </is>
      </c>
      <c r="B267" s="7" t="inlineStr">
        <is>
          <t>CO03</t>
        </is>
      </c>
      <c r="C267" s="7" t="inlineStr">
        <is>
          <t>S010</t>
        </is>
      </c>
      <c r="D267" s="6" t="inlineStr">
        <is>
          <t>Rahul Gandhi v Purnesh Ishwarbhai Modi: stay order</t>
        </is>
      </c>
      <c r="E267" s="7" t="inlineStr">
        <is>
          <t>https://api.sci.gov.in/supremecourt/2023/27941/27941_2023_4_55_45901_Order_04-Aug-2023.pdf</t>
        </is>
      </c>
      <c r="F267" s="6" t="inlineStr">
        <is>
          <t>Passage inspected</t>
        </is>
      </c>
      <c r="G267" s="6" t="inlineStr">
        <is>
          <t>Controversies</t>
        </is>
      </c>
      <c r="H267" s="6" t="inlineStr">
        <is>
          <t>Candidate reference; inspect Claims and Evidence for checked support.</t>
        </is>
      </c>
    </row>
    <row r="268" ht="80" customHeight="1">
      <c r="A268" s="4" t="inlineStr">
        <is>
          <t>CO04:S038</t>
        </is>
      </c>
      <c r="B268" s="5" t="inlineStr">
        <is>
          <t>CO04</t>
        </is>
      </c>
      <c r="C268" s="5" t="inlineStr">
        <is>
          <t>S038</t>
        </is>
      </c>
      <c r="D268" s="4" t="inlineStr">
        <is>
          <t>Rahul Gandhi criticises convicted-lawmakers ordinance</t>
        </is>
      </c>
      <c r="E268" s="5" t="inlineStr">
        <is>
          <t>https://www.ndtv.com/india-news/rahul-gandhi-calls-ordinance-on-convicted-lawmakers-nonsense-huge-embarrassment-for-pm-535906</t>
        </is>
      </c>
      <c r="F268" s="4" t="inlineStr">
        <is>
          <t>Passage inspected</t>
        </is>
      </c>
      <c r="G268" s="4" t="inlineStr">
        <is>
          <t>Controversies</t>
        </is>
      </c>
      <c r="H268" s="4" t="inlineStr">
        <is>
          <t>Candidate reference; inspect Claims and Evidence for checked support.</t>
        </is>
      </c>
    </row>
    <row r="269" ht="80" customHeight="1">
      <c r="A269" s="6" t="inlineStr">
        <is>
          <t>CO04:S039</t>
        </is>
      </c>
      <c r="B269" s="7" t="inlineStr">
        <is>
          <t>CO04</t>
        </is>
      </c>
      <c r="C269" s="7" t="inlineStr">
        <is>
          <t>S039</t>
        </is>
      </c>
      <c r="D269" s="6" t="inlineStr">
        <is>
          <t>Government withdraws ordinance plan</t>
        </is>
      </c>
      <c r="E269" s="7" t="inlineStr">
        <is>
          <t>https://www.business-standard.com/article/politics/govt-bows-before-rahul-withdraws-ordinance-plan-113100200706_1.html</t>
        </is>
      </c>
      <c r="F269" s="6" t="inlineStr">
        <is>
          <t>Passage inspected</t>
        </is>
      </c>
      <c r="G269" s="6" t="inlineStr">
        <is>
          <t>Controversies</t>
        </is>
      </c>
      <c r="H269" s="6" t="inlineStr">
        <is>
          <t>Candidate reference; inspect Claims and Evidence for checked support.</t>
        </is>
      </c>
    </row>
    <row r="270" ht="80" customHeight="1">
      <c r="A270" s="4" t="inlineStr">
        <is>
          <t>CO05:S021</t>
        </is>
      </c>
      <c r="B270" s="5" t="inlineStr">
        <is>
          <t>CO05</t>
        </is>
      </c>
      <c r="C270" s="5" t="inlineStr">
        <is>
          <t>S021</t>
        </is>
      </c>
      <c r="D270" s="4" t="inlineStr">
        <is>
          <t>Dissent over Rahul’s internal election system</t>
        </is>
      </c>
      <c r="E270" s="5" t="inlineStr">
        <is>
          <t>https://indianexpress.com/article/political-pulse/in-kerala-youth-cong-dissent-over-rahuls-internal-election-system/</t>
        </is>
      </c>
      <c r="F270" s="4" t="inlineStr">
        <is>
          <t>Passage inspected</t>
        </is>
      </c>
      <c r="G270" s="4" t="inlineStr">
        <is>
          <t>Controversies</t>
        </is>
      </c>
      <c r="H270" s="4" t="inlineStr">
        <is>
          <t>Candidate reference; inspect Claims and Evidence for checked support.</t>
        </is>
      </c>
    </row>
    <row r="271" ht="66" customHeight="1">
      <c r="A271" s="6" t="inlineStr">
        <is>
          <t>CO05:S022</t>
        </is>
      </c>
      <c r="B271" s="7" t="inlineStr">
        <is>
          <t>CO05</t>
        </is>
      </c>
      <c r="C271" s="7" t="inlineStr">
        <is>
          <t>S022</t>
        </is>
      </c>
      <c r="D271" s="6" t="inlineStr">
        <is>
          <t>Youth Congress to retain internal polls</t>
        </is>
      </c>
      <c r="E271" s="7" t="inlineStr">
        <is>
          <t>https://timesofindia.indiatimes.com/india/youth-congress-to-retain-internal-polls/articleshow/36734347.cms</t>
        </is>
      </c>
      <c r="F271" s="6" t="inlineStr">
        <is>
          <t>Passage inspected</t>
        </is>
      </c>
      <c r="G271" s="6" t="inlineStr">
        <is>
          <t>Controversies</t>
        </is>
      </c>
      <c r="H271" s="6" t="inlineStr">
        <is>
          <t>Candidate reference; inspect Claims and Evidence for checked support.</t>
        </is>
      </c>
    </row>
    <row r="272" ht="80" customHeight="1">
      <c r="A272" s="4" t="inlineStr">
        <is>
          <t>CO05:S023</t>
        </is>
      </c>
      <c r="B272" s="5" t="inlineStr">
        <is>
          <t>CO05</t>
        </is>
      </c>
      <c r="C272" s="5" t="inlineStr">
        <is>
          <t>S023</t>
        </is>
      </c>
      <c r="D272" s="4" t="inlineStr">
        <is>
          <t>Ridiculed for a decade, Rahul Gandhi slows Modi juggernaut</t>
        </is>
      </c>
      <c r="E272" s="5" t="inlineStr">
        <is>
          <t>https://www.marketscreener.com/news/latest/Ridiculed-for-a-decade-India-s-Rahul-Gandhi-slows-Modi-juggernaut-46900641/</t>
        </is>
      </c>
      <c r="F272" s="4" t="inlineStr">
        <is>
          <t>Passage inspected</t>
        </is>
      </c>
      <c r="G272" s="4" t="inlineStr">
        <is>
          <t>Controversies</t>
        </is>
      </c>
      <c r="H272" s="4" t="inlineStr">
        <is>
          <t>Candidate reference; inspect Claims and Evidence for checked support.</t>
        </is>
      </c>
    </row>
    <row r="273" ht="80" customHeight="1">
      <c r="A273" s="6" t="inlineStr">
        <is>
          <t>CO06:S031</t>
        </is>
      </c>
      <c r="B273" s="7" t="inlineStr">
        <is>
          <t>CO06</t>
        </is>
      </c>
      <c r="C273" s="7" t="inlineStr">
        <is>
          <t>S031</t>
        </is>
      </c>
      <c r="D273" s="6" t="inlineStr">
        <is>
          <t>Gandhi’s voter deletion allegations and EC response</t>
        </is>
      </c>
      <c r="E273" s="7" t="inlineStr">
        <is>
          <t>https://indianexpress.com/article/india/rahul-gandhi-vote-chori-cec-gyanesh-kumar-protecting-killing-democracy-10257103/</t>
        </is>
      </c>
      <c r="F273" s="6" t="inlineStr">
        <is>
          <t>Passage inspected</t>
        </is>
      </c>
      <c r="G273" s="6" t="inlineStr">
        <is>
          <t>Controversies</t>
        </is>
      </c>
      <c r="H273" s="6" t="inlineStr">
        <is>
          <t>Candidate reference; inspect Claims and Evidence for checked support.</t>
        </is>
      </c>
    </row>
    <row r="274" ht="94" customHeight="1">
      <c r="A274" s="4" t="inlineStr">
        <is>
          <t>CO06:S030</t>
        </is>
      </c>
      <c r="B274" s="5" t="inlineStr">
        <is>
          <t>CO06</t>
        </is>
      </c>
      <c r="C274" s="5" t="inlineStr">
        <is>
          <t>S030</t>
        </is>
      </c>
      <c r="D274" s="4" t="inlineStr">
        <is>
          <t>Rahul Gandhi escalates EC criticism amid SIR dispute</t>
        </is>
      </c>
      <c r="E274" s="5" t="inlineStr">
        <is>
          <t>https://timesofindia.indiatimes.com/india/rahul-gandhi-press-conference-on-ec-gyanesh-kumar-resignation-sir-congress-vote-chori-election-bjp/articleshow/134457370.cms</t>
        </is>
      </c>
      <c r="F274" s="4" t="inlineStr">
        <is>
          <t>Passage inspected</t>
        </is>
      </c>
      <c r="G274" s="4" t="inlineStr">
        <is>
          <t>Controversies</t>
        </is>
      </c>
      <c r="H274" s="4" t="inlineStr">
        <is>
          <t>Candidate reference; inspect Claims and Evidence for checked support.</t>
        </is>
      </c>
    </row>
    <row r="275" ht="66" customHeight="1">
      <c r="A275" s="6" t="inlineStr">
        <is>
          <t>CO07:S034</t>
        </is>
      </c>
      <c r="B275" s="7" t="inlineStr">
        <is>
          <t>CO07</t>
        </is>
      </c>
      <c r="C275" s="7" t="inlineStr">
        <is>
          <t>S034</t>
        </is>
      </c>
      <c r="D275" s="6" t="inlineStr">
        <is>
          <t>Rahul Gandhi accepts responsibility for UP result</t>
        </is>
      </c>
      <c r="E275" s="7" t="inlineStr">
        <is>
          <t>https://www.ndtv.com/assembly/i-take-responsibility-says-rahul-gandhi-about-up-results-470319</t>
        </is>
      </c>
      <c r="F275" s="6" t="inlineStr">
        <is>
          <t>Passage inspected</t>
        </is>
      </c>
      <c r="G275" s="6" t="inlineStr">
        <is>
          <t>Controversies</t>
        </is>
      </c>
      <c r="H275" s="6" t="inlineStr">
        <is>
          <t>Candidate reference; inspect Claims and Evidence for checked support.</t>
        </is>
      </c>
    </row>
    <row r="276" ht="66" customHeight="1">
      <c r="A276" s="4" t="inlineStr">
        <is>
          <t>CO07:S014</t>
        </is>
      </c>
      <c r="B276" s="5" t="inlineStr">
        <is>
          <t>CO07</t>
        </is>
      </c>
      <c r="C276" s="5" t="inlineStr">
        <is>
          <t>S014</t>
        </is>
      </c>
      <c r="D276" s="4" t="inlineStr">
        <is>
          <t>Rahul Gandhi’s resignation letter and accountability statement</t>
        </is>
      </c>
      <c r="E276" s="5" t="inlineStr">
        <is>
          <t>https://www.ndtv.com/india-news/rahul-gandhis-open-letter-full-text-at-times-i-stood-completely-alone-2063455</t>
        </is>
      </c>
      <c r="F276" s="4" t="inlineStr">
        <is>
          <t>Passage inspected</t>
        </is>
      </c>
      <c r="G276" s="4" t="inlineStr">
        <is>
          <t>Controversies</t>
        </is>
      </c>
      <c r="H276" s="4" t="inlineStr">
        <is>
          <t>Candidate reference; inspect Claims and Evidence for checked support.</t>
        </is>
      </c>
    </row>
    <row r="277" ht="80" customHeight="1">
      <c r="A277" s="6" t="inlineStr">
        <is>
          <t>CO07:S026</t>
        </is>
      </c>
      <c r="B277" s="7" t="inlineStr">
        <is>
          <t>CO07</t>
        </is>
      </c>
      <c r="C277" s="7" t="inlineStr">
        <is>
          <t>S026</t>
        </is>
      </c>
      <c r="D277" s="6" t="inlineStr">
        <is>
          <t>Congress camp’s Bihar post-mortem</t>
        </is>
      </c>
      <c r="E277" s="7" t="inlineStr">
        <is>
          <t>https://indianexpress.com/article/political-pulse/congress-camps-bihar-post-mortem-rahul-yatra-fiasco-allavaru-problem-weak-structure-10375553/</t>
        </is>
      </c>
      <c r="F277" s="6" t="inlineStr">
        <is>
          <t>Passage inspected</t>
        </is>
      </c>
      <c r="G277" s="6" t="inlineStr">
        <is>
          <t>Controversies</t>
        </is>
      </c>
      <c r="H277" s="6" t="inlineStr">
        <is>
          <t>Candidate reference; inspect Claims and Evidence for checked support.</t>
        </is>
      </c>
    </row>
    <row r="278" ht="66" customHeight="1">
      <c r="A278" s="4" t="inlineStr">
        <is>
          <t>CO07:S027</t>
        </is>
      </c>
      <c r="B278" s="5" t="inlineStr">
        <is>
          <t>CO07</t>
        </is>
      </c>
      <c r="C278" s="5" t="inlineStr">
        <is>
          <t>S027</t>
        </is>
      </c>
      <c r="D278" s="4" t="inlineStr">
        <is>
          <t>Rahul reportedly accepts shared responsibility for Bihar loss</t>
        </is>
      </c>
      <c r="E278" s="5" t="inlineStr">
        <is>
          <t>https://indianexpress.com/article/political-pulse/rahul-equallyresponsible-bihar-loss-poll-review-10390484/</t>
        </is>
      </c>
      <c r="F278" s="4" t="inlineStr">
        <is>
          <t>Passage inspected</t>
        </is>
      </c>
      <c r="G278" s="4" t="inlineStr">
        <is>
          <t>Controversies</t>
        </is>
      </c>
      <c r="H278" s="4" t="inlineStr">
        <is>
          <t>Candidate reference; inspect Claims and Evidence for checked support.</t>
        </is>
      </c>
    </row>
    <row r="279" ht="80" customHeight="1">
      <c r="A279" s="6" t="inlineStr">
        <is>
          <t>LA01:S023</t>
        </is>
      </c>
      <c r="B279" s="7" t="inlineStr">
        <is>
          <t>LA01</t>
        </is>
      </c>
      <c r="C279" s="7" t="inlineStr">
        <is>
          <t>S023</t>
        </is>
      </c>
      <c r="D279" s="6" t="inlineStr">
        <is>
          <t>Ridiculed for a decade, Rahul Gandhi slows Modi juggernaut</t>
        </is>
      </c>
      <c r="E279" s="7" t="inlineStr">
        <is>
          <t>https://www.marketscreener.com/news/latest/Ridiculed-for-a-decade-India-s-Rahul-Gandhi-slows-Modi-juggernaut-46900641/</t>
        </is>
      </c>
      <c r="F279" s="6" t="inlineStr">
        <is>
          <t>Passage inspected</t>
        </is>
      </c>
      <c r="G279" s="6" t="inlineStr">
        <is>
          <t>Legacy &amp; Assessments</t>
        </is>
      </c>
      <c r="H279" s="6" t="inlineStr">
        <is>
          <t>Candidate reference; inspect Claims and Evidence for checked support.</t>
        </is>
      </c>
    </row>
    <row r="280" ht="52" customHeight="1">
      <c r="A280" s="4" t="inlineStr">
        <is>
          <t>LA02:S024</t>
        </is>
      </c>
      <c r="B280" s="5" t="inlineStr">
        <is>
          <t>LA02</t>
        </is>
      </c>
      <c r="C280" s="5" t="inlineStr">
        <is>
          <t>S024</t>
        </is>
      </c>
      <c r="D280" s="4" t="inlineStr">
        <is>
          <t>The Resilience of India’s Fourth Party System</t>
        </is>
      </c>
      <c r="E280" s="5" t="inlineStr">
        <is>
          <t>https://carnegieendowment.org/research/2024/09/india-election-bjp-party-politics</t>
        </is>
      </c>
      <c r="F280" s="4" t="inlineStr">
        <is>
          <t>Passage inspected</t>
        </is>
      </c>
      <c r="G280" s="4" t="inlineStr">
        <is>
          <t>Legacy &amp; Assessments</t>
        </is>
      </c>
      <c r="H280" s="4" t="inlineStr">
        <is>
          <t>Candidate reference; inspect Claims and Evidence for checked support.</t>
        </is>
      </c>
    </row>
    <row r="281" ht="80" customHeight="1">
      <c r="A281" s="6" t="inlineStr">
        <is>
          <t>LA03:S021</t>
        </is>
      </c>
      <c r="B281" s="7" t="inlineStr">
        <is>
          <t>LA03</t>
        </is>
      </c>
      <c r="C281" s="7" t="inlineStr">
        <is>
          <t>S021</t>
        </is>
      </c>
      <c r="D281" s="6" t="inlineStr">
        <is>
          <t>Dissent over Rahul’s internal election system</t>
        </is>
      </c>
      <c r="E281" s="7" t="inlineStr">
        <is>
          <t>https://indianexpress.com/article/political-pulse/in-kerala-youth-cong-dissent-over-rahuls-internal-election-system/</t>
        </is>
      </c>
      <c r="F281" s="6" t="inlineStr">
        <is>
          <t>Passage inspected</t>
        </is>
      </c>
      <c r="G281" s="6" t="inlineStr">
        <is>
          <t>Legacy &amp; Assessments</t>
        </is>
      </c>
      <c r="H281" s="6" t="inlineStr">
        <is>
          <t>Candidate reference; inspect Claims and Evidence for checked support.</t>
        </is>
      </c>
    </row>
    <row r="282" ht="66" customHeight="1">
      <c r="A282" s="4" t="inlineStr">
        <is>
          <t>LA03:S022</t>
        </is>
      </c>
      <c r="B282" s="5" t="inlineStr">
        <is>
          <t>LA03</t>
        </is>
      </c>
      <c r="C282" s="5" t="inlineStr">
        <is>
          <t>S022</t>
        </is>
      </c>
      <c r="D282" s="4" t="inlineStr">
        <is>
          <t>Youth Congress to retain internal polls</t>
        </is>
      </c>
      <c r="E282" s="5" t="inlineStr">
        <is>
          <t>https://timesofindia.indiatimes.com/india/youth-congress-to-retain-internal-polls/articleshow/36734347.cms</t>
        </is>
      </c>
      <c r="F282" s="4" t="inlineStr">
        <is>
          <t>Passage inspected</t>
        </is>
      </c>
      <c r="G282" s="4" t="inlineStr">
        <is>
          <t>Legacy &amp; Assessments</t>
        </is>
      </c>
      <c r="H282" s="4" t="inlineStr">
        <is>
          <t>Candidate reference; inspect Claims and Evidence for checked support.</t>
        </is>
      </c>
    </row>
    <row r="283" ht="66" customHeight="1">
      <c r="A283" s="6" t="inlineStr">
        <is>
          <t>LA04:S035</t>
        </is>
      </c>
      <c r="B283" s="7" t="inlineStr">
        <is>
          <t>LA04</t>
        </is>
      </c>
      <c r="C283" s="7" t="inlineStr">
        <is>
          <t>S035</t>
        </is>
      </c>
      <c r="D283" s="6" t="inlineStr">
        <is>
          <t>Rahul Gandhi welcomes caste-enumeration decision and seeks timeline</t>
        </is>
      </c>
      <c r="E283" s="7" t="inlineStr">
        <is>
          <t>https://indianexpress.com/article/india/rahul-gandhi-caste-census-population-congress-centre-cabinet-9975117/</t>
        </is>
      </c>
      <c r="F283" s="6" t="inlineStr">
        <is>
          <t>Passage inspected</t>
        </is>
      </c>
      <c r="G283" s="6" t="inlineStr">
        <is>
          <t>Legacy &amp; Assessments</t>
        </is>
      </c>
      <c r="H283" s="6" t="inlineStr">
        <is>
          <t>Candidate reference; inspect Claims and Evidence for checked support.</t>
        </is>
      </c>
    </row>
    <row r="284" ht="52" customHeight="1">
      <c r="A284" s="4" t="inlineStr">
        <is>
          <t>LA04:S036</t>
        </is>
      </c>
      <c r="B284" s="5" t="inlineStr">
        <is>
          <t>LA04</t>
        </is>
      </c>
      <c r="C284" s="5" t="inlineStr">
        <is>
          <t>S036</t>
        </is>
      </c>
      <c r="D284" s="4" t="inlineStr">
        <is>
          <t>Government decision to include caste enumeration in census</t>
        </is>
      </c>
      <c r="E284" s="5" t="inlineStr">
        <is>
          <t>https://www.pib.gov.in/PressReleasePage.aspx?PRID=2125576</t>
        </is>
      </c>
      <c r="F284" s="4" t="inlineStr">
        <is>
          <t>Passage inspected</t>
        </is>
      </c>
      <c r="G284" s="4" t="inlineStr">
        <is>
          <t>Legacy &amp; Assessments</t>
        </is>
      </c>
      <c r="H284" s="4" t="inlineStr">
        <is>
          <t>Candidate reference; inspect Claims and Evidence for checked support.</t>
        </is>
      </c>
    </row>
    <row r="285" ht="80" customHeight="1">
      <c r="A285" s="6" t="inlineStr">
        <is>
          <t>LA05:S026</t>
        </is>
      </c>
      <c r="B285" s="7" t="inlineStr">
        <is>
          <t>LA05</t>
        </is>
      </c>
      <c r="C285" s="7" t="inlineStr">
        <is>
          <t>S026</t>
        </is>
      </c>
      <c r="D285" s="6" t="inlineStr">
        <is>
          <t>Congress camp’s Bihar post-mortem</t>
        </is>
      </c>
      <c r="E285" s="7" t="inlineStr">
        <is>
          <t>https://indianexpress.com/article/political-pulse/congress-camps-bihar-post-mortem-rahul-yatra-fiasco-allavaru-problem-weak-structure-10375553/</t>
        </is>
      </c>
      <c r="F285" s="6" t="inlineStr">
        <is>
          <t>Passage inspected</t>
        </is>
      </c>
      <c r="G285" s="6" t="inlineStr">
        <is>
          <t>Legacy &amp; Assessments</t>
        </is>
      </c>
      <c r="H285" s="6" t="inlineStr">
        <is>
          <t>Candidate reference; inspect Claims and Evidence for checked support.</t>
        </is>
      </c>
    </row>
    <row r="286" ht="66" customHeight="1">
      <c r="A286" s="4" t="inlineStr">
        <is>
          <t>LA05:S027</t>
        </is>
      </c>
      <c r="B286" s="5" t="inlineStr">
        <is>
          <t>LA05</t>
        </is>
      </c>
      <c r="C286" s="5" t="inlineStr">
        <is>
          <t>S027</t>
        </is>
      </c>
      <c r="D286" s="4" t="inlineStr">
        <is>
          <t>Rahul reportedly accepts shared responsibility for Bihar loss</t>
        </is>
      </c>
      <c r="E286" s="5" t="inlineStr">
        <is>
          <t>https://indianexpress.com/article/political-pulse/rahul-equallyresponsible-bihar-loss-poll-review-10390484/</t>
        </is>
      </c>
      <c r="F286" s="4" t="inlineStr">
        <is>
          <t>Passage inspected</t>
        </is>
      </c>
      <c r="G286" s="4" t="inlineStr">
        <is>
          <t>Legacy &amp; Assessments</t>
        </is>
      </c>
      <c r="H286" s="4" t="inlineStr">
        <is>
          <t>Candidate reference; inspect Claims and Evidence for checked support.</t>
        </is>
      </c>
    </row>
    <row r="287" ht="44" customHeight="1">
      <c r="A287" s="6" t="inlineStr">
        <is>
          <t>LA06:S002</t>
        </is>
      </c>
      <c r="B287" s="7" t="inlineStr">
        <is>
          <t>LA06</t>
        </is>
      </c>
      <c r="C287" s="7" t="inlineStr">
        <is>
          <t>S002</t>
        </is>
      </c>
      <c r="D287" s="6" t="inlineStr">
        <is>
          <t>Leader of Opposition</t>
        </is>
      </c>
      <c r="E287" s="7" t="inlineStr">
        <is>
          <t>https://sansad.in/ls/about/leader-of-opposition</t>
        </is>
      </c>
      <c r="F287" s="6" t="inlineStr">
        <is>
          <t>Passage inspected</t>
        </is>
      </c>
      <c r="G287" s="6" t="inlineStr">
        <is>
          <t>Legacy &amp; Assessments</t>
        </is>
      </c>
      <c r="H287" s="6" t="inlineStr">
        <is>
          <t>Candidate reference; inspect Claims and Evidence for checked support.</t>
        </is>
      </c>
    </row>
    <row r="288" ht="44" customHeight="1">
      <c r="A288" s="4" t="inlineStr">
        <is>
          <t>LA06:S003</t>
        </is>
      </c>
      <c r="B288" s="5" t="inlineStr">
        <is>
          <t>LA06</t>
        </is>
      </c>
      <c r="C288" s="5" t="inlineStr">
        <is>
          <t>S003</t>
        </is>
      </c>
      <c r="D288" s="4" t="inlineStr">
        <is>
          <t>Rahul Gandhi: 18th Lok Sabha MPTrack</t>
        </is>
      </c>
      <c r="E288" s="5" t="inlineStr">
        <is>
          <t>https://prsindia.org/mptrack/18-lok-sabha/rahul-gandhi</t>
        </is>
      </c>
      <c r="F288" s="4" t="inlineStr">
        <is>
          <t>Passage inspected</t>
        </is>
      </c>
      <c r="G288" s="4" t="inlineStr">
        <is>
          <t>Legacy &amp; Assessments</t>
        </is>
      </c>
      <c r="H288" s="4" t="inlineStr">
        <is>
          <t>Candidate reference; inspect Claims and Evidence for checked support.</t>
        </is>
      </c>
    </row>
    <row r="289" ht="80" customHeight="1">
      <c r="A289" s="6" t="inlineStr">
        <is>
          <t>LA06:S023</t>
        </is>
      </c>
      <c r="B289" s="7" t="inlineStr">
        <is>
          <t>LA06</t>
        </is>
      </c>
      <c r="C289" s="7" t="inlineStr">
        <is>
          <t>S023</t>
        </is>
      </c>
      <c r="D289" s="6" t="inlineStr">
        <is>
          <t>Ridiculed for a decade, Rahul Gandhi slows Modi juggernaut</t>
        </is>
      </c>
      <c r="E289" s="7" t="inlineStr">
        <is>
          <t>https://www.marketscreener.com/news/latest/Ridiculed-for-a-decade-India-s-Rahul-Gandhi-slows-Modi-juggernaut-46900641/</t>
        </is>
      </c>
      <c r="F289" s="6" t="inlineStr">
        <is>
          <t>Passage inspected</t>
        </is>
      </c>
      <c r="G289" s="6" t="inlineStr">
        <is>
          <t>Legacy &amp; Assessments</t>
        </is>
      </c>
      <c r="H289" s="6" t="inlineStr">
        <is>
          <t>Candidate reference; inspect Claims and Evidence for checked support.</t>
        </is>
      </c>
    </row>
    <row r="290" ht="66" customHeight="1">
      <c r="A290" s="4" t="inlineStr">
        <is>
          <t>LA06:S035</t>
        </is>
      </c>
      <c r="B290" s="5" t="inlineStr">
        <is>
          <t>LA06</t>
        </is>
      </c>
      <c r="C290" s="5" t="inlineStr">
        <is>
          <t>S035</t>
        </is>
      </c>
      <c r="D290" s="4" t="inlineStr">
        <is>
          <t>Rahul Gandhi welcomes caste-enumeration decision and seeks timeline</t>
        </is>
      </c>
      <c r="E290" s="5" t="inlineStr">
        <is>
          <t>https://indianexpress.com/article/india/rahul-gandhi-caste-census-population-congress-centre-cabinet-9975117/</t>
        </is>
      </c>
      <c r="F290" s="4" t="inlineStr">
        <is>
          <t>Passage inspected</t>
        </is>
      </c>
      <c r="G290" s="4" t="inlineStr">
        <is>
          <t>Legacy &amp; Assessments</t>
        </is>
      </c>
      <c r="H290" s="4" t="inlineStr">
        <is>
          <t>Candidate reference; inspect Claims and Evidence for checked support.</t>
        </is>
      </c>
    </row>
  </sheetData>
  <autoFilter ref="A5:H290"/>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s>
  <pageMargins left="0.75" right="0.75" top="1" bottom="1" header="0.5" footer="0.5"/>
  <pageSetup orientation="landscape" paperSize="8" fitToHeight="0" fitToWidth="1"/>
  <tableParts count="1">
    <tablePart xmlns:r="http://schemas.openxmlformats.org/officeDocument/2006/relationships" r:id="rId856"/>
  </tableParts>
</worksheet>
</file>

<file path=xl/worksheets/sheet14.xml><?xml version="1.0" encoding="utf-8"?>
<worksheet xmlns="http://schemas.openxmlformats.org/spreadsheetml/2006/main">
  <sheetPr>
    <outlinePr summaryBelow="1" summaryRight="0"/>
    <pageSetUpPr fitToPage="1"/>
  </sheetPr>
  <dimension ref="A1:G1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34" customWidth="1" min="3" max="3"/>
    <col width="58" customWidth="1" min="4" max="4"/>
    <col collapsed="1" width="58" customWidth="1" min="5" max="5"/>
    <col hidden="1" outlineLevel="1" width="44" customWidth="1" min="6" max="6"/>
    <col hidden="1" outlineLevel="1" width="44" customWidth="1" min="7" max="7"/>
  </cols>
  <sheetData>
    <row r="1" ht="36" customHeight="1">
      <c r="A1" s="1" t="inlineStr">
        <is>
          <t>Rahul Gandhi | Research Queue</t>
        </is>
      </c>
    </row>
    <row r="2" ht="20" customHeight="1">
      <c r="A2" s="2" t="inlineStr">
        <is>
          <t>As of 2026-09-24 | Expand the + column group for supporting detail.</t>
        </is>
      </c>
    </row>
    <row r="3" ht="20" customHeight="1">
      <c r="A3" s="2" t="inlineStr">
        <is>
          <t>Citation IDs are references, not proof. Read evidence status and claim qualifications.</t>
        </is>
      </c>
    </row>
    <row r="5" ht="36" customHeight="1">
      <c r="A5" s="3" t="inlineStr">
        <is>
          <t>Gap ID</t>
        </is>
      </c>
      <c r="B5" s="3" t="inlineStr">
        <is>
          <t>Priority</t>
        </is>
      </c>
      <c r="C5" s="3" t="inlineStr">
        <is>
          <t>Topic</t>
        </is>
      </c>
      <c r="D5" s="3" t="inlineStr">
        <is>
          <t>Gap</t>
        </is>
      </c>
      <c r="E5" s="3" t="inlineStr">
        <is>
          <t>Next action</t>
        </is>
      </c>
      <c r="F5" s="3" t="inlineStr">
        <is>
          <t>Status</t>
        </is>
      </c>
      <c r="G5" s="3" t="inlineStr">
        <is>
          <t>Records</t>
        </is>
      </c>
    </row>
    <row r="6" ht="52" customHeight="1">
      <c r="A6" s="4" t="inlineStr">
        <is>
          <t>G01</t>
        </is>
      </c>
      <c r="B6" s="4" t="inlineStr">
        <is>
          <t>High</t>
        </is>
      </c>
      <c r="C6" s="4" t="inlineStr">
        <is>
          <t>Original election returns, 2004–2014</t>
        </is>
      </c>
      <c r="D6" s="4" t="inlineStr">
        <is>
          <t>Early votes rely on secondary tables. 2004 share is unrecovered and the 2014 page conflicts between 46.71% and 46.72%.</t>
        </is>
      </c>
      <c r="E6" s="4" t="inlineStr">
        <is>
          <t>Retrieve ECI full state statistical reports; reconcile valid/counting/polled denominators and post-delimitation boundaries.</t>
        </is>
      </c>
      <c r="F6" s="4" t="inlineStr">
        <is>
          <t>Open</t>
        </is>
      </c>
      <c r="G6" s="4" t="inlineStr">
        <is>
          <t>EL01; EL02; EL03</t>
        </is>
      </c>
    </row>
    <row r="7" ht="52" customHeight="1">
      <c r="A7" s="6" t="inlineStr">
        <is>
          <t>G02</t>
        </is>
      </c>
      <c r="B7" s="6" t="inlineStr">
        <is>
          <t>High</t>
        </is>
      </c>
      <c r="C7" s="6" t="inlineStr">
        <is>
          <t>Defamation appeal after 2023 stay</t>
        </is>
      </c>
      <c r="D7" s="6" t="inlineStr">
        <is>
          <t>The 2023 stay and reinstatement are established; the later merits disposition was not confirmed by an inspected order.</t>
        </is>
      </c>
      <c r="E7" s="6" t="inlineStr">
        <is>
          <t>Search appellate cause/case records by parties and case number; inspect the latest substantive order before updating the status.</t>
        </is>
      </c>
      <c r="F7" s="6" t="inlineStr">
        <is>
          <t>Open</t>
        </is>
      </c>
      <c r="G7" s="6" t="inlineStr">
        <is>
          <t>CO01</t>
        </is>
      </c>
    </row>
    <row r="8" ht="52" customHeight="1">
      <c r="A8" s="4" t="inlineStr">
        <is>
          <t>G03</t>
        </is>
      </c>
      <c r="B8" s="4" t="inlineStr">
        <is>
          <t>High</t>
        </is>
      </c>
      <c r="C8" s="4" t="inlineStr">
        <is>
          <t>National Herald primary orders</t>
        </is>
      </c>
      <c r="D8" s="4" t="inlineStr">
        <is>
          <t>September 2026 procedure is supported by reporting, but the original cognisance and High Court orders were not obtained.</t>
        </is>
      </c>
      <c r="E8" s="4" t="inlineStr">
        <is>
          <t>Retrieve 16 December 2025 trial order and latest Delhi High Court order; keep 12 October 2026 as a future listing until it occurs.</t>
        </is>
      </c>
      <c r="F8" s="4" t="inlineStr">
        <is>
          <t>Open</t>
        </is>
      </c>
      <c r="G8" s="4" t="inlineStr">
        <is>
          <t>CO02</t>
        </is>
      </c>
    </row>
    <row r="9" ht="52" customHeight="1">
      <c r="A9" s="6" t="inlineStr">
        <is>
          <t>G04</t>
        </is>
      </c>
      <c r="B9" s="6" t="inlineStr">
        <is>
          <t>High</t>
        </is>
      </c>
      <c r="C9" s="6" t="inlineStr">
        <is>
          <t>Election-integrity allegations</t>
        </is>
      </c>
      <c r="D9" s="6" t="inlineStr">
        <is>
          <t>The record establishes allegations and rebuttals, not a nationwide adjudicated finding of manipulation.</t>
        </is>
      </c>
      <c r="E9" s="6" t="inlineStr">
        <is>
          <t>Inspect original roll data, ECI correspondence, FIR/investigation records and competent court orders; test each constituency claim separately.</t>
        </is>
      </c>
      <c r="F9" s="6" t="inlineStr">
        <is>
          <t>Open</t>
        </is>
      </c>
      <c r="G9" s="6" t="inlineStr">
        <is>
          <t>CO06; IM11</t>
        </is>
      </c>
    </row>
    <row r="10" ht="52" customHeight="1">
      <c r="A10" s="4" t="inlineStr">
        <is>
          <t>G05</t>
        </is>
      </c>
      <c r="B10" s="4" t="inlineStr">
        <is>
          <t>Medium</t>
        </is>
      </c>
      <c r="C10" s="4" t="inlineStr">
        <is>
          <t>Committee and party tenure precision</t>
        </is>
      </c>
      <c r="D10" s="4" t="inlineStr">
        <is>
          <t>Historical committee memberships and exact endpoint of early party responsibilities remain imprecise.</t>
        </is>
      </c>
      <c r="E10" s="4" t="inlineStr">
        <is>
          <t>Retrieve Lok Sabha committee rosters and AICC appointment/resignation resolutions.</t>
        </is>
      </c>
      <c r="F10" s="4" t="inlineStr">
        <is>
          <t>Open</t>
        </is>
      </c>
      <c r="G10" s="4" t="inlineStr">
        <is>
          <t>OF09; OF11; OF12</t>
        </is>
      </c>
    </row>
    <row r="11" ht="52" customHeight="1">
      <c r="A11" s="6" t="inlineStr">
        <is>
          <t>G06</t>
        </is>
      </c>
      <c r="B11" s="6" t="inlineStr">
        <is>
          <t>Medium</t>
        </is>
      </c>
      <c r="C11" s="6" t="inlineStr">
        <is>
          <t>Constituency outcomes</t>
        </is>
      </c>
      <c r="D11" s="6" t="inlineStr">
        <is>
          <t>Parliamentary requests are documented; project delivery and beneficiary effects cannot be attributed from requests alone.</t>
        </is>
      </c>
      <c r="E11" s="6" t="inlineStr">
        <is>
          <t>Use district expenditure/project records, audits and implementation timelines; identify other responsible authorities.</t>
        </is>
      </c>
      <c r="F11" s="6" t="inlineStr">
        <is>
          <t>Open</t>
        </is>
      </c>
      <c r="G11" s="6" t="inlineStr">
        <is>
          <t>PG11</t>
        </is>
      </c>
    </row>
    <row r="12" ht="52" customHeight="1">
      <c r="A12" s="4" t="inlineStr">
        <is>
          <t>G07</t>
        </is>
      </c>
      <c r="B12" s="4" t="inlineStr">
        <is>
          <t>Medium</t>
        </is>
      </c>
      <c r="C12" s="4" t="inlineStr">
        <is>
          <t>Gender comparison</t>
        </is>
      </c>
      <c r="D12" s="4" t="inlineStr">
        <is>
          <t>Gender-specific advancement, portfolio selection and longitudinal reception are insufficiently documented.</t>
        </is>
      </c>
      <c r="E12" s="4" t="inlineStr">
        <is>
          <t>Review contemporaneous Hindi/English media, appointment records and scholarship using comparable party/office cohorts.</t>
        </is>
      </c>
      <c r="F12" s="4" t="inlineStr">
        <is>
          <t>Open</t>
        </is>
      </c>
      <c r="G12" s="4" t="inlineStr">
        <is>
          <t>CT-G-01; CT-G-02; CT-G-04; CT-G-10</t>
        </is>
      </c>
    </row>
    <row r="13" ht="52" customHeight="1">
      <c r="A13" s="6" t="inlineStr">
        <is>
          <t>G08</t>
        </is>
      </c>
      <c r="B13" s="6" t="inlineStr">
        <is>
          <t>Medium</t>
        </is>
      </c>
      <c r="C13" s="6" t="inlineStr">
        <is>
          <t>International context and engagements</t>
        </is>
      </c>
      <c r="D13" s="6" t="inlineStr">
        <is>
          <t>Phase-specific diplomatic ideas and later international engagements are not comprehensively reconstructed.</t>
        </is>
      </c>
      <c r="E13" s="6" t="inlineStr">
        <is>
          <t>Inspect dated speeches, parliamentary foreign-affairs work and independent scholarship for each phase.</t>
        </is>
      </c>
      <c r="F13" s="6" t="inlineStr">
        <is>
          <t>Open</t>
        </is>
      </c>
      <c r="G13" s="6" t="inlineStr">
        <is>
          <t>CT-P1-05; CT-P2-05; CT-P4-05</t>
        </is>
      </c>
    </row>
    <row r="14" ht="52" customHeight="1">
      <c r="A14" s="4" t="inlineStr">
        <is>
          <t>G09</t>
        </is>
      </c>
      <c r="B14" s="4" t="inlineStr">
        <is>
          <t>Medium</t>
        </is>
      </c>
      <c r="C14" s="4" t="inlineStr">
        <is>
          <t>Policy influence and causality</t>
        </is>
      </c>
      <c r="D14" s="4" t="inlineStr">
        <is>
          <t>The record separates proposals, advocacy and government decisions; it does not estimate personal causal effects.</t>
        </is>
      </c>
      <c r="E14" s="4" t="inlineStr">
        <is>
          <t>Add legislative process records, government implementation evidence and credible independent evaluations before assigning outcome credit.</t>
        </is>
      </c>
      <c r="F14" s="4" t="inlineStr">
        <is>
          <t>Open</t>
        </is>
      </c>
      <c r="G14" s="4" t="inlineStr">
        <is>
          <t>PG01; PG05; LA04</t>
        </is>
      </c>
    </row>
    <row r="15" ht="44" customHeight="1">
      <c r="A15" s="6" t="inlineStr">
        <is>
          <t>G10</t>
        </is>
      </c>
      <c r="B15" s="6" t="inlineStr">
        <is>
          <t>Medium</t>
        </is>
      </c>
      <c r="C15" s="6" t="inlineStr">
        <is>
          <t>Language and source diversity</t>
        </is>
      </c>
      <c r="D15" s="6" t="inlineStr">
        <is>
          <t>Inspected source base is predominantly English and is not an exhaustive historiography.</t>
        </is>
      </c>
      <c r="E15" s="6" t="inlineStr">
        <is>
          <t>Add relevant Hindi and Malayalam reporting and scholarly books; record translation and standpoint.</t>
        </is>
      </c>
      <c r="F15" s="6" t="inlineStr">
        <is>
          <t>Open</t>
        </is>
      </c>
      <c r="G15" s="6" t="inlineStr">
        <is>
          <t>CT-P1-10; CT-P2-10; CT-P3-10; CT-P4-10</t>
        </is>
      </c>
    </row>
    <row r="16" ht="52" customHeight="1">
      <c r="A16" s="4" t="inlineStr">
        <is>
          <t>G11</t>
        </is>
      </c>
      <c r="B16" s="4" t="inlineStr">
        <is>
          <t>Medium</t>
        </is>
      </c>
      <c r="C16" s="4" t="inlineStr">
        <is>
          <t>Current parliamentary activity</t>
        </is>
      </c>
      <c r="D16" s="4" t="inlineStr">
        <is>
          <t>PRS activity ends 13 August 2026 although the research cutoff is 24 September.</t>
        </is>
      </c>
      <c r="E16" s="4" t="inlineStr">
        <is>
          <t>Refresh PRS and original parliamentary records after the next update; never treat missing attendance as zero.</t>
        </is>
      </c>
      <c r="F16" s="4" t="inlineStr">
        <is>
          <t>Open</t>
        </is>
      </c>
      <c r="G16" s="4" t="inlineStr">
        <is>
          <t>PG13</t>
        </is>
      </c>
    </row>
  </sheetData>
  <autoFilter ref="A5:G16"/>
  <mergeCells count="3">
    <mergeCell ref="A2:E2"/>
    <mergeCell ref="A1:E1"/>
    <mergeCell ref="A3:E3"/>
  </mergeCell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Political Research by ChatGPT</dc:creator>
  <dc:title>Rahul Gandhi — Political Research</dc:title>
  <dcterms:created xsi:type="dcterms:W3CDTF">2026-09-24T17:18:32Z</dcterms:created>
  <dcterms:modified xsi:type="dcterms:W3CDTF">2026-09-24T17:18:33Z</dcterms:modified>
</cp:coreProperties>
</file>