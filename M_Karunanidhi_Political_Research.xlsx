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f37ffc1ee8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f7c5617201da47da"/>
    <x:sheet xmlns:r="http://schemas.openxmlformats.org/officeDocument/2006/relationships" name="Context &amp; Constraints" sheetId="2" r:id="Rddfa18bf45864821"/>
    <x:sheet xmlns:r="http://schemas.openxmlformats.org/officeDocument/2006/relationships" name="Career Timeline" sheetId="3" r:id="R4aee793f6b6449d6"/>
    <x:sheet xmlns:r="http://schemas.openxmlformats.org/officeDocument/2006/relationships" name="Elections" sheetId="4" r:id="Rf43bb4e285914cc4"/>
    <x:sheet xmlns:r="http://schemas.openxmlformats.org/officeDocument/2006/relationships" name="Offices &amp; Party" sheetId="5" r:id="R1b90a3c29ca14bf8"/>
    <x:sheet xmlns:r="http://schemas.openxmlformats.org/officeDocument/2006/relationships" name="Policy &amp; Governance" sheetId="6" r:id="R9789d8512a78472c"/>
    <x:sheet xmlns:r="http://schemas.openxmlformats.org/officeDocument/2006/relationships" name="Ideas &amp; Political Method" sheetId="7" r:id="R53d972bd435146cc"/>
    <x:sheet xmlns:r="http://schemas.openxmlformats.org/officeDocument/2006/relationships" name="Controversies" sheetId="8" r:id="R8b51df2400ce438f"/>
    <x:sheet xmlns:r="http://schemas.openxmlformats.org/officeDocument/2006/relationships" name="Legacy &amp; Assessments" sheetId="9" r:id="Ra23b3eb3a8cd4ec7"/>
    <x:sheet xmlns:r="http://schemas.openxmlformats.org/officeDocument/2006/relationships" name="Sources" sheetId="10" r:id="R8b239aa0e9ec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9">
    <x:font>
      <x:sz val="11"/>
      <x:name val="Carlito"/>
    </x:font>
    <x:font>
      <x:b/>
      <x:sz val="15"/>
      <x:color rgb="FF17365D"/>
      <x:name val="Arial"/>
    </x:font>
    <x:font>
      <x:i/>
      <x:sz val="9"/>
      <x:color rgb="FF5B6573"/>
      <x:name val="Arial"/>
    </x:font>
    <x:font>
      <x:b/>
      <x:sz val="11"/>
      <x:color rgb="FFFFFFFF"/>
      <x:name val="Arial"/>
    </x:font>
    <x:font>
      <x:b/>
      <x:sz val="11"/>
      <x:color rgb="FF17365D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2"/>
      <x:color rgb="FF17365D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C69214"/>
      </x:patternFill>
    </x:fill>
    <x:fill>
      <x:patternFill patternType="solid">
        <x:fgColor rgb="FFD9EAF7"/>
      </x:patternFill>
    </x:fill>
  </x:fills>
  <x:borders count="8">
    <x:border/>
    <x:border>
      <x:bottom style="thin">
        <x:color rgb="FF5B9BD5"/>
      </x:bottom>
    </x:border>
    <x:border>
      <x:bottom style="thin">
        <x:color rgb="FFD5DCE5"/>
      </x:bottom>
    </x:border>
    <x:border>
      <x:top style="thin">
        <x:color rgb="FFD5DCE5"/>
      </x:top>
      <x:bottom style="thin">
        <x:color rgb="FFD5DCE5"/>
      </x:bottom>
    </x:border>
    <x:border>
      <x:top style="thin">
        <x:color rgb="FFD5DCE5"/>
      </x:top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5" fillId="4" borderId="0" xfId="0" applyNumberFormat="1" applyFont="1" applyFill="1" applyBorder="1"/>
    <x:xf numFmtId="20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/>
    </x:xf>
    <x:xf numFmtId="0" fontId="8" fillId="2" borderId="5" xfId="0" applyNumberFormat="1" applyFont="1" applyFill="1" applyBorder="1" applyAlignment="1">
      <x:alignment vertical="top"/>
    </x:xf>
    <x:xf numFmtId="0" fontId="8" fillId="2" borderId="6" xfId="0" applyNumberFormat="1" applyFont="1" applyFill="1" applyBorder="1" applyAlignment="1">
      <x:alignment vertical="top"/>
    </x:xf>
    <x:xf numFmtId="0" fontId="8" fillId="2" borderId="7" xfId="0" applyNumberFormat="1" applyFont="1" applyFill="1" applyBorder="1" applyAlignment="1">
      <x:alignment vertical="top"/>
    </x:xf>
    <x:xf numFmtId="0" fontId="8" fillId="2" borderId="5" xfId="0" applyNumberFormat="1" applyFont="1" applyFill="1" applyBorder="1" applyAlignment="1">
      <x:alignment vertical="top" wrapText="1"/>
    </x:xf>
    <x:xf numFmtId="0" fontId="8" fillId="2" borderId="6" xfId="0" applyNumberFormat="1" applyFont="1" applyFill="1" applyBorder="1" applyAlignment="1">
      <x:alignment vertical="top" wrapText="1"/>
    </x:xf>
    <x:xf numFmtId="0" fontId="8" fillId="2" borderId="7" xfId="0" applyNumberFormat="1" applyFont="1" applyFill="1" applyBorder="1" applyAlignment="1">
      <x:alignment vertical="top" wrapText="1"/>
    </x:xf>
    <x:xf numFmtId="0" fontId="8" fillId="2" borderId="5" xfId="0" applyNumberFormat="1" applyFont="1" applyFill="1" applyBorder="1" applyAlignment="1">
      <x:alignment horizontal="center" vertical="top" wrapText="1"/>
    </x:xf>
    <x:xf numFmtId="0" fontId="8" fillId="2" borderId="6" xfId="0" applyNumberFormat="1" applyFont="1" applyFill="1" applyBorder="1" applyAlignment="1">
      <x:alignment horizontal="center" vertical="top" wrapText="1"/>
    </x:xf>
    <x:xf numFmtId="0" fontId="8" fillId="2" borderId="7" xfId="0" applyNumberFormat="1" applyFont="1" applyFill="1" applyBorder="1" applyAlignment="1">
      <x:alignment horizontal="center" vertical="top" wrapText="1"/>
    </x:xf>
    <x:xf numFmtId="0" fontId="8" fillId="2" borderId="5" xfId="0" applyNumberFormat="1" applyFont="1" applyFill="1" applyBorder="1" applyAlignment="1">
      <x:alignment horizontal="center" vertical="center" wrapText="1"/>
    </x:xf>
    <x:xf numFmtId="0" fontId="8" fillId="2" borderId="6" xfId="0" applyNumberFormat="1" applyFont="1" applyFill="1" applyBorder="1" applyAlignment="1">
      <x:alignment horizontal="center" vertical="center" wrapText="1"/>
    </x:xf>
    <x:xf numFmtId="0" fontId="8" fillId="2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2" xfId="0" applyNumberFormat="1" applyFont="1" applyFill="1" applyBorder="1" applyAlignment="1">
      <x:alignment vertical="top" wrapText="1"/>
    </x:xf>
    <x:xf numFmtId="200" fontId="6" fillId="0" borderId="3" xfId="0" applyNumberFormat="1" applyFont="1" applyFill="1" applyBorder="1" applyAlignment="1">
      <x:alignment vertical="top" wrapText="1"/>
    </x:xf>
    <x:xf numFmtId="200" fontId="6" fillId="0" borderId="4" xfId="0" applyNumberFormat="1" applyFont="1" applyFill="1" applyBorder="1" applyAlignment="1">
      <x:alignment vertical="top" wrapText="1"/>
    </x:xf>
    <x:xf numFmtId="201" fontId="6" fillId="0" borderId="2" xfId="0" applyNumberFormat="1" applyFont="1" applyFill="1" applyBorder="1" applyAlignment="1">
      <x:alignment vertical="top" wrapText="1"/>
    </x:xf>
    <x:xf numFmtId="201" fontId="6" fillId="0" borderId="3" xfId="0" applyNumberFormat="1" applyFont="1" applyFill="1" applyBorder="1" applyAlignment="1">
      <x:alignment vertical="top" wrapText="1"/>
    </x:xf>
    <x:xf numFmtId="201" fontId="6" fillId="0" borderId="4" xfId="0" applyNumberFormat="1" applyFont="1" applyFill="1" applyBorder="1" applyAlignment="1">
      <x:alignment vertical="top" wrapText="1"/>
    </x:xf>
    <x:xf numFmtId="202" fontId="6" fillId="0" borderId="2" xfId="0" applyNumberFormat="1" applyFont="1" applyFill="1" applyBorder="1" applyAlignment="1">
      <x:alignment vertical="top" wrapText="1"/>
    </x:xf>
    <x:xf numFmtId="202" fontId="6" fillId="0" borderId="3" xfId="0" applyNumberFormat="1" applyFont="1" applyFill="1" applyBorder="1" applyAlignment="1">
      <x:alignment vertical="top" wrapText="1"/>
    </x:xf>
    <x:xf numFmtId="202" fontId="6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7F6000"/>
      </x:font>
      <x:fill>
        <x:patternFill patternType="solid">
          <x:bgColor rgb="FFFFF3CD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c6011e29694b8c" /><Relationship Type="http://schemas.openxmlformats.org/officeDocument/2006/relationships/theme" Target="/xl/theme/theme1.xml" Id="Rd087e87ea0f24a11" /><Relationship Type="http://schemas.openxmlformats.org/officeDocument/2006/relationships/sharedStrings" Target="/xl/sharedStrings.xml" Id="R88a4be9eb4b24ef8" /><Relationship Type="http://schemas.openxmlformats.org/officeDocument/2006/relationships/worksheet" Target="/xl/worksheets/sheet1.xml" Id="Rf7c5617201da47da" /><Relationship Type="http://schemas.openxmlformats.org/officeDocument/2006/relationships/worksheet" Target="/xl/worksheets/sheet2.xml" Id="Rddfa18bf45864821" /><Relationship Type="http://schemas.openxmlformats.org/officeDocument/2006/relationships/worksheet" Target="/xl/worksheets/sheet3.xml" Id="R4aee793f6b6449d6" /><Relationship Type="http://schemas.openxmlformats.org/officeDocument/2006/relationships/worksheet" Target="/xl/worksheets/sheet4.xml" Id="Rf43bb4e285914cc4" /><Relationship Type="http://schemas.openxmlformats.org/officeDocument/2006/relationships/worksheet" Target="/xl/worksheets/sheet5.xml" Id="R1b90a3c29ca14bf8" /><Relationship Type="http://schemas.openxmlformats.org/officeDocument/2006/relationships/worksheet" Target="/xl/worksheets/sheet6.xml" Id="R9789d8512a78472c" /><Relationship Type="http://schemas.openxmlformats.org/officeDocument/2006/relationships/worksheet" Target="/xl/worksheets/sheet7.xml" Id="R53d972bd435146cc" /><Relationship Type="http://schemas.openxmlformats.org/officeDocument/2006/relationships/worksheet" Target="/xl/worksheets/sheet8.xml" Id="R8b51df2400ce438f" /><Relationship Type="http://schemas.openxmlformats.org/officeDocument/2006/relationships/worksheet" Target="/xl/worksheets/sheet9.xml" Id="Ra23b3eb3a8cd4ec7" /><Relationship Type="http://schemas.openxmlformats.org/officeDocument/2006/relationships/worksheet" Target="/xl/worksheets/sheet10.xml" Id="R8b239aa0e9ec44ca" /></Relationships>
</file>

<file path=xl/tables/table1.xml><?xml version="1.0" encoding="utf-8"?>
<x:table xmlns:x="http://schemas.openxmlformats.org/spreadsheetml/2006/main" id="1" name="ContextTable" displayName="ContextTable" ref="A4:Y124" headerRowCount="1" totalsRowCount="0" totalsRowShown="0">
  <x:autoFilter ref="A4:Y124"/>
  <x:tableColumns count="25">
    <x:tableColumn id="1" name="Context ID"/>
    <x:tableColumn id="2" name="Career phase"/>
    <x:tableColumn id="3" name="Start date"/>
    <x:tableColumn id="4" name="End date"/>
    <x:tableColumn id="5" name="Coverage dimension"/>
    <x:tableColumn id="6" name="Coverage question or item"/>
    <x:tableColumn id="7" name="Research disposition"/>
    <x:tableColumn id="8" name="Finding"/>
    <x:tableColumn id="9" name="Mechanism or pathway of effect"/>
    <x:tableColumn id="10" name="Political-system context"/>
    <x:tableColumn id="11" name="Economic and international context"/>
    <x:tableColumn id="12" name="Media and campaign environment"/>
    <x:tableColumn id="13" name="Contemporary institutional constraints"/>
    <x:tableColumn id="14" name="Gender relevance"/>
    <x:tableColumn id="15" name="Other identity relevance"/>
    <x:tableColumn id="16" name="Contemporary conditions or norm"/>
    <x:tableColumn id="17" name="Contemporary comparison group"/>
    <x:tableColumn id="18" name="Contemporary assessment"/>
    <x:tableColumn id="19" name="Retrospective assessment"/>
    <x:tableColumn id="20" name="Presentism caution"/>
    <x:tableColumn id="21" name="Evidence-environment limitation"/>
    <x:tableColumn id="22" name="Claim type"/>
    <x:tableColumn id="23" name="Corroboration"/>
    <x:tableColumn id="24" name="Context source IDs"/>
    <x:tableColumn id="25" name="Research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melineTable" displayName="TimelineTable" ref="A4:P31" headerRowCount="1" totalsRowCount="0" totalsRowShown="0">
  <x:autoFilter ref="A4:P31"/>
  <x:tableColumns count="16">
    <x:tableColumn id="1" name="Timeline ID"/>
    <x:tableColumn id="2" name="Start date"/>
    <x:tableColumn id="3" name="End date"/>
    <x:tableColumn id="4" name="Date precision"/>
    <x:tableColumn id="5" name="Phase or event"/>
    <x:tableColumn id="6" name="Event type"/>
    <x:tableColumn id="7" name="Office, organization or institution"/>
    <x:tableColumn id="8" name="Location or jurisdiction"/>
    <x:tableColumn id="9" name="Description"/>
    <x:tableColumn id="10" name="Significance"/>
    <x:tableColumn id="11" name="Claim type"/>
    <x:tableColumn id="12" name="Corroboration"/>
    <x:tableColumn id="13" name="Source IDs"/>
    <x:tableColumn id="14" name="Research note"/>
    <x:tableColumn id="15" name="Career phase"/>
    <x:tableColumn id="16" name="Context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lectionsTable" displayName="ElectionsTable" ref="A4:U17" headerRowCount="1" totalsRowCount="0" totalsRowShown="0">
  <x:autoFilter ref="A4:U17"/>
  <x:tableColumns count="21">
    <x:tableColumn id="1" name="Election ID"/>
    <x:tableColumn id="2" name="Election year"/>
    <x:tableColumn id="3" name="Election type and house"/>
    <x:tableColumn id="4" name="Direct or indirect"/>
    <x:tableColumn id="5" name="State or jurisdiction"/>
    <x:tableColumn id="6" name="Constituency as named at the time"/>
    <x:tableColumn id="7" name="Constituency notes"/>
    <x:tableColumn id="8" name="Party"/>
    <x:tableColumn id="9" name="Candidate status"/>
    <x:tableColumn id="10" name="Result"/>
    <x:tableColumn id="11" name="Votes"/>
    <x:tableColumn id="12" name="Vote share"/>
    <x:tableColumn id="13" name="Principal opponent"/>
    <x:tableColumn id="14" name="Opponent party"/>
    <x:tableColumn id="15" name="Opponent votes"/>
    <x:tableColumn id="16" name="Margin"/>
    <x:tableColumn id="17" name="Margin unit"/>
    <x:tableColumn id="18" name="Government-formation result or post-election role"/>
    <x:tableColumn id="19" name="Source IDs"/>
    <x:tableColumn id="20" name="Research note"/>
    <x:tableColumn id="21" name="Career pha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fficesTable" displayName="OfficesTable" ref="A4:Q16" headerRowCount="1" totalsRowCount="0" totalsRowShown="0">
  <x:autoFilter ref="A4:Q16"/>
  <x:tableColumns count="17">
    <x:tableColumn id="1" name="Position ID"/>
    <x:tableColumn id="2" name="Position category"/>
    <x:tableColumn id="3" name="Exact title"/>
    <x:tableColumn id="4" name="Institution or organization"/>
    <x:tableColumn id="5" name="Jurisdiction"/>
    <x:tableColumn id="6" name="Start date"/>
    <x:tableColumn id="7" name="End date"/>
    <x:tableColumn id="8" name="Selection route"/>
    <x:tableColumn id="9" name="Predecessor"/>
    <x:tableColumn id="10" name="Successor"/>
    <x:tableColumn id="11" name="Party or alliance during tenure"/>
    <x:tableColumn id="12" name="Concurrent positions"/>
    <x:tableColumn id="13" name="Main responsibilities or political function"/>
    <x:tableColumn id="14" name="Exit reason"/>
    <x:tableColumn id="15" name="Source IDs"/>
    <x:tableColumn id="16" name="Research note"/>
    <x:tableColumn id="17" name="Career phas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olicyTable" displayName="PolicyTable" ref="A4:V19" headerRowCount="1" totalsRowCount="0" totalsRowShown="0">
  <x:autoFilter ref="A4:V19"/>
  <x:tableColumns count="22">
    <x:tableColumn id="1" name="Record ID"/>
    <x:tableColumn id="2" name="Policy domain"/>
    <x:tableColumn id="3" name="Initiative, decision, law or institution"/>
    <x:tableColumn id="4" name="Jurisdiction"/>
    <x:tableColumn id="5" name="Period"/>
    <x:tableColumn id="6" name="Figure's documented role"/>
    <x:tableColumn id="7" name="Role strength"/>
    <x:tableColumn id="8" name="Stated objective"/>
    <x:tableColumn id="9" name="Mechanism or intervention"/>
    <x:tableColumn id="10" name="Adoption status"/>
    <x:tableColumn id="11" name="Implementation evidence / outputs"/>
    <x:tableColumn id="12" name="Outcomes and indicators"/>
    <x:tableColumn id="13" name="Indicator geography and period"/>
    <x:tableColumn id="14" name="Attribution assessment"/>
    <x:tableColumn id="15" name="Beneficiaries or affected groups"/>
    <x:tableColumn id="16" name="Criticism, trade-offs or unintended effects"/>
    <x:tableColumn id="17" name="Current or final status"/>
    <x:tableColumn id="18" name="Claim type"/>
    <x:tableColumn id="19" name="Corroboration"/>
    <x:tableColumn id="20" name="Source IDs"/>
    <x:tableColumn id="21" name="Research note"/>
    <x:tableColumn id="22" name="Career phas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IdeasTable" displayName="IdeasTable" ref="A4:O16" headerRowCount="1" totalsRowCount="0" totalsRowShown="0">
  <x:autoFilter ref="A4:O16"/>
  <x:tableColumns count="15">
    <x:tableColumn id="1" name="Record ID"/>
    <x:tableColumn id="2" name="Category"/>
    <x:tableColumn id="3" name="Topic"/>
    <x:tableColumn id="4" name="Period"/>
    <x:tableColumn id="5" name="Documented position or method"/>
    <x:tableColumn id="6" name="Evidence type"/>
    <x:tableColumn id="7" name="Change over time"/>
    <x:tableColumn id="8" name="Allies, rivals, institutions or social coalition"/>
    <x:tableColumn id="9" name="Strategic or historical context"/>
    <x:tableColumn id="10" name="Consequence"/>
    <x:tableColumn id="11" name="Claim type"/>
    <x:tableColumn id="12" name="Corroboration"/>
    <x:tableColumn id="13" name="Source IDs"/>
    <x:tableColumn id="14" name="Research note"/>
    <x:tableColumn id="15" name="Career phas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roversiesTable" displayName="ControversiesTable" ref="A4:S12" headerRowCount="1" totalsRowCount="0" totalsRowShown="0">
  <x:autoFilter ref="A4:S12"/>
  <x:tableColumns count="19">
    <x:tableColumn id="1" name="Matter ID"/>
    <x:tableColumn id="2" name="Matter"/>
    <x:tableColumn id="3" name="Start date"/>
    <x:tableColumn id="4" name="Latest status date"/>
    <x:tableColumn id="5" name="Category"/>
    <x:tableColumn id="6" name="Neutral description"/>
    <x:tableColumn id="7" name="Allegation or criticism"/>
    <x:tableColumn id="8" name="Alleging or reviewing party"/>
    <x:tableColumn id="9" name="Subject's response"/>
    <x:tableColumn id="10" name="Authority or forum"/>
    <x:tableColumn id="11" name="Procedural status"/>
    <x:tableColumn id="12" name="Finding or disposition"/>
    <x:tableColumn id="13" name="Political, legal or social consequence"/>
    <x:tableColumn id="14" name="Degree of dispute"/>
    <x:tableColumn id="15" name="Claim type"/>
    <x:tableColumn id="16" name="Corroboration"/>
    <x:tableColumn id="17" name="Source IDs"/>
    <x:tableColumn id="18" name="Research note"/>
    <x:tableColumn id="19" name="Career phas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egacyTable" displayName="LegacyTable" ref="A4:O14" headerRowCount="1" totalsRowCount="0" totalsRowShown="0">
  <x:autoFilter ref="A4:O14"/>
  <x:tableColumns count="15">
    <x:tableColumn id="1" name="Assessment ID"/>
    <x:tableColumn id="2" name="Theme"/>
    <x:tableColumn id="3" name="Period assessed"/>
    <x:tableColumn id="4" name="Assessment or interpretation"/>
    <x:tableColumn id="5" name="Assessor type"/>
    <x:tableColumn id="6" name="Assessor"/>
    <x:tableColumn id="7" name="Evidence basis"/>
    <x:tableColumn id="8" name="Supporting view"/>
    <x:tableColumn id="9" name="Competing view"/>
    <x:tableColumn id="10" name="Consensus or dispute status"/>
    <x:tableColumn id="11" name="Later influence or institutional legacy"/>
    <x:tableColumn id="12" name="Claim type"/>
    <x:tableColumn id="13" name="Source IDs"/>
    <x:tableColumn id="14" name="Research note"/>
    <x:tableColumn id="15" name="Career phas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Table" displayName="SourcesTable" ref="A4:O34" headerRowCount="1" totalsRowCount="0" totalsRowShown="0">
  <x:autoFilter ref="A4:O34"/>
  <x:tableColumns count="15">
    <x:tableColumn id="1" name="Source ID"/>
    <x:tableColumn id="2" name="Full citation"/>
    <x:tableColumn id="3" name="Title"/>
    <x:tableColumn id="4" name="Author or issuing institution"/>
    <x:tableColumn id="5" name="Publisher or site"/>
    <x:tableColumn id="6" name="Publication date"/>
    <x:tableColumn id="7" name="URL"/>
    <x:tableColumn id="8" name="Access date"/>
    <x:tableColumn id="9" name="Source class"/>
    <x:tableColumn id="10" name="Primary or secondary"/>
    <x:tableColumn id="11" name="Geographic or language scope"/>
    <x:tableColumn id="12" name="Standpoint or interest note"/>
    <x:tableColumn id="13" name="Claims or sheets supported"/>
    <x:tableColumn id="14" name="Archive or document locator"/>
    <x:tableColumn id="15" name="Reliability or limitation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45526f6a4542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82bf649f7e49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6d7bf68075c41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827b2a4ac341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19665afb5547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be53ce1e5b4b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7e0efd02b248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5c5ef4ce50f46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7cb1315856d43e7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58" hidden="0" customWidth="1"/>
    <x:col min="3" max="3" width="20" hidden="0" customWidth="1"/>
    <x:col min="4" max="4" width="3" hidden="0" customWidth="1"/>
    <x:col min="5" max="5" width="27" hidden="0" customWidth="1"/>
    <x:col min="6" max="6" width="42" hidden="0" customWidth="1"/>
    <x:col min="7" max="7" width="15" hidden="0" customWidth="1"/>
    <x:col min="8" max="8" width="15" hidden="0" customWidth="1"/>
  </x:cols>
  <x:sheetData>
    <x:row r="1" ht="24" customHeight="1">
      <x:c r="A1" s="28" t="str">
        <x:v>M. Karunanidhi: Political Research Workbook</x:v>
      </x:c>
      <x:c r="B1" s="29"/>
      <x:c r="C1" s="29"/>
      <x:c r="D1" s="29"/>
      <x:c r="E1" s="29"/>
      <x:c r="F1" s="29"/>
      <x:c r="G1" s="29"/>
      <x:c r="H1" s="29"/>
    </x:row>
    <x:row r="2" ht="28" customHeight="1">
      <x:c r="A2" s="30" t="str">
        <x:v>Source-backed profile. Historical coverage through 7 August 2018; research accessed 2026-09-14.</x:v>
      </x:c>
      <x:c r="B2" s="29"/>
      <x:c r="C2" s="29"/>
      <x:c r="D2" s="29"/>
      <x:c r="E2" s="29"/>
      <x:c r="F2" s="29"/>
      <x:c r="G2" s="29"/>
      <x:c r="H2" s="29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29"/>
      <x:c r="B4" s="29"/>
      <x:c r="C4" s="29"/>
      <x:c r="D4" s="29"/>
      <x:c r="E4" s="29"/>
      <x:c r="F4" s="29"/>
      <x:c r="G4" s="29"/>
      <x:c r="H4" s="29"/>
    </x:row>
    <x:row r="5">
      <x:c r="A5" s="32" t="str">
        <x:v>Profile field</x:v>
      </x:c>
      <x:c r="B5" s="32" t="str">
        <x:v>Finding</x:v>
      </x:c>
      <x:c r="C5" s="32" t="str">
        <x:v>Source IDs</x:v>
      </x:c>
      <x:c r="D5" s="29"/>
      <x:c r="E5" s="33" t="str">
        <x:v>Workbook metric</x:v>
      </x:c>
      <x:c r="F5" s="33" t="str">
        <x:v>Calculated value</x:v>
      </x:c>
      <x:c r="G5" s="34"/>
      <x:c r="H5" s="34"/>
    </x:row>
    <x:row r="6">
      <x:c r="A6" s="35" t="str">
        <x:v>Full name</x:v>
      </x:c>
      <x:c r="B6" s="35" t="str">
        <x:v>Muthuvel Karunanidhi</x:v>
      </x:c>
      <x:c r="C6" s="35" t="str">
        <x:v>S06; S07</x:v>
      </x:c>
      <x:c r="D6" s="29"/>
      <x:c r="E6" s="34" t="str">
        <x:v>Assembly elections contested</x:v>
      </x:c>
      <x:c r="F6" s="36" t="n">
        <x:f>COUNTA(Elections!A5:A17)</x:f>
        <x:v>13</x:v>
      </x:c>
      <x:c r="G6" s="34"/>
      <x:c r="H6" s="34"/>
    </x:row>
    <x:row r="7">
      <x:c r="A7" s="37" t="str">
        <x:v>Common name and initials</x:v>
      </x:c>
      <x:c r="B7" s="37" t="str">
        <x:v>M. Karunanidhi; Kalaignar</x:v>
      </x:c>
      <x:c r="C7" s="37" t="str">
        <x:v>S06; S08</x:v>
      </x:c>
      <x:c r="D7" s="29"/>
      <x:c r="E7" s="34" t="str">
        <x:v>Assembly elections won</x:v>
      </x:c>
      <x:c r="F7" s="36" t="n">
        <x:f>COUNTIFS(Elections!J5:J17,"Won")</x:f>
        <x:v>13</x:v>
      </x:c>
      <x:c r="G7" s="34"/>
      <x:c r="H7" s="34"/>
    </x:row>
    <x:row r="8">
      <x:c r="A8" s="37" t="str">
        <x:v>Name variants</x:v>
      </x:c>
      <x:c r="B8" s="37" t="str">
        <x:v>Muthuvel Karunanidhi; Mu. Karunanidhi; M. Karunanidhi; கலைஞர் மு. கருணாநிதி</x:v>
      </x:c>
      <x:c r="C8" s="37" t="str">
        <x:v>S06; S07</x:v>
      </x:c>
      <x:c r="D8" s="29"/>
      <x:c r="E8" s="34" t="str">
        <x:v>Chief-ministerial terms</x:v>
      </x:c>
      <x:c r="F8" s="36" t="n">
        <x:f>COUNTIFS('Offices &amp; Party'!B5:B16,"Executive",'Offices &amp; Party'!C5:C16,"Chief Minister")</x:f>
        <x:v>5</x:v>
      </x:c>
      <x:c r="G8" s="34"/>
      <x:c r="H8" s="34"/>
    </x:row>
    <x:row r="9">
      <x:c r="A9" s="37" t="str">
        <x:v>Birth and death</x:v>
      </x:c>
      <x:c r="B9" s="37" t="str">
        <x:v>3 June 1924 – 7 August 2018</x:v>
      </x:c>
      <x:c r="C9" s="37" t="str">
        <x:v>S06; S08</x:v>
      </x:c>
      <x:c r="D9" s="29"/>
      <x:c r="E9" s="34" t="str">
        <x:v>Policy records</x:v>
      </x:c>
      <x:c r="F9" s="36" t="n">
        <x:f>COUNTA('Policy &amp; Governance'!A5:A19)</x:f>
        <x:v>15</x:v>
      </x:c>
      <x:c r="G9" s="34"/>
      <x:c r="H9" s="34"/>
    </x:row>
    <x:row r="10">
      <x:c r="A10" s="37" t="str">
        <x:v>Birthplace</x:v>
      </x:c>
      <x:c r="B10" s="37" t="str">
        <x:v>Thirukkuvalai, Tanjore district, Madras Presidency (present-day Tamil Nadu)</x:v>
      </x:c>
      <x:c r="C10" s="37" t="str">
        <x:v>S06; S07</x:v>
      </x:c>
      <x:c r="D10" s="29"/>
      <x:c r="E10" s="34" t="str">
        <x:v>Context findings</x:v>
      </x:c>
      <x:c r="F10" s="36" t="n">
        <x:f>COUNTA('Context &amp; Constraints'!A5:A124)</x:f>
        <x:v>120</x:v>
      </x:c>
      <x:c r="G10" s="34"/>
      <x:c r="H10" s="34"/>
    </x:row>
    <x:row r="11">
      <x:c r="A11" s="37" t="str">
        <x:v>Principal political geography</x:v>
      </x:c>
      <x:c r="B11" s="37" t="str">
        <x:v>Tamil Nadu, with recurring influence in Union coalition politics</x:v>
      </x:c>
      <x:c r="C11" s="37" t="str">
        <x:v>S04; S26</x:v>
      </x:c>
      <x:c r="D11" s="29"/>
      <x:c r="E11" s="34"/>
      <x:c r="F11" s="34"/>
      <x:c r="G11" s="34"/>
      <x:c r="H11" s="34"/>
    </x:row>
    <x:row r="12">
      <x:c r="A12" s="37" t="str">
        <x:v>Main parties</x:v>
      </x:c>
      <x:c r="B12" s="37" t="str">
        <x:v>Justice Party / Dravidar Kazhagam milieu; Dravida Munnetra Kazhagam from 1949</x:v>
      </x:c>
      <x:c r="C12" s="37" t="str">
        <x:v>S05; S06</x:v>
      </x:c>
      <x:c r="D12" s="29"/>
      <x:c r="E12" s="38" t="str">
        <x:v>Career phases</x:v>
      </x:c>
      <x:c r="F12" s="38"/>
      <x:c r="G12" s="38"/>
      <x:c r="H12" s="38"/>
    </x:row>
    <x:row r="13">
      <x:c r="A13" s="37" t="str">
        <x:v>Principal offices</x:v>
      </x:c>
      <x:c r="B13" s="37" t="str">
        <x:v>Chief Minister of Tamil Nadu for five terms; DMK president 1969–2018; MLA elected 13 times</x:v>
      </x:c>
      <x:c r="C13" s="37" t="str">
        <x:v>S01; S04</x:v>
      </x:c>
      <x:c r="D13" s="29"/>
      <x:c r="E13" s="34" t="str">
        <x:v>P1</x:v>
      </x:c>
      <x:c r="F13" s="34" t="str">
        <x:v>Formation in the Self-Respect and Dravidian movement</x:v>
      </x:c>
      <x:c r="G13" s="39" t="n">
        <x:v>13881</x:v>
      </x:c>
      <x:c r="H13" s="39" t="n">
        <x:v>18157</x:v>
      </x:c>
    </x:row>
    <x:row r="14">
      <x:c r="A14" s="37" t="str">
        <x:v>Years active</x:v>
      </x:c>
      <x:c r="B14" s="37" t="str">
        <x:v>Approximately 1938–2018</x:v>
      </x:c>
      <x:c r="C14" s="37" t="str">
        <x:v>S06; S07</x:v>
      </x:c>
      <x:c r="D14" s="29"/>
      <x:c r="E14" s="34" t="str">
        <x:v>P2</x:v>
      </x:c>
      <x:c r="F14" s="34" t="str">
        <x:v>DMK organizer, writer and legislator</x:v>
      </x:c>
      <x:c r="G14" s="39" t="n">
        <x:v>18158</x:v>
      </x:c>
      <x:c r="H14" s="39" t="n">
        <x:v>25243</x:v>
      </x:c>
    </x:row>
    <x:row r="15">
      <x:c r="A15" s="37" t="str">
        <x:v>Profession and cultural work</x:v>
      </x:c>
      <x:c r="B15" s="37" t="str">
        <x:v>Politician, screenwriter, playwright, journalist and author; founder-editorial figure of Murasoli</x:v>
      </x:c>
      <x:c r="C15" s="37" t="str">
        <x:v>S06; S07</x:v>
      </x:c>
      <x:c r="D15" s="29"/>
      <x:c r="E15" s="34" t="str">
        <x:v>P3</x:v>
      </x:c>
      <x:c r="F15" s="34" t="str">
        <x:v>First chief-ministerial era and party consolidation</x:v>
      </x:c>
      <x:c r="G15" s="39" t="n">
        <x:v>25244</x:v>
      </x:c>
      <x:c r="H15" s="39" t="n">
        <x:v>27790</x:v>
      </x:c>
    </x:row>
    <x:row r="16">
      <x:c r="A16" s="37" t="str">
        <x:v>Political identity</x:v>
      </x:c>
      <x:c r="B16" s="37" t="str">
        <x:v>Dravidian social justice, Tamil linguistic politics, state autonomy, welfare governance and coalition federalism</x:v>
      </x:c>
      <x:c r="C16" s="37" t="str">
        <x:v>S04; S05; S27</x:v>
      </x:c>
      <x:c r="D16" s="29"/>
      <x:c r="E16" s="34" t="str">
        <x:v>P4</x:v>
      </x:c>
      <x:c r="F16" s="34" t="str">
        <x:v>Opposition, MGR dominance and return</x:v>
      </x:c>
      <x:c r="G16" s="39" t="n">
        <x:v>27791</x:v>
      </x:c>
      <x:c r="H16" s="39" t="n">
        <x:v>33268</x:v>
      </x:c>
    </x:row>
    <x:row r="17">
      <x:c r="A17" s="37" t="str">
        <x:v>Career in brief</x:v>
      </x:c>
      <x:c r="B17" s="37" t="str">
        <x:v>A movement writer who became a mass-party organizer, five-term chief minister and one of India's most durable regional coalition brokers.</x:v>
      </x:c>
      <x:c r="C17" s="37" t="str">
        <x:v>S04; S06; S07</x:v>
      </x:c>
      <x:c r="D17" s="29"/>
      <x:c r="E17" s="34" t="str">
        <x:v>P5</x:v>
      </x:c>
      <x:c r="F17" s="34" t="str">
        <x:v>Dismissal, reconstruction and coalition leverage</x:v>
      </x:c>
      <x:c r="G17" s="39" t="n">
        <x:v>33269</x:v>
      </x:c>
      <x:c r="H17" s="39" t="n">
        <x:v>38849</x:v>
      </x:c>
    </x:row>
    <x:row r="18">
      <x:c r="A18" s="37" t="str">
        <x:v>Most consequential contributions</x:v>
      </x:c>
      <x:c r="B18" s="37" t="str">
        <x:v>Institutionalized Dravidian governance; advanced reservation and federalism; built durable welfare and administrative institutions; secured concrete women's-rights and Tamil-language measures.</x:v>
      </x:c>
      <x:c r="C18" s="37" t="str">
        <x:v>S10; S11; S15; S23; S25; S27</x:v>
      </x:c>
      <x:c r="D18" s="29"/>
      <x:c r="E18" s="34" t="str">
        <x:v>P6</x:v>
      </x:c>
      <x:c r="F18" s="34" t="str">
        <x:v>Minority government, succession and final years</x:v>
      </x:c>
      <x:c r="G18" s="39" t="n">
        <x:v>38850</x:v>
      </x:c>
      <x:c r="H18" s="39" t="n">
        <x:v>43319</x:v>
      </x:c>
    </x:row>
    <x:row r="19">
      <x:c r="A19" s="37" t="str">
        <x:v>Principal limitations and controversies</x:v>
      </x:c>
      <x:c r="B19" s="37" t="str">
        <x:v>Long rule became intertwined with family succession, factionalism and corruption narratives; two governments were dismissed; alliances crossed ideological boundaries; several allegations require precise procedural treatment.</x:v>
      </x:c>
      <x:c r="C19" s="37" t="str">
        <x:v>S16; S17; S19; S20; S21; S22</x:v>
      </x:c>
      <x:c r="D19" s="29"/>
      <x:c r="E19" s="29"/>
      <x:c r="F19" s="29"/>
      <x:c r="G19" s="29"/>
      <x:c r="H19" s="29"/>
    </x:row>
    <x:row r="20">
      <x:c r="A20" s="37" t="str">
        <x:v>Leadership and political method</x:v>
      </x:c>
      <x:c r="B20" s="37" t="str">
        <x:v>Daily writing, performative oratory, cadre maintenance, tactical alliance-building and centralized mediation of party factions.</x:v>
      </x:c>
      <x:c r="C20" s="37" t="str">
        <x:v>S04; S06; S22</x:v>
      </x:c>
      <x:c r="D20" s="29"/>
      <x:c r="E20" s="29"/>
      <x:c r="F20" s="29"/>
      <x:c r="G20" s="29"/>
      <x:c r="H20" s="29"/>
    </x:row>
    <x:row r="21">
      <x:c r="A21" s="37" t="str">
        <x:v>Historical significance</x:v>
      </x:c>
      <x:c r="B21" s="37" t="str">
        <x:v>Helped make regional identity, social justice and federal bargaining permanent features of Indian democratic competition.</x:v>
      </x:c>
      <x:c r="C21" s="37" t="str">
        <x:v>S04; S05; S15; S26</x:v>
      </x:c>
      <x:c r="D21" s="29"/>
      <x:c r="E21" s="29"/>
      <x:c r="F21" s="29"/>
      <x:c r="G21" s="29"/>
      <x:c r="H21" s="29"/>
    </x:row>
    <x:row r="22">
      <x:c r="A22" s="37" t="str">
        <x:v>Open or disputed questions</x:v>
      </x:c>
      <x:c r="B22" s="37" t="str">
        <x:v>The relative effects of his policies versus long-run state capacity; responsibility for party-family excesses; feasible influence over Sri Lanka; and the balance between ideological consistency and coalition pragmatism.</x:v>
      </x:c>
      <x:c r="C22" s="37" t="str">
        <x:v>S04; S05; S07; S22; S27</x:v>
      </x:c>
      <x:c r="D22" s="29"/>
      <x:c r="E22" s="29"/>
      <x:c r="F22" s="29"/>
      <x:c r="G22" s="29"/>
      <x:c r="H22" s="29"/>
    </x:row>
    <x:row r="23">
      <x:c r="A23" s="37" t="str">
        <x:v>Gender synthesis</x:v>
      </x:c>
      <x:c r="B23" s="37" t="str">
        <x:v>His career benefited from and reproduced male-dominated political institutions, but his governments also enacted significant property and representation reforms for women. Symbolic male leadership and substantive gender policy must be assessed separately.</x:v>
      </x:c>
      <x:c r="C23" s="37" t="str">
        <x:v>S10; S27</x:v>
      </x:c>
      <x:c r="D23" s="29"/>
      <x:c r="E23" s="29"/>
      <x:c r="F23" s="29"/>
      <x:c r="G23" s="29"/>
      <x:c r="H23" s="29"/>
    </x:row>
    <x:row r="24">
      <x:c r="A24" s="40" t="str">
        <x:v>Era synthesis</x:v>
      </x:c>
      <x:c r="B24" s="40" t="str">
        <x:v>His eight-decade public life crossed colonial mobilization, Congress dominance, Dravidian regionalization, Emergency centralization, MGR-era opposition, liberalization, coalition federalism and the onset of digital national-party dominance.</x:v>
      </x:c>
      <x:c r="C24" s="40" t="str">
        <x:v>S04; S05; S06; S26; S27</x:v>
      </x:c>
      <x:c r="D24" s="29"/>
      <x:c r="E24" s="29"/>
      <x:c r="F24" s="29"/>
      <x:c r="G24" s="29"/>
      <x:c r="H24" s="29"/>
    </x:row>
  </x:sheetData>
  <x:mergeCells>
    <x:mergeCell ref="E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12" hidden="0" customWidth="1"/>
    <x:col min="5" max="5" width="12" hidden="0" customWidth="1"/>
    <x:col min="6" max="6" width="38" hidden="0" customWidth="1"/>
    <x:col min="7" max="7" width="20" hidden="0" customWidth="1"/>
    <x:col min="8" max="8" width="55" hidden="0" customWidth="1"/>
    <x:col min="9" max="9" width="30" hidden="0" customWidth="1"/>
    <x:col min="10" max="10" width="40" hidden="0" customWidth="1"/>
    <x:col min="11" max="11" width="38" hidden="0" customWidth="1"/>
    <x:col min="12" max="12" width="35" hidden="0" customWidth="1"/>
    <x:col min="13" max="13" width="38" hidden="0" customWidth="1"/>
    <x:col min="14" max="14" width="35" hidden="0" customWidth="1"/>
    <x:col min="15" max="15" width="32" hidden="0" customWidth="1"/>
    <x:col min="16" max="16" width="30" hidden="0" customWidth="1"/>
    <x:col min="17" max="17" width="30" hidden="0" customWidth="1"/>
    <x:col min="18" max="18" width="32" hidden="0" customWidth="1"/>
    <x:col min="19" max="19" width="34" hidden="0" customWidth="1"/>
    <x:col min="20" max="20" width="38" hidden="0" customWidth="1"/>
    <x:col min="21" max="21" width="34" hidden="0" customWidth="1"/>
    <x:col min="22" max="22" width="16" hidden="0" customWidth="1"/>
    <x:col min="23" max="23" width="22" hidden="0" customWidth="1"/>
    <x:col min="24" max="24" width="22" hidden="0" customWidth="1"/>
    <x:col min="25" max="25" width="34" hidden="0" customWidth="1"/>
  </x:cols>
  <x:sheetData>
    <x:row r="1" ht="24" customHeight="1">
      <x:c r="A1" s="28" t="str">
        <x:v>Context and constraints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  <x:c r="W1" s="34"/>
      <x:c r="X1" s="34"/>
      <x:c r="Y1" s="34"/>
    </x:row>
    <x:row r="2" ht="28" customHeight="1">
      <x:c r="A2" s="30" t="str">
        <x:v>All ten gender and all ten era coverage items are reviewed for each of six career phases. A research gap is not evidence of absence.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  <x:c r="W2" s="34"/>
      <x:c r="X2" s="34"/>
      <x:c r="Y2" s="34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</x:row>
    <x:row r="4" ht="36" customHeight="1">
      <x:c r="A4" s="53" t="str">
        <x:v>Context ID</x:v>
      </x:c>
      <x:c r="B4" s="54" t="str">
        <x:v>Career phase</x:v>
      </x:c>
      <x:c r="C4" s="54" t="str">
        <x:v>Start date</x:v>
      </x:c>
      <x:c r="D4" s="54" t="str">
        <x:v>End date</x:v>
      </x:c>
      <x:c r="E4" s="54" t="str">
        <x:v>Coverage dimension</x:v>
      </x:c>
      <x:c r="F4" s="54" t="str">
        <x:v>Coverage question or item</x:v>
      </x:c>
      <x:c r="G4" s="54" t="str">
        <x:v>Research disposition</x:v>
      </x:c>
      <x:c r="H4" s="54" t="str">
        <x:v>Finding</x:v>
      </x:c>
      <x:c r="I4" s="54" t="str">
        <x:v>Mechanism or pathway of effect</x:v>
      </x:c>
      <x:c r="J4" s="54" t="str">
        <x:v>Political-system context</x:v>
      </x:c>
      <x:c r="K4" s="54" t="str">
        <x:v>Economic and international context</x:v>
      </x:c>
      <x:c r="L4" s="54" t="str">
        <x:v>Media and campaign environment</x:v>
      </x:c>
      <x:c r="M4" s="54" t="str">
        <x:v>Contemporary institutional constraints</x:v>
      </x:c>
      <x:c r="N4" s="54" t="str">
        <x:v>Gender relevance</x:v>
      </x:c>
      <x:c r="O4" s="54" t="str">
        <x:v>Other identity relevance</x:v>
      </x:c>
      <x:c r="P4" s="54" t="str">
        <x:v>Contemporary conditions or norm</x:v>
      </x:c>
      <x:c r="Q4" s="54" t="str">
        <x:v>Contemporary comparison group</x:v>
      </x:c>
      <x:c r="R4" s="54" t="str">
        <x:v>Contemporary assessment</x:v>
      </x:c>
      <x:c r="S4" s="54" t="str">
        <x:v>Retrospective assessment</x:v>
      </x:c>
      <x:c r="T4" s="54" t="str">
        <x:v>Presentism caution</x:v>
      </x:c>
      <x:c r="U4" s="54" t="str">
        <x:v>Evidence-environment limitation</x:v>
      </x:c>
      <x:c r="V4" s="54" t="str">
        <x:v>Claim type</x:v>
      </x:c>
      <x:c r="W4" s="54" t="str">
        <x:v>Corroboration</x:v>
      </x:c>
      <x:c r="X4" s="54" t="str">
        <x:v>Context source IDs</x:v>
      </x:c>
      <x:c r="Y4" s="55" t="str">
        <x:v>Research note</x:v>
      </x:c>
    </x:row>
    <x:row r="5" ht="60" customHeight="1">
      <x:c r="A5" s="35" t="str">
        <x:v>X001</x:v>
      </x:c>
      <x:c r="B5" s="35" t="str">
        <x:v>Formation in the Self-Respect and Dravidian movement</x:v>
      </x:c>
      <x:c r="C5" s="57" t="n">
        <x:v>13881</x:v>
      </x:c>
      <x:c r="D5" s="57" t="n">
        <x:v>18157</x:v>
      </x:c>
      <x:c r="E5" s="35" t="str">
        <x:v>Gender</x:v>
      </x:c>
      <x:c r="F5" s="35" t="str">
        <x:v>Gender 1: Entry and advancement — Did gender affect recruitment, candidacy, nominations or advancement?</x:v>
      </x:c>
      <x:c r="G5" s="35" t="str">
        <x:v>Research limitation</x:v>
      </x:c>
      <x:c r="H5" s="35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I5" s="35" t="str">
        <x:v>Party and public-sphere access</x:v>
      </x:c>
      <x:c r="J5" s="35" t="str">
        <x:v>Late-colonial Madras Presidency; Justice Party and Self-Respect mobilization challenged Congress and caste hierarchy.</x:v>
      </x:c>
      <x:c r="K5" s="35" t="str">
        <x:v>Colonial economy, wartime disruption and the first post-war transition; international context shaped by decolonization.</x:v>
      </x:c>
      <x:c r="L5" s="35" t="str">
        <x:v>Print, public meetings, street theatre and hand-circulated writing; limited broadcast access.</x:v>
      </x:c>
      <x:c r="M5" s="35" t="str">
        <x:v>Colonial franchise and provincial institutions limited access; social movements supplied alternative routes.</x:v>
      </x:c>
      <x:c r="N5" s="35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O5" s="35" t="str">
        <x:v>Caste, language, class and family networks are assessed only where evidenced.</x:v>
      </x:c>
      <x:c r="P5" s="35" t="str">
        <x:v>Patriarchal late-colonial public sphere</x:v>
      </x:c>
      <x:c r="Q5" s="35" t="str">
        <x:v>Male and female Self-Respect activists in Madras Presidency</x:v>
      </x:c>
      <x:c r="R5" s="35" t="str">
        <x:v>Contemporary coverage rarely isolated male privilege as an analytical category.</x:v>
      </x:c>
      <x:c r="S5" s="35" t="str">
        <x:v>Later gender analysis distinguishes concrete policy effects from male-dominated organization.</x:v>
      </x:c>
      <x:c r="T5" s="35" t="str">
        <x:v>Avoid projecting today's language of representation backward without losing the underlying inequality.</x:v>
      </x:c>
      <x:c r="U5" s="35" t="str">
        <x:v>Memoir and later biography dominate.</x:v>
      </x:c>
      <x:c r="V5" s="35" t="str">
        <x:v>Analysis</x:v>
      </x:c>
      <x:c r="W5" s="35" t="str">
        <x:v>Single credible source</x:v>
      </x:c>
      <x:c r="X5" s="35" t="str">
        <x:v>S06; S07; S05; S10; S27</x:v>
      </x:c>
      <x:c r="Y5" s="35" t="str">
        <x:v>Disposition reflects reviewed evidence; absence of evidence is not proof of absence.</x:v>
      </x:c>
    </x:row>
    <x:row r="6" ht="60" customHeight="1">
      <x:c r="A6" s="37" t="str">
        <x:v>X002</x:v>
      </x:c>
      <x:c r="B6" s="37" t="str">
        <x:v>Formation in the Self-Respect and Dravidian movement</x:v>
      </x:c>
      <x:c r="C6" s="58" t="n">
        <x:v>13881</x:v>
      </x:c>
      <x:c r="D6" s="58" t="n">
        <x:v>18157</x:v>
      </x:c>
      <x:c r="E6" s="37" t="str">
        <x:v>Gender</x:v>
      </x:c>
      <x:c r="F6" s="37" t="str">
        <x:v>Gender 2: Milestones — Were there gender-related firsts or representative milestones?</x:v>
      </x:c>
      <x:c r="G6" s="37" t="str">
        <x:v>Not materially relevant</x:v>
      </x:c>
      <x:c r="H6" s="37" t="str">
        <x:v>No gender-related first attached to Karunanidhi's own offices in this phase. The relevant milestone question concerns policies or the underrepresentation of women around him, not his descriptive representation.</x:v>
      </x:c>
      <x:c r="I6" s="37" t="str">
        <x:v>No personal milestone</x:v>
      </x:c>
      <x:c r="J6" s="37" t="str">
        <x:v>Late-colonial Madras Presidency; Justice Party and Self-Respect mobilization challenged Congress and caste hierarchy.</x:v>
      </x:c>
      <x:c r="K6" s="37" t="str">
        <x:v>Colonial economy, wartime disruption and the first post-war transition; international context shaped by decolonization.</x:v>
      </x:c>
      <x:c r="L6" s="37" t="str">
        <x:v>Print, public meetings, street theatre and hand-circulated writing; limited broadcast access.</x:v>
      </x:c>
      <x:c r="M6" s="37" t="str">
        <x:v>Colonial franchise and provincial institutions limited access; social movements supplied alternative routes.</x:v>
      </x:c>
      <x:c r="N6" s="37" t="str">
        <x:v>No gender-related first attached to Karunanidhi's own offices in this phase. The relevant milestone question concerns policies or the underrepresentation of women around him, not his descriptive representation.</x:v>
      </x:c>
      <x:c r="O6" s="37" t="str">
        <x:v>Caste, language, class and family networks are assessed only where evidenced.</x:v>
      </x:c>
      <x:c r="P6" s="37" t="str">
        <x:v>Patriarchal late-colonial public sphere</x:v>
      </x:c>
      <x:c r="Q6" s="37" t="str">
        <x:v>Male and female Self-Respect activists in Madras Presidency</x:v>
      </x:c>
      <x:c r="R6" s="37" t="str">
        <x:v>Contemporary coverage rarely isolated male privilege as an analytical category.</x:v>
      </x:c>
      <x:c r="S6" s="37" t="str">
        <x:v>Later gender analysis distinguishes concrete policy effects from male-dominated organization.</x:v>
      </x:c>
      <x:c r="T6" s="37" t="str">
        <x:v>Avoid projecting today's language of representation backward without losing the underlying inequality.</x:v>
      </x:c>
      <x:c r="U6" s="37" t="str">
        <x:v>Memoir and later biography dominate.</x:v>
      </x:c>
      <x:c r="V6" s="37" t="str">
        <x:v>Analysis</x:v>
      </x:c>
      <x:c r="W6" s="37" t="str">
        <x:v>Multiple independent sources</x:v>
      </x:c>
      <x:c r="X6" s="37" t="str">
        <x:v>S06; S07; S05; S10; S27</x:v>
      </x:c>
      <x:c r="Y6" s="37" t="str">
        <x:v>Disposition reflects reviewed evidence; absence of evidence is not proof of absence.</x:v>
      </x:c>
    </x:row>
    <x:row r="7" ht="60" customHeight="1">
      <x:c r="A7" s="37" t="str">
        <x:v>X003</x:v>
      </x:c>
      <x:c r="B7" s="37" t="str">
        <x:v>Formation in the Self-Respect and Dravidian movement</x:v>
      </x:c>
      <x:c r="C7" s="58" t="n">
        <x:v>13881</x:v>
      </x:c>
      <x:c r="D7" s="58" t="n">
        <x:v>18157</x:v>
      </x:c>
      <x:c r="E7" s="37" t="str">
        <x:v>Gender</x:v>
      </x:c>
      <x:c r="F7" s="37" t="str">
        <x:v>Gender 3: Networks and pathways — Did family, patronage, marriage or mentorship operate through gendered pathways?</x:v>
      </x:c>
      <x:c r="G7" s="37" t="str">
        <x:v>Research limitation</x:v>
      </x:c>
      <x:c r="H7" s="37" t="str">
        <x:v>Mentorship and male cadre networks were central, but accessible evidence does not permit a clean gender-causal estimate. His Self-Respect marriage practice had ideological meaning, yet marriage was not his primary route into politics.</x:v>
      </x:c>
      <x:c r="I7" s="37" t="str">
        <x:v>Networks and succession</x:v>
      </x:c>
      <x:c r="J7" s="37" t="str">
        <x:v>Late-colonial Madras Presidency; Justice Party and Self-Respect mobilization challenged Congress and caste hierarchy.</x:v>
      </x:c>
      <x:c r="K7" s="37" t="str">
        <x:v>Colonial economy, wartime disruption and the first post-war transition; international context shaped by decolonization.</x:v>
      </x:c>
      <x:c r="L7" s="37" t="str">
        <x:v>Print, public meetings, street theatre and hand-circulated writing; limited broadcast access.</x:v>
      </x:c>
      <x:c r="M7" s="37" t="str">
        <x:v>Colonial franchise and provincial institutions limited access; social movements supplied alternative routes.</x:v>
      </x:c>
      <x:c r="N7" s="37" t="str">
        <x:v>Mentorship and male cadre networks were central, but accessible evidence does not permit a clean gender-causal estimate. His Self-Respect marriage practice had ideological meaning, yet marriage was not his primary route into politics.</x:v>
      </x:c>
      <x:c r="O7" s="37" t="str">
        <x:v>Caste, language, class and family networks are assessed only where evidenced.</x:v>
      </x:c>
      <x:c r="P7" s="37" t="str">
        <x:v>Patriarchal late-colonial public sphere</x:v>
      </x:c>
      <x:c r="Q7" s="37" t="str">
        <x:v>Male and female Self-Respect activists in Madras Presidency</x:v>
      </x:c>
      <x:c r="R7" s="37" t="str">
        <x:v>Contemporary coverage rarely isolated male privilege as an analytical category.</x:v>
      </x:c>
      <x:c r="S7" s="37" t="str">
        <x:v>Later gender analysis distinguishes concrete policy effects from male-dominated organization.</x:v>
      </x:c>
      <x:c r="T7" s="37" t="str">
        <x:v>Avoid projecting today's language of representation backward without losing the underlying inequality.</x:v>
      </x:c>
      <x:c r="U7" s="37" t="str">
        <x:v>Memoir and later biography dominate.</x:v>
      </x:c>
      <x:c r="V7" s="37" t="str">
        <x:v>Analysis</x:v>
      </x:c>
      <x:c r="W7" s="37" t="str">
        <x:v>Single credible source</x:v>
      </x:c>
      <x:c r="X7" s="37" t="str">
        <x:v>S06; S07; S05; S10; S27</x:v>
      </x:c>
      <x:c r="Y7" s="37" t="str">
        <x:v>Disposition reflects reviewed evidence; absence of evidence is not proof of absence.</x:v>
      </x:c>
    </x:row>
    <x:row r="8" ht="60" customHeight="1">
      <x:c r="A8" s="37" t="str">
        <x:v>X004</x:v>
      </x:c>
      <x:c r="B8" s="37" t="str">
        <x:v>Formation in the Self-Respect and Dravidian movement</x:v>
      </x:c>
      <x:c r="C8" s="58" t="n">
        <x:v>13881</x:v>
      </x:c>
      <x:c r="D8" s="58" t="n">
        <x:v>18157</x:v>
      </x:c>
      <x:c r="E8" s="37" t="str">
        <x:v>Gender</x:v>
      </x:c>
      <x:c r="F8" s="37" t="str">
        <x:v>Gender 4: Role and portfolio allocation — Did gender expectations affect offices or portfolios?</x:v>
      </x:c>
      <x:c r="G8" s="37" t="str">
        <x:v>Research limitation</x:v>
      </x:c>
      <x:c r="H8" s="37" t="str">
        <x:v>The movement assigned major writing, speaking and organizational authority mostly to men; sources document the pattern more clearly than a personal allocation decision.</x:v>
      </x:c>
      <x:c r="I8" s="37" t="str">
        <x:v>Leadership allocation</x:v>
      </x:c>
      <x:c r="J8" s="37" t="str">
        <x:v>Late-colonial Madras Presidency; Justice Party and Self-Respect mobilization challenged Congress and caste hierarchy.</x:v>
      </x:c>
      <x:c r="K8" s="37" t="str">
        <x:v>Colonial economy, wartime disruption and the first post-war transition; international context shaped by decolonization.</x:v>
      </x:c>
      <x:c r="L8" s="37" t="str">
        <x:v>Print, public meetings, street theatre and hand-circulated writing; limited broadcast access.</x:v>
      </x:c>
      <x:c r="M8" s="37" t="str">
        <x:v>Colonial franchise and provincial institutions limited access; social movements supplied alternative routes.</x:v>
      </x:c>
      <x:c r="N8" s="37" t="str">
        <x:v>The movement assigned major writing, speaking and organizational authority mostly to men; sources document the pattern more clearly than a personal allocation decision.</x:v>
      </x:c>
      <x:c r="O8" s="37" t="str">
        <x:v>Caste, language, class and family networks are assessed only where evidenced.</x:v>
      </x:c>
      <x:c r="P8" s="37" t="str">
        <x:v>Patriarchal late-colonial public sphere</x:v>
      </x:c>
      <x:c r="Q8" s="37" t="str">
        <x:v>Male and female Self-Respect activists in Madras Presidency</x:v>
      </x:c>
      <x:c r="R8" s="37" t="str">
        <x:v>Contemporary coverage rarely isolated male privilege as an analytical category.</x:v>
      </x:c>
      <x:c r="S8" s="37" t="str">
        <x:v>Later gender analysis distinguishes concrete policy effects from male-dominated organization.</x:v>
      </x:c>
      <x:c r="T8" s="37" t="str">
        <x:v>Avoid projecting today's language of representation backward without losing the underlying inequality.</x:v>
      </x:c>
      <x:c r="U8" s="37" t="str">
        <x:v>Memoir and later biography dominate.</x:v>
      </x:c>
      <x:c r="V8" s="37" t="str">
        <x:v>Analysis</x:v>
      </x:c>
      <x:c r="W8" s="37" t="str">
        <x:v>Single credible source</x:v>
      </x:c>
      <x:c r="X8" s="37" t="str">
        <x:v>S06; S07; S05; S10; S27</x:v>
      </x:c>
      <x:c r="Y8" s="37" t="str">
        <x:v>Disposition reflects reviewed evidence; absence of evidence is not proof of absence.</x:v>
      </x:c>
    </x:row>
    <x:row r="9" ht="60" customHeight="1">
      <x:c r="A9" s="37" t="str">
        <x:v>X005</x:v>
      </x:c>
      <x:c r="B9" s="37" t="str">
        <x:v>Formation in the Self-Respect and Dravidian movement</x:v>
      </x:c>
      <x:c r="C9" s="58" t="n">
        <x:v>13881</x:v>
      </x:c>
      <x:c r="D9" s="58" t="n">
        <x:v>18157</x:v>
      </x:c>
      <x:c r="E9" s="37" t="str">
        <x:v>Gender</x:v>
      </x:c>
      <x:c r="F9" s="37" t="str">
        <x:v>Gender 5: Campaign and media treatment — Was treatment materially gendered?</x:v>
      </x:c>
      <x:c r="G9" s="37" t="str">
        <x:v>Evidence not found</x:v>
      </x:c>
      <x:c r="H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I9" s="37" t="str">
        <x:v>Media treatment</x:v>
      </x:c>
      <x:c r="J9" s="37" t="str">
        <x:v>Late-colonial Madras Presidency; Justice Party and Self-Respect mobilization challenged Congress and caste hierarchy.</x:v>
      </x:c>
      <x:c r="K9" s="37" t="str">
        <x:v>Colonial economy, wartime disruption and the first post-war transition; international context shaped by decolonization.</x:v>
      </x:c>
      <x:c r="L9" s="37" t="str">
        <x:v>Print, public meetings, street theatre and hand-circulated writing; limited broadcast access.</x:v>
      </x:c>
      <x:c r="M9" s="37" t="str">
        <x:v>Colonial franchise and provincial institutions limited access; social movements supplied alternative routes.</x:v>
      </x:c>
      <x:c r="N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O9" s="37" t="str">
        <x:v>Caste, language, class and family networks are assessed only where evidenced.</x:v>
      </x:c>
      <x:c r="P9" s="37" t="str">
        <x:v>Patriarchal late-colonial public sphere</x:v>
      </x:c>
      <x:c r="Q9" s="37" t="str">
        <x:v>Male and female Self-Respect activists in Madras Presidency</x:v>
      </x:c>
      <x:c r="R9" s="37" t="str">
        <x:v>Contemporary coverage rarely isolated male privilege as an analytical category.</x:v>
      </x:c>
      <x:c r="S9" s="37" t="str">
        <x:v>Later gender analysis distinguishes concrete policy effects from male-dominated organization.</x:v>
      </x:c>
      <x:c r="T9" s="37" t="str">
        <x:v>Avoid projecting today's language of representation backward without losing the underlying inequality.</x:v>
      </x:c>
      <x:c r="U9" s="37" t="str">
        <x:v>Memoir and later biography dominate.</x:v>
      </x:c>
      <x:c r="V9" s="37" t="str">
        <x:v>Disputed/uncertain</x:v>
      </x:c>
      <x:c r="W9" s="37" t="str">
        <x:v>Single credible source</x:v>
      </x:c>
      <x:c r="X9" s="37" t="str">
        <x:v>S06; S07; S05; S10; S27</x:v>
      </x:c>
      <x:c r="Y9" s="37" t="str">
        <x:v>Disposition reflects reviewed evidence; absence of evidence is not proof of absence.</x:v>
      </x:c>
    </x:row>
    <x:row r="10" ht="60" customHeight="1">
      <x:c r="A10" s="37" t="str">
        <x:v>X006</x:v>
      </x:c>
      <x:c r="B10" s="37" t="str">
        <x:v>Formation in the Self-Respect and Dravidian movement</x:v>
      </x:c>
      <x:c r="C10" s="58" t="n">
        <x:v>13881</x:v>
      </x:c>
      <x:c r="D10" s="58" t="n">
        <x:v>18157</x:v>
      </x:c>
      <x:c r="E10" s="37" t="str">
        <x:v>Gender</x:v>
      </x:c>
      <x:c r="F10" s="37" t="str">
        <x:v>Gender 6: Threats and security — Were threats, violence or mobility constraints gender-specific?</x:v>
      </x:c>
      <x:c r="G10" s="37" t="str">
        <x:v>Not materially relevant</x:v>
      </x:c>
      <x:c r="H10" s="37" t="str">
        <x:v>Karunanidhi faced arrest, protest violence and security risks, but reviewed evidence treats them as partisan, state or ethnic-political risks rather than gender-specific threats.</x:v>
      </x:c>
      <x:c r="I10" s="37" t="str">
        <x:v>Threat mechanism not gender-specific</x:v>
      </x:c>
      <x:c r="J10" s="37" t="str">
        <x:v>Late-colonial Madras Presidency; Justice Party and Self-Respect mobilization challenged Congress and caste hierarchy.</x:v>
      </x:c>
      <x:c r="K10" s="37" t="str">
        <x:v>Colonial economy, wartime disruption and the first post-war transition; international context shaped by decolonization.</x:v>
      </x:c>
      <x:c r="L10" s="37" t="str">
        <x:v>Print, public meetings, street theatre and hand-circulated writing; limited broadcast access.</x:v>
      </x:c>
      <x:c r="M10" s="37" t="str">
        <x:v>Colonial franchise and provincial institutions limited access; social movements supplied alternative routes.</x:v>
      </x:c>
      <x:c r="N10" s="37" t="str">
        <x:v>Karunanidhi faced arrest, protest violence and security risks, but reviewed evidence treats them as partisan, state or ethnic-political risks rather than gender-specific threats.</x:v>
      </x:c>
      <x:c r="O10" s="37" t="str">
        <x:v>Caste, language, class and family networks are assessed only where evidenced.</x:v>
      </x:c>
      <x:c r="P10" s="37" t="str">
        <x:v>Patriarchal late-colonial public sphere</x:v>
      </x:c>
      <x:c r="Q10" s="37" t="str">
        <x:v>Male and female Self-Respect activists in Madras Presidency</x:v>
      </x:c>
      <x:c r="R10" s="37" t="str">
        <x:v>Contemporary coverage rarely isolated male privilege as an analytical category.</x:v>
      </x:c>
      <x:c r="S10" s="37" t="str">
        <x:v>Later gender analysis distinguishes concrete policy effects from male-dominated organization.</x:v>
      </x:c>
      <x:c r="T10" s="37" t="str">
        <x:v>Avoid projecting today's language of representation backward without losing the underlying inequality.</x:v>
      </x:c>
      <x:c r="U10" s="37" t="str">
        <x:v>Memoir and later biography dominate.</x:v>
      </x:c>
      <x:c r="V10" s="37" t="str">
        <x:v>Analysis</x:v>
      </x:c>
      <x:c r="W10" s="37" t="str">
        <x:v>Multiple independent sources</x:v>
      </x:c>
      <x:c r="X10" s="37" t="str">
        <x:v>S06; S07; S05; S10; S27</x:v>
      </x:c>
      <x:c r="Y10" s="37" t="str">
        <x:v>Disposition reflects reviewed evidence; absence of evidence is not proof of absence.</x:v>
      </x:c>
    </x:row>
    <x:row r="11" ht="60" customHeight="1">
      <x:c r="A11" s="37" t="str">
        <x:v>X007</x:v>
      </x:c>
      <x:c r="B11" s="37" t="str">
        <x:v>Formation in the Self-Respect and Dravidian movement</x:v>
      </x:c>
      <x:c r="C11" s="58" t="n">
        <x:v>13881</x:v>
      </x:c>
      <x:c r="D11" s="58" t="n">
        <x:v>18157</x:v>
      </x:c>
      <x:c r="E11" s="37" t="str">
        <x:v>Gender</x:v>
      </x:c>
      <x:c r="F11" s="37" t="str">
        <x:v>Gender 7: Gender policy and organizations — What gender-related laws, policies or organizational links existed?</x:v>
      </x:c>
      <x:c r="G11" s="37" t="str">
        <x:v>Not materially relevant</x:v>
      </x:c>
      <x:c r="H11" s="37" t="str">
        <x:v>He used Self-Respect reform themes, including critique of patriarchal ritual, but no governmental gender-policy authority applied in this phase.</x:v>
      </x:c>
      <x:c r="I11" s="37" t="str">
        <x:v>Law and policy</x:v>
      </x:c>
      <x:c r="J11" s="37" t="str">
        <x:v>Late-colonial Madras Presidency; Justice Party and Self-Respect mobilization challenged Congress and caste hierarchy.</x:v>
      </x:c>
      <x:c r="K11" s="37" t="str">
        <x:v>Colonial economy, wartime disruption and the first post-war transition; international context shaped by decolonization.</x:v>
      </x:c>
      <x:c r="L11" s="37" t="str">
        <x:v>Print, public meetings, street theatre and hand-circulated writing; limited broadcast access.</x:v>
      </x:c>
      <x:c r="M11" s="37" t="str">
        <x:v>Colonial franchise and provincial institutions limited access; social movements supplied alternative routes.</x:v>
      </x:c>
      <x:c r="N11" s="37" t="str">
        <x:v>He used Self-Respect reform themes, including critique of patriarchal ritual, but no governmental gender-policy authority applied in this phase.</x:v>
      </x:c>
      <x:c r="O11" s="37" t="str">
        <x:v>Caste, language, class and family networks are assessed only where evidenced.</x:v>
      </x:c>
      <x:c r="P11" s="37" t="str">
        <x:v>Patriarchal late-colonial public sphere</x:v>
      </x:c>
      <x:c r="Q11" s="37" t="str">
        <x:v>Male and female Self-Respect activists in Madras Presidency</x:v>
      </x:c>
      <x:c r="R11" s="37" t="str">
        <x:v>Contemporary coverage rarely isolated male privilege as an analytical category.</x:v>
      </x:c>
      <x:c r="S11" s="37" t="str">
        <x:v>Later gender analysis distinguishes concrete policy effects from male-dominated organization.</x:v>
      </x:c>
      <x:c r="T11" s="37" t="str">
        <x:v>Avoid projecting today's language of representation backward without losing the underlying inequality.</x:v>
      </x:c>
      <x:c r="U11" s="37" t="str">
        <x:v>Memoir and later biography dominate.</x:v>
      </x:c>
      <x:c r="V11" s="37" t="str">
        <x:v>Analysis</x:v>
      </x:c>
      <x:c r="W11" s="37" t="str">
        <x:v>Multiple independent sources</x:v>
      </x:c>
      <x:c r="X11" s="37" t="str">
        <x:v>S06; S07; S05; S10; S27</x:v>
      </x:c>
      <x:c r="Y11" s="37" t="str">
        <x:v>Disposition reflects reviewed evidence; absence of evidence is not proof of absence.</x:v>
      </x:c>
    </x:row>
    <x:row r="12" ht="60" customHeight="1">
      <x:c r="A12" s="37" t="str">
        <x:v>X008</x:v>
      </x:c>
      <x:c r="B12" s="37" t="str">
        <x:v>Formation in the Self-Respect and Dravidian movement</x:v>
      </x:c>
      <x:c r="C12" s="58" t="n">
        <x:v>13881</x:v>
      </x:c>
      <x:c r="D12" s="58" t="n">
        <x:v>18157</x:v>
      </x:c>
      <x:c r="E12" s="37" t="str">
        <x:v>Gender</x:v>
      </x:c>
      <x:c r="F12" s="37" t="str">
        <x:v>Gender 8: Political use of identity — Was masculinity or gender identity strategically mobilized?</x:v>
      </x:c>
      <x:c r="G12" s="37" t="str">
        <x:v>Research limitation</x:v>
      </x:c>
      <x:c r="H1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I12" s="37" t="str">
        <x:v>Implicit leadership norms</x:v>
      </x:c>
      <x:c r="J12" s="37" t="str">
        <x:v>Late-colonial Madras Presidency; Justice Party and Self-Respect mobilization challenged Congress and caste hierarchy.</x:v>
      </x:c>
      <x:c r="K12" s="37" t="str">
        <x:v>Colonial economy, wartime disruption and the first post-war transition; international context shaped by decolonization.</x:v>
      </x:c>
      <x:c r="L12" s="37" t="str">
        <x:v>Print, public meetings, street theatre and hand-circulated writing; limited broadcast access.</x:v>
      </x:c>
      <x:c r="M12" s="37" t="str">
        <x:v>Colonial franchise and provincial institutions limited access; social movements supplied alternative routes.</x:v>
      </x:c>
      <x:c r="N1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O12" s="37" t="str">
        <x:v>Caste, language, class and family networks are assessed only where evidenced.</x:v>
      </x:c>
      <x:c r="P12" s="37" t="str">
        <x:v>Patriarchal late-colonial public sphere</x:v>
      </x:c>
      <x:c r="Q12" s="37" t="str">
        <x:v>Male and female Self-Respect activists in Madras Presidency</x:v>
      </x:c>
      <x:c r="R12" s="37" t="str">
        <x:v>Contemporary coverage rarely isolated male privilege as an analytical category.</x:v>
      </x:c>
      <x:c r="S12" s="37" t="str">
        <x:v>Later gender analysis distinguishes concrete policy effects from male-dominated organization.</x:v>
      </x:c>
      <x:c r="T12" s="37" t="str">
        <x:v>Avoid projecting today's language of representation backward without losing the underlying inequality.</x:v>
      </x:c>
      <x:c r="U12" s="37" t="str">
        <x:v>Memoir and later biography dominate.</x:v>
      </x:c>
      <x:c r="V12" s="37" t="str">
        <x:v>Analysis</x:v>
      </x:c>
      <x:c r="W12" s="37" t="str">
        <x:v>Single credible source</x:v>
      </x:c>
      <x:c r="X12" s="37" t="str">
        <x:v>S06; S07; S05; S10; S27</x:v>
      </x:c>
      <x:c r="Y12" s="37" t="str">
        <x:v>Disposition reflects reviewed evidence; absence of evidence is not proof of absence.</x:v>
      </x:c>
    </x:row>
    <x:row r="13" ht="60" customHeight="1">
      <x:c r="A13" s="37" t="str">
        <x:v>X009</x:v>
      </x:c>
      <x:c r="B13" s="37" t="str">
        <x:v>Formation in the Self-Respect and Dravidian movement</x:v>
      </x:c>
      <x:c r="C13" s="58" t="n">
        <x:v>13881</x:v>
      </x:c>
      <x:c r="D13" s="58" t="n">
        <x:v>18157</x:v>
      </x:c>
      <x:c r="E13" s="37" t="str">
        <x:v>Gender</x:v>
      </x:c>
      <x:c r="F13" s="37" t="str">
        <x:v>Gender 9: Representation and effects — What symbolic, descriptive or substantive gender effects followed?</x:v>
      </x:c>
      <x:c r="G13" s="37" t="str">
        <x:v>Not materially relevant</x:v>
      </x:c>
      <x:c r="H13" s="37" t="str">
        <x:v>No defensible substantive gender effect follows from his personal presence alone in this phase.</x:v>
      </x:c>
      <x:c r="I13" s="37" t="str">
        <x:v>Separate descriptive and substantive effects</x:v>
      </x:c>
      <x:c r="J13" s="37" t="str">
        <x:v>Late-colonial Madras Presidency; Justice Party and Self-Respect mobilization challenged Congress and caste hierarchy.</x:v>
      </x:c>
      <x:c r="K13" s="37" t="str">
        <x:v>Colonial economy, wartime disruption and the first post-war transition; international context shaped by decolonization.</x:v>
      </x:c>
      <x:c r="L13" s="37" t="str">
        <x:v>Print, public meetings, street theatre and hand-circulated writing; limited broadcast access.</x:v>
      </x:c>
      <x:c r="M13" s="37" t="str">
        <x:v>Colonial franchise and provincial institutions limited access; social movements supplied alternative routes.</x:v>
      </x:c>
      <x:c r="N13" s="37" t="str">
        <x:v>No defensible substantive gender effect follows from his personal presence alone in this phase.</x:v>
      </x:c>
      <x:c r="O13" s="37" t="str">
        <x:v>Caste, language, class and family networks are assessed only where evidenced.</x:v>
      </x:c>
      <x:c r="P13" s="37" t="str">
        <x:v>Patriarchal late-colonial public sphere</x:v>
      </x:c>
      <x:c r="Q13" s="37" t="str">
        <x:v>Male and female Self-Respect activists in Madras Presidency</x:v>
      </x:c>
      <x:c r="R13" s="37" t="str">
        <x:v>Contemporary coverage rarely isolated male privilege as an analytical category.</x:v>
      </x:c>
      <x:c r="S13" s="37" t="str">
        <x:v>Later gender analysis distinguishes concrete policy effects from male-dominated organization.</x:v>
      </x:c>
      <x:c r="T13" s="37" t="str">
        <x:v>Avoid projecting today's language of representation backward without losing the underlying inequality.</x:v>
      </x:c>
      <x:c r="U13" s="37" t="str">
        <x:v>Memoir and later biography dominate.</x:v>
      </x:c>
      <x:c r="V13" s="37" t="str">
        <x:v>Analysis</x:v>
      </x:c>
      <x:c r="W13" s="37" t="str">
        <x:v>Multiple independent sources</x:v>
      </x:c>
      <x:c r="X13" s="37" t="str">
        <x:v>S06; S07; S05; S10; S27</x:v>
      </x:c>
      <x:c r="Y13" s="37" t="str">
        <x:v>Disposition reflects reviewed evidence; absence of evidence is not proof of absence.</x:v>
      </x:c>
    </x:row>
    <x:row r="14" ht="60" customHeight="1">
      <x:c r="A14" s="37" t="str">
        <x:v>X010</x:v>
      </x:c>
      <x:c r="B14" s="37" t="str">
        <x:v>Formation in the Self-Respect and Dravidian movement</x:v>
      </x:c>
      <x:c r="C14" s="58" t="n">
        <x:v>13881</x:v>
      </x:c>
      <x:c r="D14" s="58" t="n">
        <x:v>18157</x:v>
      </x:c>
      <x:c r="E14" s="37" t="str">
        <x:v>Gender</x:v>
      </x:c>
      <x:c r="F14" s="37" t="str">
        <x:v>Gender 10: Assessment over time — How have gender assessments changed?</x:v>
      </x:c>
      <x:c r="G14" s="37" t="str">
        <x:v>Material finding</x:v>
      </x:c>
      <x:c r="H1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I14" s="37" t="str">
        <x:v>Retrospective reframing</x:v>
      </x:c>
      <x:c r="J14" s="37" t="str">
        <x:v>Late-colonial Madras Presidency; Justice Party and Self-Respect mobilization challenged Congress and caste hierarchy.</x:v>
      </x:c>
      <x:c r="K14" s="37" t="str">
        <x:v>Colonial economy, wartime disruption and the first post-war transition; international context shaped by decolonization.</x:v>
      </x:c>
      <x:c r="L14" s="37" t="str">
        <x:v>Print, public meetings, street theatre and hand-circulated writing; limited broadcast access.</x:v>
      </x:c>
      <x:c r="M14" s="37" t="str">
        <x:v>Colonial franchise and provincial institutions limited access; social movements supplied alternative routes.</x:v>
      </x:c>
      <x:c r="N1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O14" s="37" t="str">
        <x:v>Caste, language, class and family networks are assessed only where evidenced.</x:v>
      </x:c>
      <x:c r="P14" s="37" t="str">
        <x:v>Patriarchal late-colonial public sphere</x:v>
      </x:c>
      <x:c r="Q14" s="37" t="str">
        <x:v>Male and female Self-Respect activists in Madras Presidency</x:v>
      </x:c>
      <x:c r="R14" s="37" t="str">
        <x:v>Contemporary coverage rarely isolated male privilege as an analytical category.</x:v>
      </x:c>
      <x:c r="S14" s="37" t="str">
        <x:v>Later gender analysis distinguishes concrete policy effects from male-dominated organization.</x:v>
      </x:c>
      <x:c r="T14" s="37" t="str">
        <x:v>Avoid projecting today's language of representation backward without losing the underlying inequality.</x:v>
      </x:c>
      <x:c r="U14" s="37" t="str">
        <x:v>Memoir and later biography dominate.</x:v>
      </x:c>
      <x:c r="V14" s="37" t="str">
        <x:v>Analysis</x:v>
      </x:c>
      <x:c r="W14" s="37" t="str">
        <x:v>Single credible source</x:v>
      </x:c>
      <x:c r="X14" s="37" t="str">
        <x:v>S06; S07; S05; S10; S27</x:v>
      </x:c>
      <x:c r="Y14" s="37" t="str">
        <x:v>Disposition reflects reviewed evidence; absence of evidence is not proof of absence.</x:v>
      </x:c>
    </x:row>
    <x:row r="15" ht="60" customHeight="1">
      <x:c r="A15" s="37" t="str">
        <x:v>X011</x:v>
      </x:c>
      <x:c r="B15" s="37" t="str">
        <x:v>Formation in the Self-Respect and Dravidian movement</x:v>
      </x:c>
      <x:c r="C15" s="58" t="n">
        <x:v>13881</x:v>
      </x:c>
      <x:c r="D15" s="58" t="n">
        <x:v>18157</x:v>
      </x:c>
      <x:c r="E15" s="37" t="str">
        <x:v>Era</x:v>
      </x:c>
      <x:c r="F15" s="37" t="str">
        <x:v>Era 1: Party system — What party system structured opportunity and constraint?</x:v>
      </x:c>
      <x:c r="G15" s="37" t="str">
        <x:v>Material finding</x:v>
      </x:c>
      <x:c r="H15" s="37" t="str">
        <x:v>Late-colonial Madras Presidency; Justice Party and Self-Respect mobilization challenged Congress and caste hierarchy.</x:v>
      </x:c>
      <x:c r="I15" s="37" t="str">
        <x:v>Party competition and alliance structure</x:v>
      </x:c>
      <x:c r="J15" s="37" t="str">
        <x:v>Late-colonial Madras Presidency; Justice Party and Self-Respect mobilization challenged Congress and caste hierarchy.</x:v>
      </x:c>
      <x:c r="K15" s="37" t="str">
        <x:v>Colonial economy, wartime disruption and the first post-war transition; international context shaped by decolonization.</x:v>
      </x:c>
      <x:c r="L15" s="37" t="str">
        <x:v>Print, public meetings, street theatre and hand-circulated writing; limited broadcast access.</x:v>
      </x:c>
      <x:c r="M15" s="37" t="str">
        <x:v>Colonial franchise and provincial institutions limited access; social movements supplied alternative routes.</x:v>
      </x:c>
      <x:c r="N15" s="37" t="str">
        <x:v>Gender norms affected access and representation but were rarely the sole driver.</x:v>
      </x:c>
      <x:c r="O15" s="37" t="str">
        <x:v>Language, caste, region and class were often more explicit axes of mobilization.</x:v>
      </x:c>
      <x:c r="P15" s="37" t="str">
        <x:v>Conditions stated in finding</x:v>
      </x:c>
      <x:c r="Q15" s="37" t="str">
        <x:v>Justice Party, Congress and Self-Respect leaders</x:v>
      </x:c>
      <x:c r="R15" s="37" t="str">
        <x:v>Assessment reconstructed from phase-specific records.</x:v>
      </x:c>
      <x:c r="S15" s="37" t="str">
        <x:v>Later scholarship evaluates institutional and distributional consequences.</x:v>
      </x:c>
      <x:c r="T15" s="37" t="str">
        <x:v>Use contemporaneous territorial names, feasible alternatives and institutional powers; context does not excuse rights violations or corruption.</x:v>
      </x:c>
      <x:c r="U15" s="37" t="str">
        <x:v>Digitization and source balance vary by phase.</x:v>
      </x:c>
      <x:c r="V15" s="37" t="str">
        <x:v>Analysis</x:v>
      </x:c>
      <x:c r="W15" s="37" t="str">
        <x:v>Multiple independent sources</x:v>
      </x:c>
      <x:c r="X15" s="37" t="str">
        <x:v>S06; S07; S05</x:v>
      </x:c>
      <x:c r="Y15" s="37" t="str">
        <x:v>Broad phase synthesis; event-specific claims use narrower sources elsewhere.</x:v>
      </x:c>
    </x:row>
    <x:row r="16" ht="60" customHeight="1">
      <x:c r="A16" s="37" t="str">
        <x:v>X012</x:v>
      </x:c>
      <x:c r="B16" s="37" t="str">
        <x:v>Formation in the Self-Respect and Dravidian movement</x:v>
      </x:c>
      <x:c r="C16" s="58" t="n">
        <x:v>13881</x:v>
      </x:c>
      <x:c r="D16" s="58" t="n">
        <x:v>18157</x:v>
      </x:c>
      <x:c r="E16" s="37" t="str">
        <x:v>Era</x:v>
      </x:c>
      <x:c r="F16" s="37" t="str">
        <x:v>Era 2: Constitutional and institutional environment — What was the executive, judicial, federal and civil-liberties setting?</x:v>
      </x:c>
      <x:c r="G16" s="37" t="str">
        <x:v>Material finding</x:v>
      </x:c>
      <x:c r="H16" s="37" t="str">
        <x:v>Colonial franchise and provincial institutions limited access; social movements supplied alternative routes.</x:v>
      </x:c>
      <x:c r="I16" s="37" t="str">
        <x:v>Constitutional opportunity and constraint</x:v>
      </x:c>
      <x:c r="J16" s="37" t="str">
        <x:v>Late-colonial Madras Presidency; Justice Party and Self-Respect mobilization challenged Congress and caste hierarchy.</x:v>
      </x:c>
      <x:c r="K16" s="37" t="str">
        <x:v>Colonial economy, wartime disruption and the first post-war transition; international context shaped by decolonization.</x:v>
      </x:c>
      <x:c r="L16" s="37" t="str">
        <x:v>Print, public meetings, street theatre and hand-circulated writing; limited broadcast access.</x:v>
      </x:c>
      <x:c r="M16" s="37" t="str">
        <x:v>Colonial franchise and provincial institutions limited access; social movements supplied alternative routes.</x:v>
      </x:c>
      <x:c r="N16" s="37" t="str">
        <x:v>Gender norms affected access and representation but were rarely the sole driver.</x:v>
      </x:c>
      <x:c r="O16" s="37" t="str">
        <x:v>Language, caste, region and class were often more explicit axes of mobilization.</x:v>
      </x:c>
      <x:c r="P16" s="37" t="str">
        <x:v>Conditions stated in finding</x:v>
      </x:c>
      <x:c r="Q16" s="37" t="str">
        <x:v>Justice Party, Congress and Self-Respect leaders</x:v>
      </x:c>
      <x:c r="R16" s="37" t="str">
        <x:v>Assessment reconstructed from phase-specific records.</x:v>
      </x:c>
      <x:c r="S16" s="37" t="str">
        <x:v>Later scholarship evaluates institutional and distributional consequences.</x:v>
      </x:c>
      <x:c r="T16" s="37" t="str">
        <x:v>Use contemporaneous territorial names, feasible alternatives and institutional powers; context does not excuse rights violations or corruption.</x:v>
      </x:c>
      <x:c r="U16" s="37" t="str">
        <x:v>Digitization and source balance vary by phase.</x:v>
      </x:c>
      <x:c r="V16" s="37" t="str">
        <x:v>Analysis</x:v>
      </x:c>
      <x:c r="W16" s="37" t="str">
        <x:v>Multiple independent sources</x:v>
      </x:c>
      <x:c r="X16" s="37" t="str">
        <x:v>S06; S07; S05</x:v>
      </x:c>
      <x:c r="Y16" s="37" t="str">
        <x:v>Broad phase synthesis; event-specific claims use narrower sources elsewhere.</x:v>
      </x:c>
    </x:row>
    <x:row r="17" ht="60" customHeight="1">
      <x:c r="A17" s="37" t="str">
        <x:v>X013</x:v>
      </x:c>
      <x:c r="B17" s="37" t="str">
        <x:v>Formation in the Self-Respect and Dravidian movement</x:v>
      </x:c>
      <x:c r="C17" s="58" t="n">
        <x:v>13881</x:v>
      </x:c>
      <x:c r="D17" s="58" t="n">
        <x:v>18157</x:v>
      </x:c>
      <x:c r="E17" s="37" t="str">
        <x:v>Era</x:v>
      </x:c>
      <x:c r="F17" s="37" t="str">
        <x:v>Era 3: Electoral environment — What election rules, boundaries, practices and data conditions applied?</x:v>
      </x:c>
      <x:c r="G17" s="37" t="str">
        <x:v>Material finding</x:v>
      </x:c>
      <x:c r="H17" s="37" t="str">
        <x:v>Restricted colonial franchise made movement politics more important than elections.</x:v>
      </x:c>
      <x:c r="I17" s="37" t="str">
        <x:v>Franchise, competition and electoral shocks</x:v>
      </x:c>
      <x:c r="J17" s="37" t="str">
        <x:v>Late-colonial Madras Presidency; Justice Party and Self-Respect mobilization challenged Congress and caste hierarchy.</x:v>
      </x:c>
      <x:c r="K17" s="37" t="str">
        <x:v>Colonial economy, wartime disruption and the first post-war transition; international context shaped by decolonization.</x:v>
      </x:c>
      <x:c r="L17" s="37" t="str">
        <x:v>Print, public meetings, street theatre and hand-circulated writing; limited broadcast access.</x:v>
      </x:c>
      <x:c r="M17" s="37" t="str">
        <x:v>Colonial franchise and provincial institutions limited access; social movements supplied alternative routes.</x:v>
      </x:c>
      <x:c r="N17" s="37" t="str">
        <x:v>Gender norms affected access and representation but were rarely the sole driver.</x:v>
      </x:c>
      <x:c r="O17" s="37" t="str">
        <x:v>Language, caste, region and class were often more explicit axes of mobilization.</x:v>
      </x:c>
      <x:c r="P17" s="37" t="str">
        <x:v>Conditions stated in finding</x:v>
      </x:c>
      <x:c r="Q17" s="37" t="str">
        <x:v>Justice Party, Congress and Self-Respect leaders</x:v>
      </x:c>
      <x:c r="R17" s="37" t="str">
        <x:v>Assessment reconstructed from phase-specific records.</x:v>
      </x:c>
      <x:c r="S17" s="37" t="str">
        <x:v>Later scholarship evaluates institutional and distributional consequences.</x:v>
      </x:c>
      <x:c r="T17" s="37" t="str">
        <x:v>Use contemporaneous territorial names, feasible alternatives and institutional powers; context does not excuse rights violations or corruption.</x:v>
      </x:c>
      <x:c r="U17" s="37" t="str">
        <x:v>Digitization and source balance vary by phase.</x:v>
      </x:c>
      <x:c r="V17" s="37" t="str">
        <x:v>Analysis</x:v>
      </x:c>
      <x:c r="W17" s="37" t="str">
        <x:v>Multiple independent sources</x:v>
      </x:c>
      <x:c r="X17" s="37" t="str">
        <x:v>S06; S07; S05</x:v>
      </x:c>
      <x:c r="Y17" s="37" t="str">
        <x:v>Broad phase synthesis; event-specific claims use narrower sources elsewhere.</x:v>
      </x:c>
    </x:row>
    <x:row r="18" ht="60" customHeight="1">
      <x:c r="A18" s="37" t="str">
        <x:v>X014</x:v>
      </x:c>
      <x:c r="B18" s="37" t="str">
        <x:v>Formation in the Self-Respect and Dravidian movement</x:v>
      </x:c>
      <x:c r="C18" s="58" t="n">
        <x:v>13881</x:v>
      </x:c>
      <x:c r="D18" s="58" t="n">
        <x:v>18157</x:v>
      </x:c>
      <x:c r="E18" s="37" t="str">
        <x:v>Era</x:v>
      </x:c>
      <x:c r="F18" s="37" t="str">
        <x:v>Era 4: Economic regime — What economic regime framed policy choices?</x:v>
      </x:c>
      <x:c r="G18" s="37" t="str">
        <x:v>Material finding</x:v>
      </x:c>
      <x:c r="H18" s="37" t="str">
        <x:v>Colonial economy, wartime disruption and the first post-war transition; international context shaped by decolonization.</x:v>
      </x:c>
      <x:c r="I18" s="37" t="str">
        <x:v>Economic regime and feasible policy set</x:v>
      </x:c>
      <x:c r="J18" s="37" t="str">
        <x:v>Late-colonial Madras Presidency; Justice Party and Self-Respect mobilization challenged Congress and caste hierarchy.</x:v>
      </x:c>
      <x:c r="K18" s="37" t="str">
        <x:v>Colonial economy, wartime disruption and the first post-war transition; international context shaped by decolonization.</x:v>
      </x:c>
      <x:c r="L18" s="37" t="str">
        <x:v>Print, public meetings, street theatre and hand-circulated writing; limited broadcast access.</x:v>
      </x:c>
      <x:c r="M18" s="37" t="str">
        <x:v>Colonial franchise and provincial institutions limited access; social movements supplied alternative routes.</x:v>
      </x:c>
      <x:c r="N18" s="37" t="str">
        <x:v>Gender norms affected access and representation but were rarely the sole driver.</x:v>
      </x:c>
      <x:c r="O18" s="37" t="str">
        <x:v>Language, caste, region and class were often more explicit axes of mobilization.</x:v>
      </x:c>
      <x:c r="P18" s="37" t="str">
        <x:v>Conditions stated in finding</x:v>
      </x:c>
      <x:c r="Q18" s="37" t="str">
        <x:v>Justice Party, Congress and Self-Respect leaders</x:v>
      </x:c>
      <x:c r="R18" s="37" t="str">
        <x:v>Assessment reconstructed from phase-specific records.</x:v>
      </x:c>
      <x:c r="S18" s="37" t="str">
        <x:v>Later scholarship evaluates institutional and distributional consequences.</x:v>
      </x:c>
      <x:c r="T18" s="37" t="str">
        <x:v>Use contemporaneous territorial names, feasible alternatives and institutional powers; context does not excuse rights violations or corruption.</x:v>
      </x:c>
      <x:c r="U18" s="37" t="str">
        <x:v>Digitization and source balance vary by phase.</x:v>
      </x:c>
      <x:c r="V18" s="37" t="str">
        <x:v>Analysis</x:v>
      </x:c>
      <x:c r="W18" s="37" t="str">
        <x:v>Multiple independent sources</x:v>
      </x:c>
      <x:c r="X18" s="37" t="str">
        <x:v>S06; S07; S05</x:v>
      </x:c>
      <x:c r="Y18" s="37" t="str">
        <x:v>Broad phase synthesis; event-specific claims use narrower sources elsewhere.</x:v>
      </x:c>
    </x:row>
    <x:row r="19" ht="60" customHeight="1">
      <x:c r="A19" s="37" t="str">
        <x:v>X015</x:v>
      </x:c>
      <x:c r="B19" s="37" t="str">
        <x:v>Formation in the Self-Respect and Dravidian movement</x:v>
      </x:c>
      <x:c r="C19" s="58" t="n">
        <x:v>13881</x:v>
      </x:c>
      <x:c r="D19" s="58" t="n">
        <x:v>18157</x:v>
      </x:c>
      <x:c r="E19" s="37" t="str">
        <x:v>Era</x:v>
      </x:c>
      <x:c r="F19" s="37" t="str">
        <x:v>Era 5: International system — What international conditions materially mattered?</x:v>
      </x:c>
      <x:c r="G19" s="37" t="str">
        <x:v>Material finding</x:v>
      </x:c>
      <x:c r="H19" s="37" t="str">
        <x:v>Decolonization and World War II shaped anti-imperial and regional arguments.</x:v>
      </x:c>
      <x:c r="I19" s="37" t="str">
        <x:v>International events affecting state politics</x:v>
      </x:c>
      <x:c r="J19" s="37" t="str">
        <x:v>Late-colonial Madras Presidency; Justice Party and Self-Respect mobilization challenged Congress and caste hierarchy.</x:v>
      </x:c>
      <x:c r="K19" s="37" t="str">
        <x:v>Colonial economy, wartime disruption and the first post-war transition; international context shaped by decolonization.</x:v>
      </x:c>
      <x:c r="L19" s="37" t="str">
        <x:v>Print, public meetings, street theatre and hand-circulated writing; limited broadcast access.</x:v>
      </x:c>
      <x:c r="M19" s="37" t="str">
        <x:v>Colonial franchise and provincial institutions limited access; social movements supplied alternative routes.</x:v>
      </x:c>
      <x:c r="N19" s="37" t="str">
        <x:v>Gender norms affected access and representation but were rarely the sole driver.</x:v>
      </x:c>
      <x:c r="O19" s="37" t="str">
        <x:v>Language, caste, region and class were often more explicit axes of mobilization.</x:v>
      </x:c>
      <x:c r="P19" s="37" t="str">
        <x:v>Conditions stated in finding</x:v>
      </x:c>
      <x:c r="Q19" s="37" t="str">
        <x:v>Justice Party, Congress and Self-Respect leaders</x:v>
      </x:c>
      <x:c r="R19" s="37" t="str">
        <x:v>Assessment reconstructed from phase-specific records.</x:v>
      </x:c>
      <x:c r="S19" s="37" t="str">
        <x:v>Later scholarship evaluates institutional and distributional consequences.</x:v>
      </x:c>
      <x:c r="T19" s="37" t="str">
        <x:v>Use contemporaneous territorial names, feasible alternatives and institutional powers; context does not excuse rights violations or corruption.</x:v>
      </x:c>
      <x:c r="U19" s="37" t="str">
        <x:v>Digitization and source balance vary by phase.</x:v>
      </x:c>
      <x:c r="V19" s="37" t="str">
        <x:v>Analysis</x:v>
      </x:c>
      <x:c r="W19" s="37" t="str">
        <x:v>Multiple independent sources</x:v>
      </x:c>
      <x:c r="X19" s="37" t="str">
        <x:v>S06; S07; S05</x:v>
      </x:c>
      <x:c r="Y19" s="37" t="str">
        <x:v>Broad phase synthesis; event-specific claims use narrower sources elsewhere.</x:v>
      </x:c>
    </x:row>
    <x:row r="20" ht="60" customHeight="1">
      <x:c r="A20" s="37" t="str">
        <x:v>X016</x:v>
      </x:c>
      <x:c r="B20" s="37" t="str">
        <x:v>Formation in the Self-Respect and Dravidian movement</x:v>
      </x:c>
      <x:c r="C20" s="58" t="n">
        <x:v>13881</x:v>
      </x:c>
      <x:c r="D20" s="58" t="n">
        <x:v>18157</x:v>
      </x:c>
      <x:c r="E20" s="37" t="str">
        <x:v>Era</x:v>
      </x:c>
      <x:c r="F20" s="37" t="str">
        <x:v>Era 6: Media and campaign environment — Which media and campaign technologies structured politics?</x:v>
      </x:c>
      <x:c r="G20" s="37" t="str">
        <x:v>Material finding</x:v>
      </x:c>
      <x:c r="H20" s="37" t="str">
        <x:v>Print, public meetings, street theatre and hand-circulated writing; limited broadcast access.</x:v>
      </x:c>
      <x:c r="I20" s="37" t="str">
        <x:v>Communication technology and gatekeeping</x:v>
      </x:c>
      <x:c r="J20" s="37" t="str">
        <x:v>Late-colonial Madras Presidency; Justice Party and Self-Respect mobilization challenged Congress and caste hierarchy.</x:v>
      </x:c>
      <x:c r="K20" s="37" t="str">
        <x:v>Colonial economy, wartime disruption and the first post-war transition; international context shaped by decolonization.</x:v>
      </x:c>
      <x:c r="L20" s="37" t="str">
        <x:v>Print, public meetings, street theatre and hand-circulated writing; limited broadcast access.</x:v>
      </x:c>
      <x:c r="M20" s="37" t="str">
        <x:v>Colonial franchise and provincial institutions limited access; social movements supplied alternative routes.</x:v>
      </x:c>
      <x:c r="N20" s="37" t="str">
        <x:v>Gender norms affected access and representation but were rarely the sole driver.</x:v>
      </x:c>
      <x:c r="O20" s="37" t="str">
        <x:v>Language, caste, region and class were often more explicit axes of mobilization.</x:v>
      </x:c>
      <x:c r="P20" s="37" t="str">
        <x:v>Conditions stated in finding</x:v>
      </x:c>
      <x:c r="Q20" s="37" t="str">
        <x:v>Justice Party, Congress and Self-Respect leaders</x:v>
      </x:c>
      <x:c r="R20" s="37" t="str">
        <x:v>Assessment reconstructed from phase-specific records.</x:v>
      </x:c>
      <x:c r="S20" s="37" t="str">
        <x:v>Later scholarship evaluates institutional and distributional consequences.</x:v>
      </x:c>
      <x:c r="T20" s="37" t="str">
        <x:v>Use contemporaneous territorial names, feasible alternatives and institutional powers; context does not excuse rights violations or corruption.</x:v>
      </x:c>
      <x:c r="U20" s="37" t="str">
        <x:v>Digitization and source balance vary by phase.</x:v>
      </x:c>
      <x:c r="V20" s="37" t="str">
        <x:v>Analysis</x:v>
      </x:c>
      <x:c r="W20" s="37" t="str">
        <x:v>Multiple independent sources</x:v>
      </x:c>
      <x:c r="X20" s="37" t="str">
        <x:v>S06; S07; S05</x:v>
      </x:c>
      <x:c r="Y20" s="37" t="str">
        <x:v>Broad phase synthesis; event-specific claims use narrower sources elsewhere.</x:v>
      </x:c>
    </x:row>
    <x:row r="21" ht="60" customHeight="1">
      <x:c r="A21" s="37" t="str">
        <x:v>X017</x:v>
      </x:c>
      <x:c r="B21" s="37" t="str">
        <x:v>Formation in the Self-Respect and Dravidian movement</x:v>
      </x:c>
      <x:c r="C21" s="58" t="n">
        <x:v>13881</x:v>
      </x:c>
      <x:c r="D21" s="58" t="n">
        <x:v>18157</x:v>
      </x:c>
      <x:c r="E21" s="37" t="str">
        <x:v>Era</x:v>
      </x:c>
      <x:c r="F21" s="37" t="str">
        <x:v>Era 7: Political organization — What organizational form carried power?</x:v>
      </x:c>
      <x:c r="G21" s="37" t="str">
        <x:v>Material finding</x:v>
      </x:c>
      <x:c r="H21" s="37" t="str">
        <x:v>Student circles, Self-Respect associations and small publications supplied organization outside colonial institutions.</x:v>
      </x:c>
      <x:c r="I21" s="37" t="str">
        <x:v>Organizational capacity</x:v>
      </x:c>
      <x:c r="J21" s="37" t="str">
        <x:v>Late-colonial Madras Presidency; Justice Party and Self-Respect mobilization challenged Congress and caste hierarchy.</x:v>
      </x:c>
      <x:c r="K21" s="37" t="str">
        <x:v>Colonial economy, wartime disruption and the first post-war transition; international context shaped by decolonization.</x:v>
      </x:c>
      <x:c r="L21" s="37" t="str">
        <x:v>Print, public meetings, street theatre and hand-circulated writing; limited broadcast access.</x:v>
      </x:c>
      <x:c r="M21" s="37" t="str">
        <x:v>Colonial franchise and provincial institutions limited access; social movements supplied alternative routes.</x:v>
      </x:c>
      <x:c r="N21" s="37" t="str">
        <x:v>Gender norms affected access and representation but were rarely the sole driver.</x:v>
      </x:c>
      <x:c r="O21" s="37" t="str">
        <x:v>Language, caste, region and class were often more explicit axes of mobilization.</x:v>
      </x:c>
      <x:c r="P21" s="37" t="str">
        <x:v>Conditions stated in finding</x:v>
      </x:c>
      <x:c r="Q21" s="37" t="str">
        <x:v>Justice Party, Congress and Self-Respect leaders</x:v>
      </x:c>
      <x:c r="R21" s="37" t="str">
        <x:v>Assessment reconstructed from phase-specific records.</x:v>
      </x:c>
      <x:c r="S21" s="37" t="str">
        <x:v>Later scholarship evaluates institutional and distributional consequences.</x:v>
      </x:c>
      <x:c r="T21" s="37" t="str">
        <x:v>Use contemporaneous territorial names, feasible alternatives and institutional powers; context does not excuse rights violations or corruption.</x:v>
      </x:c>
      <x:c r="U21" s="37" t="str">
        <x:v>Digitization and source balance vary by phase.</x:v>
      </x:c>
      <x:c r="V21" s="37" t="str">
        <x:v>Analysis</x:v>
      </x:c>
      <x:c r="W21" s="37" t="str">
        <x:v>Multiple independent sources</x:v>
      </x:c>
      <x:c r="X21" s="37" t="str">
        <x:v>S06; S07; S05</x:v>
      </x:c>
      <x:c r="Y21" s="37" t="str">
        <x:v>Broad phase synthesis; event-specific claims use narrower sources elsewhere.</x:v>
      </x:c>
    </x:row>
    <x:row r="22" ht="60" customHeight="1">
      <x:c r="A22" s="37" t="str">
        <x:v>X018</x:v>
      </x:c>
      <x:c r="B22" s="37" t="str">
        <x:v>Formation in the Self-Respect and Dravidian movement</x:v>
      </x:c>
      <x:c r="C22" s="58" t="n">
        <x:v>13881</x:v>
      </x:c>
      <x:c r="D22" s="58" t="n">
        <x:v>18157</x:v>
      </x:c>
      <x:c r="E22" s="37" t="str">
        <x:v>Era</x:v>
      </x:c>
      <x:c r="F22" s="37" t="str">
        <x:v>Era 8: Social environment — Which caste, language, religion, class or gender conditions mattered?</x:v>
      </x:c>
      <x:c r="G22" s="37" t="str">
        <x:v>Material finding</x:v>
      </x:c>
      <x:c r="H22" s="37" t="str">
        <x:v>Caste hierarchy, non-Brahmin assertion, Tamil language and patriarchal public life defined entry conditions.</x:v>
      </x:c>
      <x:c r="I22" s="37" t="str">
        <x:v>Social coalition and conflict</x:v>
      </x:c>
      <x:c r="J22" s="37" t="str">
        <x:v>Late-colonial Madras Presidency; Justice Party and Self-Respect mobilization challenged Congress and caste hierarchy.</x:v>
      </x:c>
      <x:c r="K22" s="37" t="str">
        <x:v>Colonial economy, wartime disruption and the first post-war transition; international context shaped by decolonization.</x:v>
      </x:c>
      <x:c r="L22" s="37" t="str">
        <x:v>Print, public meetings, street theatre and hand-circulated writing; limited broadcast access.</x:v>
      </x:c>
      <x:c r="M22" s="37" t="str">
        <x:v>Colonial franchise and provincial institutions limited access; social movements supplied alternative routes.</x:v>
      </x:c>
      <x:c r="N22" s="37" t="str">
        <x:v>Gender norms affected access and representation but were rarely the sole driver.</x:v>
      </x:c>
      <x:c r="O22" s="37" t="str">
        <x:v>Language, caste, region and class were often more explicit axes of mobilization.</x:v>
      </x:c>
      <x:c r="P22" s="37" t="str">
        <x:v>Conditions stated in finding</x:v>
      </x:c>
      <x:c r="Q22" s="37" t="str">
        <x:v>Justice Party, Congress and Self-Respect leaders</x:v>
      </x:c>
      <x:c r="R22" s="37" t="str">
        <x:v>Assessment reconstructed from phase-specific records.</x:v>
      </x:c>
      <x:c r="S22" s="37" t="str">
        <x:v>Later scholarship evaluates institutional and distributional consequences.</x:v>
      </x:c>
      <x:c r="T22" s="37" t="str">
        <x:v>Use contemporaneous territorial names, feasible alternatives and institutional powers; context does not excuse rights violations or corruption.</x:v>
      </x:c>
      <x:c r="U22" s="37" t="str">
        <x:v>Digitization and source balance vary by phase.</x:v>
      </x:c>
      <x:c r="V22" s="37" t="str">
        <x:v>Analysis</x:v>
      </x:c>
      <x:c r="W22" s="37" t="str">
        <x:v>Multiple independent sources</x:v>
      </x:c>
      <x:c r="X22" s="37" t="str">
        <x:v>S06; S07; S05</x:v>
      </x:c>
      <x:c r="Y22" s="37" t="str">
        <x:v>Broad phase synthesis; event-specific claims use narrower sources elsewhere.</x:v>
      </x:c>
    </x:row>
    <x:row r="23" ht="60" customHeight="1">
      <x:c r="A23" s="37" t="str">
        <x:v>X019</x:v>
      </x:c>
      <x:c r="B23" s="37" t="str">
        <x:v>Formation in the Self-Respect and Dravidian movement</x:v>
      </x:c>
      <x:c r="C23" s="58" t="n">
        <x:v>13881</x:v>
      </x:c>
      <x:c r="D23" s="58" t="n">
        <x:v>18157</x:v>
      </x:c>
      <x:c r="E23" s="37" t="str">
        <x:v>Era</x:v>
      </x:c>
      <x:c r="F23" s="37" t="str">
        <x:v>Era 9: State structure and political geography — How did boundaries and Centre–State relations matter?</x:v>
      </x:c>
      <x:c r="G23" s="37" t="str">
        <x:v>Material finding</x:v>
      </x:c>
      <x:c r="H23" s="37" t="str">
        <x:v>The Madras Presidency contained multiple linguistic regions; present-day Tamil Nadu boundaries must not be projected backward.</x:v>
      </x:c>
      <x:c r="I23" s="37" t="str">
        <x:v>Territory and federal power</x:v>
      </x:c>
      <x:c r="J23" s="37" t="str">
        <x:v>Late-colonial Madras Presidency; Justice Party and Self-Respect mobilization challenged Congress and caste hierarchy.</x:v>
      </x:c>
      <x:c r="K23" s="37" t="str">
        <x:v>Colonial economy, wartime disruption and the first post-war transition; international context shaped by decolonization.</x:v>
      </x:c>
      <x:c r="L23" s="37" t="str">
        <x:v>Print, public meetings, street theatre and hand-circulated writing; limited broadcast access.</x:v>
      </x:c>
      <x:c r="M23" s="37" t="str">
        <x:v>Colonial franchise and provincial institutions limited access; social movements supplied alternative routes.</x:v>
      </x:c>
      <x:c r="N23" s="37" t="str">
        <x:v>Gender norms affected access and representation but were rarely the sole driver.</x:v>
      </x:c>
      <x:c r="O23" s="37" t="str">
        <x:v>Language, caste, region and class were often more explicit axes of mobilization.</x:v>
      </x:c>
      <x:c r="P23" s="37" t="str">
        <x:v>Conditions stated in finding</x:v>
      </x:c>
      <x:c r="Q23" s="37" t="str">
        <x:v>Justice Party, Congress and Self-Respect leaders</x:v>
      </x:c>
      <x:c r="R23" s="37" t="str">
        <x:v>Assessment reconstructed from phase-specific records.</x:v>
      </x:c>
      <x:c r="S23" s="37" t="str">
        <x:v>Later scholarship evaluates institutional and distributional consequences.</x:v>
      </x:c>
      <x:c r="T23" s="37" t="str">
        <x:v>Use contemporaneous territorial names, feasible alternatives and institutional powers; context does not excuse rights violations or corruption.</x:v>
      </x:c>
      <x:c r="U23" s="37" t="str">
        <x:v>Digitization and source balance vary by phase.</x:v>
      </x:c>
      <x:c r="V23" s="37" t="str">
        <x:v>Analysis</x:v>
      </x:c>
      <x:c r="W23" s="37" t="str">
        <x:v>Multiple independent sources</x:v>
      </x:c>
      <x:c r="X23" s="37" t="str">
        <x:v>S06; S07; S05</x:v>
      </x:c>
      <x:c r="Y23" s="37" t="str">
        <x:v>Broad phase synthesis; event-specific claims use narrower sources elsewhere.</x:v>
      </x:c>
    </x:row>
    <x:row r="24" ht="60" customHeight="1">
      <x:c r="A24" s="37" t="str">
        <x:v>X020</x:v>
      </x:c>
      <x:c r="B24" s="37" t="str">
        <x:v>Formation in the Self-Respect and Dravidian movement</x:v>
      </x:c>
      <x:c r="C24" s="58" t="n">
        <x:v>13881</x:v>
      </x:c>
      <x:c r="D24" s="58" t="n">
        <x:v>18157</x:v>
      </x:c>
      <x:c r="E24" s="37" t="str">
        <x:v>Era</x:v>
      </x:c>
      <x:c r="F24" s="37" t="str">
        <x:v>Era 10: Evidence environment — What source limitations shape retrospective assessment?</x:v>
      </x:c>
      <x:c r="G24" s="37" t="str">
        <x:v>Research limitation</x:v>
      </x:c>
      <x:c r="H24" s="37" t="str">
        <x:v>Evidence relies heavily on memoir and later biography; small-circulation Tamil sources and oral memory are unevenly preserved.</x:v>
      </x:c>
      <x:c r="I24" s="37" t="str">
        <x:v>Archival survival and source bias</x:v>
      </x:c>
      <x:c r="J24" s="37" t="str">
        <x:v>Late-colonial Madras Presidency; Justice Party and Self-Respect mobilization challenged Congress and caste hierarchy.</x:v>
      </x:c>
      <x:c r="K24" s="37" t="str">
        <x:v>Colonial economy, wartime disruption and the first post-war transition; international context shaped by decolonization.</x:v>
      </x:c>
      <x:c r="L24" s="37" t="str">
        <x:v>Print, public meetings, street theatre and hand-circulated writing; limited broadcast access.</x:v>
      </x:c>
      <x:c r="M24" s="37" t="str">
        <x:v>Colonial franchise and provincial institutions limited access; social movements supplied alternative routes.</x:v>
      </x:c>
      <x:c r="N24" s="37" t="str">
        <x:v>Gender norms affected access and representation but were rarely the sole driver.</x:v>
      </x:c>
      <x:c r="O24" s="37" t="str">
        <x:v>Language, caste, region and class were often more explicit axes of mobilization.</x:v>
      </x:c>
      <x:c r="P24" s="37" t="str">
        <x:v>Conditions stated in finding</x:v>
      </x:c>
      <x:c r="Q24" s="37" t="str">
        <x:v>Justice Party, Congress and Self-Respect leaders</x:v>
      </x:c>
      <x:c r="R24" s="37" t="str">
        <x:v>Assessment reconstructed from phase-specific records.</x:v>
      </x:c>
      <x:c r="S24" s="37" t="str">
        <x:v>Later scholarship evaluates institutional and distributional consequences.</x:v>
      </x:c>
      <x:c r="T24" s="37" t="str">
        <x:v>Use contemporaneous territorial names, feasible alternatives and institutional powers; context does not excuse rights violations or corruption.</x:v>
      </x:c>
      <x:c r="U24" s="37" t="str">
        <x:v>Evidence relies heavily on memoir and later biography; small-circulation Tamil sources and oral memory are unevenly preserved.</x:v>
      </x:c>
      <x:c r="V24" s="37" t="str">
        <x:v>Analysis</x:v>
      </x:c>
      <x:c r="W24" s="37" t="str">
        <x:v>Multiple independent sources</x:v>
      </x:c>
      <x:c r="X24" s="37" t="str">
        <x:v>S06; S07; S05</x:v>
      </x:c>
      <x:c r="Y24" s="37" t="str">
        <x:v>Broad phase synthesis; event-specific claims use narrower sources elsewhere.</x:v>
      </x:c>
    </x:row>
    <x:row r="25" ht="60" customHeight="1">
      <x:c r="A25" s="37" t="str">
        <x:v>X021</x:v>
      </x:c>
      <x:c r="B25" s="37" t="str">
        <x:v>DMK organizer, writer and legislator</x:v>
      </x:c>
      <x:c r="C25" s="58" t="n">
        <x:v>18158</x:v>
      </x:c>
      <x:c r="D25" s="58" t="n">
        <x:v>25243</x:v>
      </x:c>
      <x:c r="E25" s="37" t="str">
        <x:v>Gender</x:v>
      </x:c>
      <x:c r="F25" s="37" t="str">
        <x:v>Gender 1: Entry and advancement — Did gender affect recruitment, candidacy, nominations or advancement?</x:v>
      </x:c>
      <x:c r="G25" s="37" t="str">
        <x:v>Research limitation</x:v>
      </x:c>
      <x:c r="H25" s="37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I25" s="37" t="str">
        <x:v>Party and public-sphere access</x:v>
      </x:c>
      <x:c r="J25" s="37" t="str">
        <x:v>Congress dominance gave way to a competitive regional party system; the DMK moved from separatist rhetoric to electoral federalism.</x:v>
      </x:c>
      <x:c r="K25" s="37" t="str">
        <x:v>Planned development and food scarcity; Cold War and postcolonial nation-building formed the wider setting.</x:v>
      </x:c>
      <x:c r="L25" s="37" t="str">
        <x:v>Cinema dialogue, theatre, Murasoli, rallies and radio created a hybrid mass-communication system.</x:v>
      </x:c>
      <x:c r="M25" s="37" t="str">
        <x:v>Universal adult franchise expanded opportunity; language policy and state reorganization reshaped Tamil politics.</x:v>
      </x:c>
      <x:c r="N25" s="37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O25" s="37" t="str">
        <x:v>Caste, language, class and family networks are assessed only where evidenced.</x:v>
      </x:c>
      <x:c r="P25" s="37" t="str">
        <x:v>Male-dominated party and electoral institutions</x:v>
      </x:c>
      <x:c r="Q25" s="37" t="str">
        <x:v>Comparable Tamil Nadu party leaders and office-holders in the same phase</x:v>
      </x:c>
      <x:c r="R25" s="37" t="str">
        <x:v>Contemporary coverage rarely isolated male privilege as an analytical category.</x:v>
      </x:c>
      <x:c r="S25" s="37" t="str">
        <x:v>Later gender analysis distinguishes concrete policy effects from male-dominated organization.</x:v>
      </x:c>
      <x:c r="T25" s="37" t="str">
        <x:v>Avoid projecting today's language of representation backward without losing the underlying inequality.</x:v>
      </x:c>
      <x:c r="U25" s="37" t="str">
        <x:v>Women-specific party records and gender-disaggregated leadership data are incomplete.</x:v>
      </x:c>
      <x:c r="V25" s="37" t="str">
        <x:v>Analysis</x:v>
      </x:c>
      <x:c r="W25" s="37" t="str">
        <x:v>Single credible source</x:v>
      </x:c>
      <x:c r="X25" s="37" t="str">
        <x:v>S04; S05; S06; S07; S10; S27</x:v>
      </x:c>
      <x:c r="Y25" s="37" t="str">
        <x:v>Disposition reflects reviewed evidence; absence of evidence is not proof of absence.</x:v>
      </x:c>
    </x:row>
    <x:row r="26" ht="60" customHeight="1">
      <x:c r="A26" s="37" t="str">
        <x:v>X022</x:v>
      </x:c>
      <x:c r="B26" s="37" t="str">
        <x:v>DMK organizer, writer and legislator</x:v>
      </x:c>
      <x:c r="C26" s="58" t="n">
        <x:v>18158</x:v>
      </x:c>
      <x:c r="D26" s="58" t="n">
        <x:v>25243</x:v>
      </x:c>
      <x:c r="E26" s="37" t="str">
        <x:v>Gender</x:v>
      </x:c>
      <x:c r="F26" s="37" t="str">
        <x:v>Gender 2: Milestones — Were there gender-related firsts or representative milestones?</x:v>
      </x:c>
      <x:c r="G26" s="37" t="str">
        <x:v>Not materially relevant</x:v>
      </x:c>
      <x:c r="H26" s="37" t="str">
        <x:v>No gender-related first attached to Karunanidhi's own offices in this phase. The relevant milestone question concerns policies or the underrepresentation of women around him, not his descriptive representation.</x:v>
      </x:c>
      <x:c r="I26" s="37" t="str">
        <x:v>No personal milestone</x:v>
      </x:c>
      <x:c r="J26" s="37" t="str">
        <x:v>Congress dominance gave way to a competitive regional party system; the DMK moved from separatist rhetoric to electoral federalism.</x:v>
      </x:c>
      <x:c r="K26" s="37" t="str">
        <x:v>Planned development and food scarcity; Cold War and postcolonial nation-building formed the wider setting.</x:v>
      </x:c>
      <x:c r="L26" s="37" t="str">
        <x:v>Cinema dialogue, theatre, Murasoli, rallies and radio created a hybrid mass-communication system.</x:v>
      </x:c>
      <x:c r="M26" s="37" t="str">
        <x:v>Universal adult franchise expanded opportunity; language policy and state reorganization reshaped Tamil politics.</x:v>
      </x:c>
      <x:c r="N26" s="37" t="str">
        <x:v>No gender-related first attached to Karunanidhi's own offices in this phase. The relevant milestone question concerns policies or the underrepresentation of women around him, not his descriptive representation.</x:v>
      </x:c>
      <x:c r="O26" s="37" t="str">
        <x:v>Caste, language, class and family networks are assessed only where evidenced.</x:v>
      </x:c>
      <x:c r="P26" s="37" t="str">
        <x:v>Male-dominated party and electoral institutions</x:v>
      </x:c>
      <x:c r="Q26" s="37" t="str">
        <x:v>Comparable Tamil Nadu party leaders and office-holders in the same phase</x:v>
      </x:c>
      <x:c r="R26" s="37" t="str">
        <x:v>Contemporary coverage rarely isolated male privilege as an analytical category.</x:v>
      </x:c>
      <x:c r="S26" s="37" t="str">
        <x:v>Later gender analysis distinguishes concrete policy effects from male-dominated organization.</x:v>
      </x:c>
      <x:c r="T26" s="37" t="str">
        <x:v>Avoid projecting today's language of representation backward without losing the underlying inequality.</x:v>
      </x:c>
      <x:c r="U26" s="37" t="str">
        <x:v>Women-specific party records and gender-disaggregated leadership data are incomplete.</x:v>
      </x:c>
      <x:c r="V26" s="37" t="str">
        <x:v>Analysis</x:v>
      </x:c>
      <x:c r="W26" s="37" t="str">
        <x:v>Multiple independent sources</x:v>
      </x:c>
      <x:c r="X26" s="37" t="str">
        <x:v>S04; S05; S06; S07; S10; S27</x:v>
      </x:c>
      <x:c r="Y26" s="37" t="str">
        <x:v>Disposition reflects reviewed evidence; absence of evidence is not proof of absence.</x:v>
      </x:c>
    </x:row>
    <x:row r="27" ht="60" customHeight="1">
      <x:c r="A27" s="37" t="str">
        <x:v>X023</x:v>
      </x:c>
      <x:c r="B27" s="37" t="str">
        <x:v>DMK organizer, writer and legislator</x:v>
      </x:c>
      <x:c r="C27" s="58" t="n">
        <x:v>18158</x:v>
      </x:c>
      <x:c r="D27" s="58" t="n">
        <x:v>25243</x:v>
      </x:c>
      <x:c r="E27" s="37" t="str">
        <x:v>Gender</x:v>
      </x:c>
      <x:c r="F27" s="37" t="str">
        <x:v>Gender 3: Networks and pathways — Did family, patronage, marriage or mentorship operate through gendered pathways?</x:v>
      </x:c>
      <x:c r="G27" s="37" t="str">
        <x:v>Research limitation</x:v>
      </x:c>
      <x:c r="H27" s="37" t="str">
        <x:v>Mentorship and male cadre networks were central, but accessible evidence does not permit a clean gender-causal estimate. His Self-Respect marriage practice had ideological meaning, yet marriage was not his primary route into politics.</x:v>
      </x:c>
      <x:c r="I27" s="37" t="str">
        <x:v>Networks and succession</x:v>
      </x:c>
      <x:c r="J27" s="37" t="str">
        <x:v>Congress dominance gave way to a competitive regional party system; the DMK moved from separatist rhetoric to electoral federalism.</x:v>
      </x:c>
      <x:c r="K27" s="37" t="str">
        <x:v>Planned development and food scarcity; Cold War and postcolonial nation-building formed the wider setting.</x:v>
      </x:c>
      <x:c r="L27" s="37" t="str">
        <x:v>Cinema dialogue, theatre, Murasoli, rallies and radio created a hybrid mass-communication system.</x:v>
      </x:c>
      <x:c r="M27" s="37" t="str">
        <x:v>Universal adult franchise expanded opportunity; language policy and state reorganization reshaped Tamil politics.</x:v>
      </x:c>
      <x:c r="N27" s="37" t="str">
        <x:v>Mentorship and male cadre networks were central, but accessible evidence does not permit a clean gender-causal estimate. His Self-Respect marriage practice had ideological meaning, yet marriage was not his primary route into politics.</x:v>
      </x:c>
      <x:c r="O27" s="37" t="str">
        <x:v>Caste, language, class and family networks are assessed only where evidenced.</x:v>
      </x:c>
      <x:c r="P27" s="37" t="str">
        <x:v>Male-dominated party and electoral institutions</x:v>
      </x:c>
      <x:c r="Q27" s="37" t="str">
        <x:v>Comparable Tamil Nadu party leaders and office-holders in the same phase</x:v>
      </x:c>
      <x:c r="R27" s="37" t="str">
        <x:v>Contemporary coverage rarely isolated male privilege as an analytical category.</x:v>
      </x:c>
      <x:c r="S27" s="37" t="str">
        <x:v>Later gender analysis distinguishes concrete policy effects from male-dominated organization.</x:v>
      </x:c>
      <x:c r="T27" s="37" t="str">
        <x:v>Avoid projecting today's language of representation backward without losing the underlying inequality.</x:v>
      </x:c>
      <x:c r="U27" s="37" t="str">
        <x:v>Women-specific party records and gender-disaggregated leadership data are incomplete.</x:v>
      </x:c>
      <x:c r="V27" s="37" t="str">
        <x:v>Analysis</x:v>
      </x:c>
      <x:c r="W27" s="37" t="str">
        <x:v>Single credible source</x:v>
      </x:c>
      <x:c r="X27" s="37" t="str">
        <x:v>S04; S05; S06; S07; S10; S27</x:v>
      </x:c>
      <x:c r="Y27" s="37" t="str">
        <x:v>Disposition reflects reviewed evidence; absence of evidence is not proof of absence.</x:v>
      </x:c>
    </x:row>
    <x:row r="28" ht="60" customHeight="1">
      <x:c r="A28" s="37" t="str">
        <x:v>X024</x:v>
      </x:c>
      <x:c r="B28" s="37" t="str">
        <x:v>DMK organizer, writer and legislator</x:v>
      </x:c>
      <x:c r="C28" s="58" t="n">
        <x:v>18158</x:v>
      </x:c>
      <x:c r="D28" s="58" t="n">
        <x:v>25243</x:v>
      </x:c>
      <x:c r="E28" s="37" t="str">
        <x:v>Gender</x:v>
      </x:c>
      <x:c r="F28" s="37" t="str">
        <x:v>Gender 4: Role and portfolio allocation — Did gender expectations affect offices or portfolios?</x:v>
      </x:c>
      <x:c r="G28" s="37" t="str">
        <x:v>Research limitation</x:v>
      </x:c>
      <x:c r="H28" s="37" t="str">
        <x:v>The movement assigned major writing, speaking and organizational authority mostly to men; sources document the pattern more clearly than a personal allocation decision.</x:v>
      </x:c>
      <x:c r="I28" s="37" t="str">
        <x:v>Leadership allocation</x:v>
      </x:c>
      <x:c r="J28" s="37" t="str">
        <x:v>Congress dominance gave way to a competitive regional party system; the DMK moved from separatist rhetoric to electoral federalism.</x:v>
      </x:c>
      <x:c r="K28" s="37" t="str">
        <x:v>Planned development and food scarcity; Cold War and postcolonial nation-building formed the wider setting.</x:v>
      </x:c>
      <x:c r="L28" s="37" t="str">
        <x:v>Cinema dialogue, theatre, Murasoli, rallies and radio created a hybrid mass-communication system.</x:v>
      </x:c>
      <x:c r="M28" s="37" t="str">
        <x:v>Universal adult franchise expanded opportunity; language policy and state reorganization reshaped Tamil politics.</x:v>
      </x:c>
      <x:c r="N28" s="37" t="str">
        <x:v>The movement assigned major writing, speaking and organizational authority mostly to men; sources document the pattern more clearly than a personal allocation decision.</x:v>
      </x:c>
      <x:c r="O28" s="37" t="str">
        <x:v>Caste, language, class and family networks are assessed only where evidenced.</x:v>
      </x:c>
      <x:c r="P28" s="37" t="str">
        <x:v>Male-dominated party and electoral institutions</x:v>
      </x:c>
      <x:c r="Q28" s="37" t="str">
        <x:v>Comparable Tamil Nadu party leaders and office-holders in the same phase</x:v>
      </x:c>
      <x:c r="R28" s="37" t="str">
        <x:v>Contemporary coverage rarely isolated male privilege as an analytical category.</x:v>
      </x:c>
      <x:c r="S28" s="37" t="str">
        <x:v>Later gender analysis distinguishes concrete policy effects from male-dominated organization.</x:v>
      </x:c>
      <x:c r="T28" s="37" t="str">
        <x:v>Avoid projecting today's language of representation backward without losing the underlying inequality.</x:v>
      </x:c>
      <x:c r="U28" s="37" t="str">
        <x:v>Women-specific party records and gender-disaggregated leadership data are incomplete.</x:v>
      </x:c>
      <x:c r="V28" s="37" t="str">
        <x:v>Analysis</x:v>
      </x:c>
      <x:c r="W28" s="37" t="str">
        <x:v>Single credible source</x:v>
      </x:c>
      <x:c r="X28" s="37" t="str">
        <x:v>S04; S05; S06; S07; S10; S27</x:v>
      </x:c>
      <x:c r="Y28" s="37" t="str">
        <x:v>Disposition reflects reviewed evidence; absence of evidence is not proof of absence.</x:v>
      </x:c>
    </x:row>
    <x:row r="29" ht="60" customHeight="1">
      <x:c r="A29" s="37" t="str">
        <x:v>X025</x:v>
      </x:c>
      <x:c r="B29" s="37" t="str">
        <x:v>DMK organizer, writer and legislator</x:v>
      </x:c>
      <x:c r="C29" s="58" t="n">
        <x:v>18158</x:v>
      </x:c>
      <x:c r="D29" s="58" t="n">
        <x:v>25243</x:v>
      </x:c>
      <x:c r="E29" s="37" t="str">
        <x:v>Gender</x:v>
      </x:c>
      <x:c r="F29" s="37" t="str">
        <x:v>Gender 5: Campaign and media treatment — Was treatment materially gendered?</x:v>
      </x:c>
      <x:c r="G29" s="37" t="str">
        <x:v>Evidence not found</x:v>
      </x:c>
      <x:c r="H2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I29" s="37" t="str">
        <x:v>Media treatment</x:v>
      </x:c>
      <x:c r="J29" s="37" t="str">
        <x:v>Congress dominance gave way to a competitive regional party system; the DMK moved from separatist rhetoric to electoral federalism.</x:v>
      </x:c>
      <x:c r="K29" s="37" t="str">
        <x:v>Planned development and food scarcity; Cold War and postcolonial nation-building formed the wider setting.</x:v>
      </x:c>
      <x:c r="L29" s="37" t="str">
        <x:v>Cinema dialogue, theatre, Murasoli, rallies and radio created a hybrid mass-communication system.</x:v>
      </x:c>
      <x:c r="M29" s="37" t="str">
        <x:v>Universal adult franchise expanded opportunity; language policy and state reorganization reshaped Tamil politics.</x:v>
      </x:c>
      <x:c r="N2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O29" s="37" t="str">
        <x:v>Caste, language, class and family networks are assessed only where evidenced.</x:v>
      </x:c>
      <x:c r="P29" s="37" t="str">
        <x:v>Male-dominated party and electoral institutions</x:v>
      </x:c>
      <x:c r="Q29" s="37" t="str">
        <x:v>Comparable Tamil Nadu party leaders and office-holders in the same phase</x:v>
      </x:c>
      <x:c r="R29" s="37" t="str">
        <x:v>Contemporary coverage rarely isolated male privilege as an analytical category.</x:v>
      </x:c>
      <x:c r="S29" s="37" t="str">
        <x:v>Later gender analysis distinguishes concrete policy effects from male-dominated organization.</x:v>
      </x:c>
      <x:c r="T29" s="37" t="str">
        <x:v>Avoid projecting today's language of representation backward without losing the underlying inequality.</x:v>
      </x:c>
      <x:c r="U29" s="37" t="str">
        <x:v>Women-specific party records and gender-disaggregated leadership data are incomplete.</x:v>
      </x:c>
      <x:c r="V29" s="37" t="str">
        <x:v>Disputed/uncertain</x:v>
      </x:c>
      <x:c r="W29" s="37" t="str">
        <x:v>Single credible source</x:v>
      </x:c>
      <x:c r="X29" s="37" t="str">
        <x:v>S04; S05; S06; S07; S10; S27</x:v>
      </x:c>
      <x:c r="Y29" s="37" t="str">
        <x:v>Disposition reflects reviewed evidence; absence of evidence is not proof of absence.</x:v>
      </x:c>
    </x:row>
    <x:row r="30" ht="60" customHeight="1">
      <x:c r="A30" s="37" t="str">
        <x:v>X026</x:v>
      </x:c>
      <x:c r="B30" s="37" t="str">
        <x:v>DMK organizer, writer and legislator</x:v>
      </x:c>
      <x:c r="C30" s="58" t="n">
        <x:v>18158</x:v>
      </x:c>
      <x:c r="D30" s="58" t="n">
        <x:v>25243</x:v>
      </x:c>
      <x:c r="E30" s="37" t="str">
        <x:v>Gender</x:v>
      </x:c>
      <x:c r="F30" s="37" t="str">
        <x:v>Gender 6: Threats and security — Were threats, violence or mobility constraints gender-specific?</x:v>
      </x:c>
      <x:c r="G30" s="37" t="str">
        <x:v>Not materially relevant</x:v>
      </x:c>
      <x:c r="H30" s="37" t="str">
        <x:v>Karunanidhi faced arrest, protest violence and security risks, but reviewed evidence treats them as partisan, state or ethnic-political risks rather than gender-specific threats.</x:v>
      </x:c>
      <x:c r="I30" s="37" t="str">
        <x:v>Threat mechanism not gender-specific</x:v>
      </x:c>
      <x:c r="J30" s="37" t="str">
        <x:v>Congress dominance gave way to a competitive regional party system; the DMK moved from separatist rhetoric to electoral federalism.</x:v>
      </x:c>
      <x:c r="K30" s="37" t="str">
        <x:v>Planned development and food scarcity; Cold War and postcolonial nation-building formed the wider setting.</x:v>
      </x:c>
      <x:c r="L30" s="37" t="str">
        <x:v>Cinema dialogue, theatre, Murasoli, rallies and radio created a hybrid mass-communication system.</x:v>
      </x:c>
      <x:c r="M30" s="37" t="str">
        <x:v>Universal adult franchise expanded opportunity; language policy and state reorganization reshaped Tamil politics.</x:v>
      </x:c>
      <x:c r="N30" s="37" t="str">
        <x:v>Karunanidhi faced arrest, protest violence and security risks, but reviewed evidence treats them as partisan, state or ethnic-political risks rather than gender-specific threats.</x:v>
      </x:c>
      <x:c r="O30" s="37" t="str">
        <x:v>Caste, language, class and family networks are assessed only where evidenced.</x:v>
      </x:c>
      <x:c r="P30" s="37" t="str">
        <x:v>Male-dominated party and electoral institutions</x:v>
      </x:c>
      <x:c r="Q30" s="37" t="str">
        <x:v>Comparable Tamil Nadu party leaders and office-holders in the same phase</x:v>
      </x:c>
      <x:c r="R30" s="37" t="str">
        <x:v>Contemporary coverage rarely isolated male privilege as an analytical category.</x:v>
      </x:c>
      <x:c r="S30" s="37" t="str">
        <x:v>Later gender analysis distinguishes concrete policy effects from male-dominated organization.</x:v>
      </x:c>
      <x:c r="T30" s="37" t="str">
        <x:v>Avoid projecting today's language of representation backward without losing the underlying inequality.</x:v>
      </x:c>
      <x:c r="U30" s="37" t="str">
        <x:v>Women-specific party records and gender-disaggregated leadership data are incomplete.</x:v>
      </x:c>
      <x:c r="V30" s="37" t="str">
        <x:v>Analysis</x:v>
      </x:c>
      <x:c r="W30" s="37" t="str">
        <x:v>Multiple independent sources</x:v>
      </x:c>
      <x:c r="X30" s="37" t="str">
        <x:v>S04; S05; S06; S07; S10; S27</x:v>
      </x:c>
      <x:c r="Y30" s="37" t="str">
        <x:v>Disposition reflects reviewed evidence; absence of evidence is not proof of absence.</x:v>
      </x:c>
    </x:row>
    <x:row r="31" ht="60" customHeight="1">
      <x:c r="A31" s="37" t="str">
        <x:v>X027</x:v>
      </x:c>
      <x:c r="B31" s="37" t="str">
        <x:v>DMK organizer, writer and legislator</x:v>
      </x:c>
      <x:c r="C31" s="58" t="n">
        <x:v>18158</x:v>
      </x:c>
      <x:c r="D31" s="58" t="n">
        <x:v>25243</x:v>
      </x:c>
      <x:c r="E31" s="37" t="str">
        <x:v>Gender</x:v>
      </x:c>
      <x:c r="F31" s="37" t="str">
        <x:v>Gender 7: Gender policy and organizations — What gender-related laws, policies or organizational links existed?</x:v>
      </x:c>
      <x:c r="G31" s="37" t="str">
        <x:v>Not materially relevant</x:v>
      </x:c>
      <x:c r="H31" s="37" t="str">
        <x:v>He used Self-Respect reform themes, including critique of patriarchal ritual, but no governmental gender-policy authority applied in this phase.</x:v>
      </x:c>
      <x:c r="I31" s="37" t="str">
        <x:v>Law and policy</x:v>
      </x:c>
      <x:c r="J31" s="37" t="str">
        <x:v>Congress dominance gave way to a competitive regional party system; the DMK moved from separatist rhetoric to electoral federalism.</x:v>
      </x:c>
      <x:c r="K31" s="37" t="str">
        <x:v>Planned development and food scarcity; Cold War and postcolonial nation-building formed the wider setting.</x:v>
      </x:c>
      <x:c r="L31" s="37" t="str">
        <x:v>Cinema dialogue, theatre, Murasoli, rallies and radio created a hybrid mass-communication system.</x:v>
      </x:c>
      <x:c r="M31" s="37" t="str">
        <x:v>Universal adult franchise expanded opportunity; language policy and state reorganization reshaped Tamil politics.</x:v>
      </x:c>
      <x:c r="N31" s="37" t="str">
        <x:v>He used Self-Respect reform themes, including critique of patriarchal ritual, but no governmental gender-policy authority applied in this phase.</x:v>
      </x:c>
      <x:c r="O31" s="37" t="str">
        <x:v>Caste, language, class and family networks are assessed only where evidenced.</x:v>
      </x:c>
      <x:c r="P31" s="37" t="str">
        <x:v>Male-dominated party and electoral institutions</x:v>
      </x:c>
      <x:c r="Q31" s="37" t="str">
        <x:v>Comparable Tamil Nadu party leaders and office-holders in the same phase</x:v>
      </x:c>
      <x:c r="R31" s="37" t="str">
        <x:v>Contemporary coverage rarely isolated male privilege as an analytical category.</x:v>
      </x:c>
      <x:c r="S31" s="37" t="str">
        <x:v>Later gender analysis distinguishes concrete policy effects from male-dominated organization.</x:v>
      </x:c>
      <x:c r="T31" s="37" t="str">
        <x:v>Avoid projecting today's language of representation backward without losing the underlying inequality.</x:v>
      </x:c>
      <x:c r="U31" s="37" t="str">
        <x:v>Women-specific party records and gender-disaggregated leadership data are incomplete.</x:v>
      </x:c>
      <x:c r="V31" s="37" t="str">
        <x:v>Analysis</x:v>
      </x:c>
      <x:c r="W31" s="37" t="str">
        <x:v>Multiple independent sources</x:v>
      </x:c>
      <x:c r="X31" s="37" t="str">
        <x:v>S04; S05; S06; S07; S10; S27</x:v>
      </x:c>
      <x:c r="Y31" s="37" t="str">
        <x:v>Disposition reflects reviewed evidence; absence of evidence is not proof of absence.</x:v>
      </x:c>
    </x:row>
    <x:row r="32" ht="60" customHeight="1">
      <x:c r="A32" s="37" t="str">
        <x:v>X028</x:v>
      </x:c>
      <x:c r="B32" s="37" t="str">
        <x:v>DMK organizer, writer and legislator</x:v>
      </x:c>
      <x:c r="C32" s="58" t="n">
        <x:v>18158</x:v>
      </x:c>
      <x:c r="D32" s="58" t="n">
        <x:v>25243</x:v>
      </x:c>
      <x:c r="E32" s="37" t="str">
        <x:v>Gender</x:v>
      </x:c>
      <x:c r="F32" s="37" t="str">
        <x:v>Gender 8: Political use of identity — Was masculinity or gender identity strategically mobilized?</x:v>
      </x:c>
      <x:c r="G32" s="37" t="str">
        <x:v>Research limitation</x:v>
      </x:c>
      <x:c r="H3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I32" s="37" t="str">
        <x:v>Implicit leadership norms</x:v>
      </x:c>
      <x:c r="J32" s="37" t="str">
        <x:v>Congress dominance gave way to a competitive regional party system; the DMK moved from separatist rhetoric to electoral federalism.</x:v>
      </x:c>
      <x:c r="K32" s="37" t="str">
        <x:v>Planned development and food scarcity; Cold War and postcolonial nation-building formed the wider setting.</x:v>
      </x:c>
      <x:c r="L32" s="37" t="str">
        <x:v>Cinema dialogue, theatre, Murasoli, rallies and radio created a hybrid mass-communication system.</x:v>
      </x:c>
      <x:c r="M32" s="37" t="str">
        <x:v>Universal adult franchise expanded opportunity; language policy and state reorganization reshaped Tamil politics.</x:v>
      </x:c>
      <x:c r="N3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O32" s="37" t="str">
        <x:v>Caste, language, class and family networks are assessed only where evidenced.</x:v>
      </x:c>
      <x:c r="P32" s="37" t="str">
        <x:v>Male-dominated party and electoral institutions</x:v>
      </x:c>
      <x:c r="Q32" s="37" t="str">
        <x:v>Comparable Tamil Nadu party leaders and office-holders in the same phase</x:v>
      </x:c>
      <x:c r="R32" s="37" t="str">
        <x:v>Contemporary coverage rarely isolated male privilege as an analytical category.</x:v>
      </x:c>
      <x:c r="S32" s="37" t="str">
        <x:v>Later gender analysis distinguishes concrete policy effects from male-dominated organization.</x:v>
      </x:c>
      <x:c r="T32" s="37" t="str">
        <x:v>Avoid projecting today's language of representation backward without losing the underlying inequality.</x:v>
      </x:c>
      <x:c r="U32" s="37" t="str">
        <x:v>Women-specific party records and gender-disaggregated leadership data are incomplete.</x:v>
      </x:c>
      <x:c r="V32" s="37" t="str">
        <x:v>Analysis</x:v>
      </x:c>
      <x:c r="W32" s="37" t="str">
        <x:v>Single credible source</x:v>
      </x:c>
      <x:c r="X32" s="37" t="str">
        <x:v>S04; S05; S06; S07; S10; S27</x:v>
      </x:c>
      <x:c r="Y32" s="37" t="str">
        <x:v>Disposition reflects reviewed evidence; absence of evidence is not proof of absence.</x:v>
      </x:c>
    </x:row>
    <x:row r="33" ht="60" customHeight="1">
      <x:c r="A33" s="37" t="str">
        <x:v>X029</x:v>
      </x:c>
      <x:c r="B33" s="37" t="str">
        <x:v>DMK organizer, writer and legislator</x:v>
      </x:c>
      <x:c r="C33" s="58" t="n">
        <x:v>18158</x:v>
      </x:c>
      <x:c r="D33" s="58" t="n">
        <x:v>25243</x:v>
      </x:c>
      <x:c r="E33" s="37" t="str">
        <x:v>Gender</x:v>
      </x:c>
      <x:c r="F33" s="37" t="str">
        <x:v>Gender 9: Representation and effects — What symbolic, descriptive or substantive gender effects followed?</x:v>
      </x:c>
      <x:c r="G33" s="37" t="str">
        <x:v>Not materially relevant</x:v>
      </x:c>
      <x:c r="H33" s="37" t="str">
        <x:v>No defensible substantive gender effect follows from his personal presence alone in this phase.</x:v>
      </x:c>
      <x:c r="I33" s="37" t="str">
        <x:v>Separate descriptive and substantive effects</x:v>
      </x:c>
      <x:c r="J33" s="37" t="str">
        <x:v>Congress dominance gave way to a competitive regional party system; the DMK moved from separatist rhetoric to electoral federalism.</x:v>
      </x:c>
      <x:c r="K33" s="37" t="str">
        <x:v>Planned development and food scarcity; Cold War and postcolonial nation-building formed the wider setting.</x:v>
      </x:c>
      <x:c r="L33" s="37" t="str">
        <x:v>Cinema dialogue, theatre, Murasoli, rallies and radio created a hybrid mass-communication system.</x:v>
      </x:c>
      <x:c r="M33" s="37" t="str">
        <x:v>Universal adult franchise expanded opportunity; language policy and state reorganization reshaped Tamil politics.</x:v>
      </x:c>
      <x:c r="N33" s="37" t="str">
        <x:v>No defensible substantive gender effect follows from his personal presence alone in this phase.</x:v>
      </x:c>
      <x:c r="O33" s="37" t="str">
        <x:v>Caste, language, class and family networks are assessed only where evidenced.</x:v>
      </x:c>
      <x:c r="P33" s="37" t="str">
        <x:v>Male-dominated party and electoral institutions</x:v>
      </x:c>
      <x:c r="Q33" s="37" t="str">
        <x:v>Comparable Tamil Nadu party leaders and office-holders in the same phase</x:v>
      </x:c>
      <x:c r="R33" s="37" t="str">
        <x:v>Contemporary coverage rarely isolated male privilege as an analytical category.</x:v>
      </x:c>
      <x:c r="S33" s="37" t="str">
        <x:v>Later gender analysis distinguishes concrete policy effects from male-dominated organization.</x:v>
      </x:c>
      <x:c r="T33" s="37" t="str">
        <x:v>Avoid projecting today's language of representation backward without losing the underlying inequality.</x:v>
      </x:c>
      <x:c r="U33" s="37" t="str">
        <x:v>Women-specific party records and gender-disaggregated leadership data are incomplete.</x:v>
      </x:c>
      <x:c r="V33" s="37" t="str">
        <x:v>Analysis</x:v>
      </x:c>
      <x:c r="W33" s="37" t="str">
        <x:v>Multiple independent sources</x:v>
      </x:c>
      <x:c r="X33" s="37" t="str">
        <x:v>S04; S05; S06; S07; S10; S27</x:v>
      </x:c>
      <x:c r="Y33" s="37" t="str">
        <x:v>Disposition reflects reviewed evidence; absence of evidence is not proof of absence.</x:v>
      </x:c>
    </x:row>
    <x:row r="34" ht="60" customHeight="1">
      <x:c r="A34" s="37" t="str">
        <x:v>X030</x:v>
      </x:c>
      <x:c r="B34" s="37" t="str">
        <x:v>DMK organizer, writer and legislator</x:v>
      </x:c>
      <x:c r="C34" s="58" t="n">
        <x:v>18158</x:v>
      </x:c>
      <x:c r="D34" s="58" t="n">
        <x:v>25243</x:v>
      </x:c>
      <x:c r="E34" s="37" t="str">
        <x:v>Gender</x:v>
      </x:c>
      <x:c r="F34" s="37" t="str">
        <x:v>Gender 10: Assessment over time — How have gender assessments changed?</x:v>
      </x:c>
      <x:c r="G34" s="37" t="str">
        <x:v>Material finding</x:v>
      </x:c>
      <x:c r="H3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I34" s="37" t="str">
        <x:v>Retrospective reframing</x:v>
      </x:c>
      <x:c r="J34" s="37" t="str">
        <x:v>Congress dominance gave way to a competitive regional party system; the DMK moved from separatist rhetoric to electoral federalism.</x:v>
      </x:c>
      <x:c r="K34" s="37" t="str">
        <x:v>Planned development and food scarcity; Cold War and postcolonial nation-building formed the wider setting.</x:v>
      </x:c>
      <x:c r="L34" s="37" t="str">
        <x:v>Cinema dialogue, theatre, Murasoli, rallies and radio created a hybrid mass-communication system.</x:v>
      </x:c>
      <x:c r="M34" s="37" t="str">
        <x:v>Universal adult franchise expanded opportunity; language policy and state reorganization reshaped Tamil politics.</x:v>
      </x:c>
      <x:c r="N3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O34" s="37" t="str">
        <x:v>Caste, language, class and family networks are assessed only where evidenced.</x:v>
      </x:c>
      <x:c r="P34" s="37" t="str">
        <x:v>Male-dominated party and electoral institutions</x:v>
      </x:c>
      <x:c r="Q34" s="37" t="str">
        <x:v>Comparable Tamil Nadu party leaders and office-holders in the same phase</x:v>
      </x:c>
      <x:c r="R34" s="37" t="str">
        <x:v>Contemporary coverage rarely isolated male privilege as an analytical category.</x:v>
      </x:c>
      <x:c r="S34" s="37" t="str">
        <x:v>Later gender analysis distinguishes concrete policy effects from male-dominated organization.</x:v>
      </x:c>
      <x:c r="T34" s="37" t="str">
        <x:v>Avoid projecting today's language of representation backward without losing the underlying inequality.</x:v>
      </x:c>
      <x:c r="U34" s="37" t="str">
        <x:v>Women-specific party records and gender-disaggregated leadership data are incomplete.</x:v>
      </x:c>
      <x:c r="V34" s="37" t="str">
        <x:v>Analysis</x:v>
      </x:c>
      <x:c r="W34" s="37" t="str">
        <x:v>Single credible source</x:v>
      </x:c>
      <x:c r="X34" s="37" t="str">
        <x:v>S04; S05; S06; S07; S10; S27</x:v>
      </x:c>
      <x:c r="Y34" s="37" t="str">
        <x:v>Disposition reflects reviewed evidence; absence of evidence is not proof of absence.</x:v>
      </x:c>
    </x:row>
    <x:row r="35" ht="60" customHeight="1">
      <x:c r="A35" s="37" t="str">
        <x:v>X031</x:v>
      </x:c>
      <x:c r="B35" s="37" t="str">
        <x:v>DMK organizer, writer and legislator</x:v>
      </x:c>
      <x:c r="C35" s="58" t="n">
        <x:v>18158</x:v>
      </x:c>
      <x:c r="D35" s="58" t="n">
        <x:v>25243</x:v>
      </x:c>
      <x:c r="E35" s="37" t="str">
        <x:v>Era</x:v>
      </x:c>
      <x:c r="F35" s="37" t="str">
        <x:v>Era 1: Party system — What party system structured opportunity and constraint?</x:v>
      </x:c>
      <x:c r="G35" s="37" t="str">
        <x:v>Material finding</x:v>
      </x:c>
      <x:c r="H35" s="37" t="str">
        <x:v>Congress dominance gave way to a competitive regional party system; the DMK moved from separatist rhetoric to electoral federalism.</x:v>
      </x:c>
      <x:c r="I35" s="37" t="str">
        <x:v>Party competition and alliance structure</x:v>
      </x:c>
      <x:c r="J35" s="37" t="str">
        <x:v>Congress dominance gave way to a competitive regional party system; the DMK moved from separatist rhetoric to electoral federalism.</x:v>
      </x:c>
      <x:c r="K35" s="37" t="str">
        <x:v>Planned development and food scarcity; Cold War and postcolonial nation-building formed the wider setting.</x:v>
      </x:c>
      <x:c r="L35" s="37" t="str">
        <x:v>Cinema dialogue, theatre, Murasoli, rallies and radio created a hybrid mass-communication system.</x:v>
      </x:c>
      <x:c r="M35" s="37" t="str">
        <x:v>Universal adult franchise expanded opportunity; language policy and state reorganization reshaped Tamil politics.</x:v>
      </x:c>
      <x:c r="N35" s="37" t="str">
        <x:v>Gender norms affected access and representation but were rarely the sole driver.</x:v>
      </x:c>
      <x:c r="O35" s="37" t="str">
        <x:v>Language, caste, region and class were often more explicit axes of mobilization.</x:v>
      </x:c>
      <x:c r="P35" s="37" t="str">
        <x:v>Conditions stated in finding</x:v>
      </x:c>
      <x:c r="Q35" s="37" t="str">
        <x:v>Tamil Nadu chief ministers, regional-party leaders and opposition figures in the same period</x:v>
      </x:c>
      <x:c r="R35" s="37" t="str">
        <x:v>Assessment reconstructed from phase-specific records.</x:v>
      </x:c>
      <x:c r="S35" s="37" t="str">
        <x:v>Later scholarship evaluates institutional and distributional consequences.</x:v>
      </x:c>
      <x:c r="T35" s="37" t="str">
        <x:v>Use contemporaneous territorial names, feasible alternatives and institutional powers; context does not excuse rights violations or corruption.</x:v>
      </x:c>
      <x:c r="U35" s="37" t="str">
        <x:v>Digitization and source balance vary by phase.</x:v>
      </x:c>
      <x:c r="V35" s="37" t="str">
        <x:v>Analysis</x:v>
      </x:c>
      <x:c r="W35" s="37" t="str">
        <x:v>Multiple independent sources</x:v>
      </x:c>
      <x:c r="X35" s="37" t="str">
        <x:v>S04; S05; S06; S07</x:v>
      </x:c>
      <x:c r="Y35" s="37" t="str">
        <x:v>Broad phase synthesis; event-specific claims use narrower sources elsewhere.</x:v>
      </x:c>
    </x:row>
    <x:row r="36" ht="60" customHeight="1">
      <x:c r="A36" s="37" t="str">
        <x:v>X032</x:v>
      </x:c>
      <x:c r="B36" s="37" t="str">
        <x:v>DMK organizer, writer and legislator</x:v>
      </x:c>
      <x:c r="C36" s="58" t="n">
        <x:v>18158</x:v>
      </x:c>
      <x:c r="D36" s="58" t="n">
        <x:v>25243</x:v>
      </x:c>
      <x:c r="E36" s="37" t="str">
        <x:v>Era</x:v>
      </x:c>
      <x:c r="F36" s="37" t="str">
        <x:v>Era 2: Constitutional and institutional environment — What was the executive, judicial, federal and civil-liberties setting?</x:v>
      </x:c>
      <x:c r="G36" s="37" t="str">
        <x:v>Material finding</x:v>
      </x:c>
      <x:c r="H36" s="37" t="str">
        <x:v>Universal adult franchise expanded opportunity; language policy and state reorganization reshaped Tamil politics.</x:v>
      </x:c>
      <x:c r="I36" s="37" t="str">
        <x:v>Constitutional opportunity and constraint</x:v>
      </x:c>
      <x:c r="J36" s="37" t="str">
        <x:v>Congress dominance gave way to a competitive regional party system; the DMK moved from separatist rhetoric to electoral federalism.</x:v>
      </x:c>
      <x:c r="K36" s="37" t="str">
        <x:v>Planned development and food scarcity; Cold War and postcolonial nation-building formed the wider setting.</x:v>
      </x:c>
      <x:c r="L36" s="37" t="str">
        <x:v>Cinema dialogue, theatre, Murasoli, rallies and radio created a hybrid mass-communication system.</x:v>
      </x:c>
      <x:c r="M36" s="37" t="str">
        <x:v>Universal adult franchise expanded opportunity; language policy and state reorganization reshaped Tamil politics.</x:v>
      </x:c>
      <x:c r="N36" s="37" t="str">
        <x:v>Gender norms affected access and representation but were rarely the sole driver.</x:v>
      </x:c>
      <x:c r="O36" s="37" t="str">
        <x:v>Language, caste, region and class were often more explicit axes of mobilization.</x:v>
      </x:c>
      <x:c r="P36" s="37" t="str">
        <x:v>Conditions stated in finding</x:v>
      </x:c>
      <x:c r="Q36" s="37" t="str">
        <x:v>Tamil Nadu chief ministers, regional-party leaders and opposition figures in the same period</x:v>
      </x:c>
      <x:c r="R36" s="37" t="str">
        <x:v>Assessment reconstructed from phase-specific records.</x:v>
      </x:c>
      <x:c r="S36" s="37" t="str">
        <x:v>Later scholarship evaluates institutional and distributional consequences.</x:v>
      </x:c>
      <x:c r="T36" s="37" t="str">
        <x:v>Use contemporaneous territorial names, feasible alternatives and institutional powers; context does not excuse rights violations or corruption.</x:v>
      </x:c>
      <x:c r="U36" s="37" t="str">
        <x:v>Digitization and source balance vary by phase.</x:v>
      </x:c>
      <x:c r="V36" s="37" t="str">
        <x:v>Analysis</x:v>
      </x:c>
      <x:c r="W36" s="37" t="str">
        <x:v>Multiple independent sources</x:v>
      </x:c>
      <x:c r="X36" s="37" t="str">
        <x:v>S04; S05; S06; S07</x:v>
      </x:c>
      <x:c r="Y36" s="37" t="str">
        <x:v>Broad phase synthesis; event-specific claims use narrower sources elsewhere.</x:v>
      </x:c>
    </x:row>
    <x:row r="37" ht="60" customHeight="1">
      <x:c r="A37" s="37" t="str">
        <x:v>X033</x:v>
      </x:c>
      <x:c r="B37" s="37" t="str">
        <x:v>DMK organizer, writer and legislator</x:v>
      </x:c>
      <x:c r="C37" s="58" t="n">
        <x:v>18158</x:v>
      </x:c>
      <x:c r="D37" s="58" t="n">
        <x:v>25243</x:v>
      </x:c>
      <x:c r="E37" s="37" t="str">
        <x:v>Era</x:v>
      </x:c>
      <x:c r="F37" s="37" t="str">
        <x:v>Era 3: Electoral environment — What election rules, boundaries, practices and data conditions applied?</x:v>
      </x:c>
      <x:c r="G37" s="37" t="str">
        <x:v>Material finding</x:v>
      </x:c>
      <x:c r="H37" s="37" t="str">
        <x:v>Universal adult franchise, state reorganization and the 1957–1967 contests allowed a regional movement to become a governing party.</x:v>
      </x:c>
      <x:c r="I37" s="37" t="str">
        <x:v>Franchise, competition and electoral shocks</x:v>
      </x:c>
      <x:c r="J37" s="37" t="str">
        <x:v>Congress dominance gave way to a competitive regional party system; the DMK moved from separatist rhetoric to electoral federalism.</x:v>
      </x:c>
      <x:c r="K37" s="37" t="str">
        <x:v>Planned development and food scarcity; Cold War and postcolonial nation-building formed the wider setting.</x:v>
      </x:c>
      <x:c r="L37" s="37" t="str">
        <x:v>Cinema dialogue, theatre, Murasoli, rallies and radio created a hybrid mass-communication system.</x:v>
      </x:c>
      <x:c r="M37" s="37" t="str">
        <x:v>Universal adult franchise expanded opportunity; language policy and state reorganization reshaped Tamil politics.</x:v>
      </x:c>
      <x:c r="N37" s="37" t="str">
        <x:v>Gender norms affected access and representation but were rarely the sole driver.</x:v>
      </x:c>
      <x:c r="O37" s="37" t="str">
        <x:v>Language, caste, region and class were often more explicit axes of mobilization.</x:v>
      </x:c>
      <x:c r="P37" s="37" t="str">
        <x:v>Conditions stated in finding</x:v>
      </x:c>
      <x:c r="Q37" s="37" t="str">
        <x:v>Tamil Nadu chief ministers, regional-party leaders and opposition figures in the same period</x:v>
      </x:c>
      <x:c r="R37" s="37" t="str">
        <x:v>Assessment reconstructed from phase-specific records.</x:v>
      </x:c>
      <x:c r="S37" s="37" t="str">
        <x:v>Later scholarship evaluates institutional and distributional consequences.</x:v>
      </x:c>
      <x:c r="T37" s="37" t="str">
        <x:v>Use contemporaneous territorial names, feasible alternatives and institutional powers; context does not excuse rights violations or corruption.</x:v>
      </x:c>
      <x:c r="U37" s="37" t="str">
        <x:v>Digitization and source balance vary by phase.</x:v>
      </x:c>
      <x:c r="V37" s="37" t="str">
        <x:v>Analysis</x:v>
      </x:c>
      <x:c r="W37" s="37" t="str">
        <x:v>Multiple independent sources</x:v>
      </x:c>
      <x:c r="X37" s="37" t="str">
        <x:v>S04; S05; S06; S07</x:v>
      </x:c>
      <x:c r="Y37" s="37" t="str">
        <x:v>Broad phase synthesis; event-specific claims use narrower sources elsewhere.</x:v>
      </x:c>
    </x:row>
    <x:row r="38" ht="60" customHeight="1">
      <x:c r="A38" s="37" t="str">
        <x:v>X034</x:v>
      </x:c>
      <x:c r="B38" s="37" t="str">
        <x:v>DMK organizer, writer and legislator</x:v>
      </x:c>
      <x:c r="C38" s="58" t="n">
        <x:v>18158</x:v>
      </x:c>
      <x:c r="D38" s="58" t="n">
        <x:v>25243</x:v>
      </x:c>
      <x:c r="E38" s="37" t="str">
        <x:v>Era</x:v>
      </x:c>
      <x:c r="F38" s="37" t="str">
        <x:v>Era 4: Economic regime — What economic regime framed policy choices?</x:v>
      </x:c>
      <x:c r="G38" s="37" t="str">
        <x:v>Material finding</x:v>
      </x:c>
      <x:c r="H38" s="37" t="str">
        <x:v>Planned development and food scarcity; Cold War and postcolonial nation-building formed the wider setting.</x:v>
      </x:c>
      <x:c r="I38" s="37" t="str">
        <x:v>Economic regime and feasible policy set</x:v>
      </x:c>
      <x:c r="J38" s="37" t="str">
        <x:v>Congress dominance gave way to a competitive regional party system; the DMK moved from separatist rhetoric to electoral federalism.</x:v>
      </x:c>
      <x:c r="K38" s="37" t="str">
        <x:v>Planned development and food scarcity; Cold War and postcolonial nation-building formed the wider setting.</x:v>
      </x:c>
      <x:c r="L38" s="37" t="str">
        <x:v>Cinema dialogue, theatre, Murasoli, rallies and radio created a hybrid mass-communication system.</x:v>
      </x:c>
      <x:c r="M38" s="37" t="str">
        <x:v>Universal adult franchise expanded opportunity; language policy and state reorganization reshaped Tamil politics.</x:v>
      </x:c>
      <x:c r="N38" s="37" t="str">
        <x:v>Gender norms affected access and representation but were rarely the sole driver.</x:v>
      </x:c>
      <x:c r="O38" s="37" t="str">
        <x:v>Language, caste, region and class were often more explicit axes of mobilization.</x:v>
      </x:c>
      <x:c r="P38" s="37" t="str">
        <x:v>Conditions stated in finding</x:v>
      </x:c>
      <x:c r="Q38" s="37" t="str">
        <x:v>Tamil Nadu chief ministers, regional-party leaders and opposition figures in the same period</x:v>
      </x:c>
      <x:c r="R38" s="37" t="str">
        <x:v>Assessment reconstructed from phase-specific records.</x:v>
      </x:c>
      <x:c r="S38" s="37" t="str">
        <x:v>Later scholarship evaluates institutional and distributional consequences.</x:v>
      </x:c>
      <x:c r="T38" s="37" t="str">
        <x:v>Use contemporaneous territorial names, feasible alternatives and institutional powers; context does not excuse rights violations or corruption.</x:v>
      </x:c>
      <x:c r="U38" s="37" t="str">
        <x:v>Digitization and source balance vary by phase.</x:v>
      </x:c>
      <x:c r="V38" s="37" t="str">
        <x:v>Analysis</x:v>
      </x:c>
      <x:c r="W38" s="37" t="str">
        <x:v>Multiple independent sources</x:v>
      </x:c>
      <x:c r="X38" s="37" t="str">
        <x:v>S04; S05; S06; S07</x:v>
      </x:c>
      <x:c r="Y38" s="37" t="str">
        <x:v>Broad phase synthesis; event-specific claims use narrower sources elsewhere.</x:v>
      </x:c>
    </x:row>
    <x:row r="39" ht="60" customHeight="1">
      <x:c r="A39" s="37" t="str">
        <x:v>X035</x:v>
      </x:c>
      <x:c r="B39" s="37" t="str">
        <x:v>DMK organizer, writer and legislator</x:v>
      </x:c>
      <x:c r="C39" s="58" t="n">
        <x:v>18158</x:v>
      </x:c>
      <x:c r="D39" s="58" t="n">
        <x:v>25243</x:v>
      </x:c>
      <x:c r="E39" s="37" t="str">
        <x:v>Era</x:v>
      </x:c>
      <x:c r="F39" s="37" t="str">
        <x:v>Era 5: International system — What international conditions materially mattered?</x:v>
      </x:c>
      <x:c r="G39" s="37" t="str">
        <x:v>Material finding</x:v>
      </x:c>
      <x:c r="H39" s="37" t="str">
        <x:v>Cold War nation-building and decolonization framed the movement's shift from separatism to federal electoral politics.</x:v>
      </x:c>
      <x:c r="I39" s="37" t="str">
        <x:v>International events affecting state politics</x:v>
      </x:c>
      <x:c r="J39" s="37" t="str">
        <x:v>Congress dominance gave way to a competitive regional party system; the DMK moved from separatist rhetoric to electoral federalism.</x:v>
      </x:c>
      <x:c r="K39" s="37" t="str">
        <x:v>Planned development and food scarcity; Cold War and postcolonial nation-building formed the wider setting.</x:v>
      </x:c>
      <x:c r="L39" s="37" t="str">
        <x:v>Cinema dialogue, theatre, Murasoli, rallies and radio created a hybrid mass-communication system.</x:v>
      </x:c>
      <x:c r="M39" s="37" t="str">
        <x:v>Universal adult franchise expanded opportunity; language policy and state reorganization reshaped Tamil politics.</x:v>
      </x:c>
      <x:c r="N39" s="37" t="str">
        <x:v>Gender norms affected access and representation but were rarely the sole driver.</x:v>
      </x:c>
      <x:c r="O39" s="37" t="str">
        <x:v>Language, caste, region and class were often more explicit axes of mobilization.</x:v>
      </x:c>
      <x:c r="P39" s="37" t="str">
        <x:v>Conditions stated in finding</x:v>
      </x:c>
      <x:c r="Q39" s="37" t="str">
        <x:v>Tamil Nadu chief ministers, regional-party leaders and opposition figures in the same period</x:v>
      </x:c>
      <x:c r="R39" s="37" t="str">
        <x:v>Assessment reconstructed from phase-specific records.</x:v>
      </x:c>
      <x:c r="S39" s="37" t="str">
        <x:v>Later scholarship evaluates institutional and distributional consequences.</x:v>
      </x:c>
      <x:c r="T39" s="37" t="str">
        <x:v>Use contemporaneous territorial names, feasible alternatives and institutional powers; context does not excuse rights violations or corruption.</x:v>
      </x:c>
      <x:c r="U39" s="37" t="str">
        <x:v>Digitization and source balance vary by phase.</x:v>
      </x:c>
      <x:c r="V39" s="37" t="str">
        <x:v>Analysis</x:v>
      </x:c>
      <x:c r="W39" s="37" t="str">
        <x:v>Multiple independent sources</x:v>
      </x:c>
      <x:c r="X39" s="37" t="str">
        <x:v>S04; S05; S06; S07</x:v>
      </x:c>
      <x:c r="Y39" s="37" t="str">
        <x:v>Broad phase synthesis; event-specific claims use narrower sources elsewhere.</x:v>
      </x:c>
    </x:row>
    <x:row r="40" ht="60" customHeight="1">
      <x:c r="A40" s="37" t="str">
        <x:v>X036</x:v>
      </x:c>
      <x:c r="B40" s="37" t="str">
        <x:v>DMK organizer, writer and legislator</x:v>
      </x:c>
      <x:c r="C40" s="58" t="n">
        <x:v>18158</x:v>
      </x:c>
      <x:c r="D40" s="58" t="n">
        <x:v>25243</x:v>
      </x:c>
      <x:c r="E40" s="37" t="str">
        <x:v>Era</x:v>
      </x:c>
      <x:c r="F40" s="37" t="str">
        <x:v>Era 6: Media and campaign environment — Which media and campaign technologies structured politics?</x:v>
      </x:c>
      <x:c r="G40" s="37" t="str">
        <x:v>Material finding</x:v>
      </x:c>
      <x:c r="H40" s="37" t="str">
        <x:v>Cinema dialogue, theatre, Murasoli, rallies and radio created a hybrid mass-communication system.</x:v>
      </x:c>
      <x:c r="I40" s="37" t="str">
        <x:v>Communication technology and gatekeeping</x:v>
      </x:c>
      <x:c r="J40" s="37" t="str">
        <x:v>Congress dominance gave way to a competitive regional party system; the DMK moved from separatist rhetoric to electoral federalism.</x:v>
      </x:c>
      <x:c r="K40" s="37" t="str">
        <x:v>Planned development and food scarcity; Cold War and postcolonial nation-building formed the wider setting.</x:v>
      </x:c>
      <x:c r="L40" s="37" t="str">
        <x:v>Cinema dialogue, theatre, Murasoli, rallies and radio created a hybrid mass-communication system.</x:v>
      </x:c>
      <x:c r="M40" s="37" t="str">
        <x:v>Universal adult franchise expanded opportunity; language policy and state reorganization reshaped Tamil politics.</x:v>
      </x:c>
      <x:c r="N40" s="37" t="str">
        <x:v>Gender norms affected access and representation but were rarely the sole driver.</x:v>
      </x:c>
      <x:c r="O40" s="37" t="str">
        <x:v>Language, caste, region and class were often more explicit axes of mobilization.</x:v>
      </x:c>
      <x:c r="P40" s="37" t="str">
        <x:v>Conditions stated in finding</x:v>
      </x:c>
      <x:c r="Q40" s="37" t="str">
        <x:v>Tamil Nadu chief ministers, regional-party leaders and opposition figures in the same period</x:v>
      </x:c>
      <x:c r="R40" s="37" t="str">
        <x:v>Assessment reconstructed from phase-specific records.</x:v>
      </x:c>
      <x:c r="S40" s="37" t="str">
        <x:v>Later scholarship evaluates institutional and distributional consequences.</x:v>
      </x:c>
      <x:c r="T40" s="37" t="str">
        <x:v>Use contemporaneous territorial names, feasible alternatives and institutional powers; context does not excuse rights violations or corruption.</x:v>
      </x:c>
      <x:c r="U40" s="37" t="str">
        <x:v>Digitization and source balance vary by phase.</x:v>
      </x:c>
      <x:c r="V40" s="37" t="str">
        <x:v>Analysis</x:v>
      </x:c>
      <x:c r="W40" s="37" t="str">
        <x:v>Multiple independent sources</x:v>
      </x:c>
      <x:c r="X40" s="37" t="str">
        <x:v>S04; S05; S06; S07</x:v>
      </x:c>
      <x:c r="Y40" s="37" t="str">
        <x:v>Broad phase synthesis; event-specific claims use narrower sources elsewhere.</x:v>
      </x:c>
    </x:row>
    <x:row r="41" ht="60" customHeight="1">
      <x:c r="A41" s="37" t="str">
        <x:v>X037</x:v>
      </x:c>
      <x:c r="B41" s="37" t="str">
        <x:v>DMK organizer, writer and legislator</x:v>
      </x:c>
      <x:c r="C41" s="58" t="n">
        <x:v>18158</x:v>
      </x:c>
      <x:c r="D41" s="58" t="n">
        <x:v>25243</x:v>
      </x:c>
      <x:c r="E41" s="37" t="str">
        <x:v>Era</x:v>
      </x:c>
      <x:c r="F41" s="37" t="str">
        <x:v>Era 7: Political organization — What organizational form carried power?</x:v>
      </x:c>
      <x:c r="G41" s="37" t="str">
        <x:v>Material finding</x:v>
      </x:c>
      <x:c r="H41" s="37" t="str">
        <x:v>DMK combined cadre branches, cultural workers, cinema celebrities, newspapers and street mobilization.</x:v>
      </x:c>
      <x:c r="I41" s="37" t="str">
        <x:v>Organizational capacity</x:v>
      </x:c>
      <x:c r="J41" s="37" t="str">
        <x:v>Congress dominance gave way to a competitive regional party system; the DMK moved from separatist rhetoric to electoral federalism.</x:v>
      </x:c>
      <x:c r="K41" s="37" t="str">
        <x:v>Planned development and food scarcity; Cold War and postcolonial nation-building formed the wider setting.</x:v>
      </x:c>
      <x:c r="L41" s="37" t="str">
        <x:v>Cinema dialogue, theatre, Murasoli, rallies and radio created a hybrid mass-communication system.</x:v>
      </x:c>
      <x:c r="M41" s="37" t="str">
        <x:v>Universal adult franchise expanded opportunity; language policy and state reorganization reshaped Tamil politics.</x:v>
      </x:c>
      <x:c r="N41" s="37" t="str">
        <x:v>Gender norms affected access and representation but were rarely the sole driver.</x:v>
      </x:c>
      <x:c r="O41" s="37" t="str">
        <x:v>Language, caste, region and class were often more explicit axes of mobilization.</x:v>
      </x:c>
      <x:c r="P41" s="37" t="str">
        <x:v>Conditions stated in finding</x:v>
      </x:c>
      <x:c r="Q41" s="37" t="str">
        <x:v>Tamil Nadu chief ministers, regional-party leaders and opposition figures in the same period</x:v>
      </x:c>
      <x:c r="R41" s="37" t="str">
        <x:v>Assessment reconstructed from phase-specific records.</x:v>
      </x:c>
      <x:c r="S41" s="37" t="str">
        <x:v>Later scholarship evaluates institutional and distributional consequences.</x:v>
      </x:c>
      <x:c r="T41" s="37" t="str">
        <x:v>Use contemporaneous territorial names, feasible alternatives and institutional powers; context does not excuse rights violations or corruption.</x:v>
      </x:c>
      <x:c r="U41" s="37" t="str">
        <x:v>Digitization and source balance vary by phase.</x:v>
      </x:c>
      <x:c r="V41" s="37" t="str">
        <x:v>Analysis</x:v>
      </x:c>
      <x:c r="W41" s="37" t="str">
        <x:v>Multiple independent sources</x:v>
      </x:c>
      <x:c r="X41" s="37" t="str">
        <x:v>S04; S05; S06; S07</x:v>
      </x:c>
      <x:c r="Y41" s="37" t="str">
        <x:v>Broad phase synthesis; event-specific claims use narrower sources elsewhere.</x:v>
      </x:c>
    </x:row>
    <x:row r="42" ht="60" customHeight="1">
      <x:c r="A42" s="37" t="str">
        <x:v>X038</x:v>
      </x:c>
      <x:c r="B42" s="37" t="str">
        <x:v>DMK organizer, writer and legislator</x:v>
      </x:c>
      <x:c r="C42" s="58" t="n">
        <x:v>18158</x:v>
      </x:c>
      <x:c r="D42" s="58" t="n">
        <x:v>25243</x:v>
      </x:c>
      <x:c r="E42" s="37" t="str">
        <x:v>Era</x:v>
      </x:c>
      <x:c r="F42" s="37" t="str">
        <x:v>Era 8: Social environment — Which caste, language, religion, class or gender conditions mattered?</x:v>
      </x:c>
      <x:c r="G42" s="37" t="str">
        <x:v>Material finding</x:v>
      </x:c>
      <x:c r="H42" s="37" t="str">
        <x:v>Anti-Hindi mobilization, urbanization, cinema audiences and backward-class assertion expanded the DMK coalition.</x:v>
      </x:c>
      <x:c r="I42" s="37" t="str">
        <x:v>Social coalition and conflict</x:v>
      </x:c>
      <x:c r="J42" s="37" t="str">
        <x:v>Congress dominance gave way to a competitive regional party system; the DMK moved from separatist rhetoric to electoral federalism.</x:v>
      </x:c>
      <x:c r="K42" s="37" t="str">
        <x:v>Planned development and food scarcity; Cold War and postcolonial nation-building formed the wider setting.</x:v>
      </x:c>
      <x:c r="L42" s="37" t="str">
        <x:v>Cinema dialogue, theatre, Murasoli, rallies and radio created a hybrid mass-communication system.</x:v>
      </x:c>
      <x:c r="M42" s="37" t="str">
        <x:v>Universal adult franchise expanded opportunity; language policy and state reorganization reshaped Tamil politics.</x:v>
      </x:c>
      <x:c r="N42" s="37" t="str">
        <x:v>Gender norms affected access and representation but were rarely the sole driver.</x:v>
      </x:c>
      <x:c r="O42" s="37" t="str">
        <x:v>Language, caste, region and class were often more explicit axes of mobilization.</x:v>
      </x:c>
      <x:c r="P42" s="37" t="str">
        <x:v>Conditions stated in finding</x:v>
      </x:c>
      <x:c r="Q42" s="37" t="str">
        <x:v>Tamil Nadu chief ministers, regional-party leaders and opposition figures in the same period</x:v>
      </x:c>
      <x:c r="R42" s="37" t="str">
        <x:v>Assessment reconstructed from phase-specific records.</x:v>
      </x:c>
      <x:c r="S42" s="37" t="str">
        <x:v>Later scholarship evaluates institutional and distributional consequences.</x:v>
      </x:c>
      <x:c r="T42" s="37" t="str">
        <x:v>Use contemporaneous territorial names, feasible alternatives and institutional powers; context does not excuse rights violations or corruption.</x:v>
      </x:c>
      <x:c r="U42" s="37" t="str">
        <x:v>Digitization and source balance vary by phase.</x:v>
      </x:c>
      <x:c r="V42" s="37" t="str">
        <x:v>Analysis</x:v>
      </x:c>
      <x:c r="W42" s="37" t="str">
        <x:v>Multiple independent sources</x:v>
      </x:c>
      <x:c r="X42" s="37" t="str">
        <x:v>S04; S05; S06; S07</x:v>
      </x:c>
      <x:c r="Y42" s="37" t="str">
        <x:v>Broad phase synthesis; event-specific claims use narrower sources elsewhere.</x:v>
      </x:c>
    </x:row>
    <x:row r="43" ht="60" customHeight="1">
      <x:c r="A43" s="37" t="str">
        <x:v>X039</x:v>
      </x:c>
      <x:c r="B43" s="37" t="str">
        <x:v>DMK organizer, writer and legislator</x:v>
      </x:c>
      <x:c r="C43" s="58" t="n">
        <x:v>18158</x:v>
      </x:c>
      <x:c r="D43" s="58" t="n">
        <x:v>25243</x:v>
      </x:c>
      <x:c r="E43" s="37" t="str">
        <x:v>Era</x:v>
      </x:c>
      <x:c r="F43" s="37" t="str">
        <x:v>Era 9: State structure and political geography — How did boundaries and Centre–State relations matter?</x:v>
      </x:c>
      <x:c r="G43" s="37" t="str">
        <x:v>Material finding</x:v>
      </x:c>
      <x:c r="H43" s="37" t="str">
        <x:v>Andhra separation and the States Reorganisation process produced a more Tamil-speaking state; Madras State became Tamil Nadu in 1969.</x:v>
      </x:c>
      <x:c r="I43" s="37" t="str">
        <x:v>Territory and federal power</x:v>
      </x:c>
      <x:c r="J43" s="37" t="str">
        <x:v>Congress dominance gave way to a competitive regional party system; the DMK moved from separatist rhetoric to electoral federalism.</x:v>
      </x:c>
      <x:c r="K43" s="37" t="str">
        <x:v>Planned development and food scarcity; Cold War and postcolonial nation-building formed the wider setting.</x:v>
      </x:c>
      <x:c r="L43" s="37" t="str">
        <x:v>Cinema dialogue, theatre, Murasoli, rallies and radio created a hybrid mass-communication system.</x:v>
      </x:c>
      <x:c r="M43" s="37" t="str">
        <x:v>Universal adult franchise expanded opportunity; language policy and state reorganization reshaped Tamil politics.</x:v>
      </x:c>
      <x:c r="N43" s="37" t="str">
        <x:v>Gender norms affected access and representation but were rarely the sole driver.</x:v>
      </x:c>
      <x:c r="O43" s="37" t="str">
        <x:v>Language, caste, region and class were often more explicit axes of mobilization.</x:v>
      </x:c>
      <x:c r="P43" s="37" t="str">
        <x:v>Conditions stated in finding</x:v>
      </x:c>
      <x:c r="Q43" s="37" t="str">
        <x:v>Tamil Nadu chief ministers, regional-party leaders and opposition figures in the same period</x:v>
      </x:c>
      <x:c r="R43" s="37" t="str">
        <x:v>Assessment reconstructed from phase-specific records.</x:v>
      </x:c>
      <x:c r="S43" s="37" t="str">
        <x:v>Later scholarship evaluates institutional and distributional consequences.</x:v>
      </x:c>
      <x:c r="T43" s="37" t="str">
        <x:v>Use contemporaneous territorial names, feasible alternatives and institutional powers; context does not excuse rights violations or corruption.</x:v>
      </x:c>
      <x:c r="U43" s="37" t="str">
        <x:v>Digitization and source balance vary by phase.</x:v>
      </x:c>
      <x:c r="V43" s="37" t="str">
        <x:v>Analysis</x:v>
      </x:c>
      <x:c r="W43" s="37" t="str">
        <x:v>Multiple independent sources</x:v>
      </x:c>
      <x:c r="X43" s="37" t="str">
        <x:v>S04; S05; S06; S07</x:v>
      </x:c>
      <x:c r="Y43" s="37" t="str">
        <x:v>Broad phase synthesis; event-specific claims use narrower sources elsewhere.</x:v>
      </x:c>
    </x:row>
    <x:row r="44" ht="60" customHeight="1">
      <x:c r="A44" s="37" t="str">
        <x:v>X040</x:v>
      </x:c>
      <x:c r="B44" s="37" t="str">
        <x:v>DMK organizer, writer and legislator</x:v>
      </x:c>
      <x:c r="C44" s="58" t="n">
        <x:v>18158</x:v>
      </x:c>
      <x:c r="D44" s="58" t="n">
        <x:v>25243</x:v>
      </x:c>
      <x:c r="E44" s="37" t="str">
        <x:v>Era</x:v>
      </x:c>
      <x:c r="F44" s="37" t="str">
        <x:v>Era 10: Evidence environment — What source limitations shape retrospective assessment?</x:v>
      </x:c>
      <x:c r="G44" s="37" t="str">
        <x:v>Research limitation</x:v>
      </x:c>
      <x:c r="H44" s="37" t="str">
        <x:v>Party newspapers, film publicity and retrospective memoirs are abundant but interested; early election reports can be difficult to search.</x:v>
      </x:c>
      <x:c r="I44" s="37" t="str">
        <x:v>Archival survival and source bias</x:v>
      </x:c>
      <x:c r="J44" s="37" t="str">
        <x:v>Congress dominance gave way to a competitive regional party system; the DMK moved from separatist rhetoric to electoral federalism.</x:v>
      </x:c>
      <x:c r="K44" s="37" t="str">
        <x:v>Planned development and food scarcity; Cold War and postcolonial nation-building formed the wider setting.</x:v>
      </x:c>
      <x:c r="L44" s="37" t="str">
        <x:v>Cinema dialogue, theatre, Murasoli, rallies and radio created a hybrid mass-communication system.</x:v>
      </x:c>
      <x:c r="M44" s="37" t="str">
        <x:v>Universal adult franchise expanded opportunity; language policy and state reorganization reshaped Tamil politics.</x:v>
      </x:c>
      <x:c r="N44" s="37" t="str">
        <x:v>Gender norms affected access and representation but were rarely the sole driver.</x:v>
      </x:c>
      <x:c r="O44" s="37" t="str">
        <x:v>Language, caste, region and class were often more explicit axes of mobilization.</x:v>
      </x:c>
      <x:c r="P44" s="37" t="str">
        <x:v>Conditions stated in finding</x:v>
      </x:c>
      <x:c r="Q44" s="37" t="str">
        <x:v>Tamil Nadu chief ministers, regional-party leaders and opposition figures in the same period</x:v>
      </x:c>
      <x:c r="R44" s="37" t="str">
        <x:v>Assessment reconstructed from phase-specific records.</x:v>
      </x:c>
      <x:c r="S44" s="37" t="str">
        <x:v>Later scholarship evaluates institutional and distributional consequences.</x:v>
      </x:c>
      <x:c r="T44" s="37" t="str">
        <x:v>Use contemporaneous territorial names, feasible alternatives and institutional powers; context does not excuse rights violations or corruption.</x:v>
      </x:c>
      <x:c r="U44" s="37" t="str">
        <x:v>Party newspapers, film publicity and retrospective memoirs are abundant but interested; early election reports can be difficult to search.</x:v>
      </x:c>
      <x:c r="V44" s="37" t="str">
        <x:v>Analysis</x:v>
      </x:c>
      <x:c r="W44" s="37" t="str">
        <x:v>Multiple independent sources</x:v>
      </x:c>
      <x:c r="X44" s="37" t="str">
        <x:v>S04; S05; S06; S07</x:v>
      </x:c>
      <x:c r="Y44" s="37" t="str">
        <x:v>Broad phase synthesis; event-specific claims use narrower sources elsewhere.</x:v>
      </x:c>
    </x:row>
    <x:row r="45" ht="60" customHeight="1">
      <x:c r="A45" s="37" t="str">
        <x:v>X041</x:v>
      </x:c>
      <x:c r="B45" s="37" t="str">
        <x:v>First chief-ministerial era and party consolidation</x:v>
      </x:c>
      <x:c r="C45" s="58" t="n">
        <x:v>25244</x:v>
      </x:c>
      <x:c r="D45" s="58" t="n">
        <x:v>27790</x:v>
      </x:c>
      <x:c r="E45" s="37" t="str">
        <x:v>Gender</x:v>
      </x:c>
      <x:c r="F45" s="37" t="str">
        <x:v>Gender 1: Entry and advancement — Did gender affect recruitment, candidacy, nominations or advancement?</x:v>
      </x:c>
      <x:c r="G45" s="37" t="str">
        <x:v>Research limitation</x:v>
      </x:c>
      <x:c r="H45" s="37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I45" s="37" t="str">
        <x:v>Party and public-sphere access</x:v>
      </x:c>
      <x:c r="J45" s="37" t="str">
        <x:v>DMK dominance after Congress displacement; split with M. G. Ramachandran in 1972 created the AIADMK challenge.</x:v>
      </x:c>
      <x:c r="K45" s="37" t="str">
        <x:v>State-led planning, nationalization and the 1970s oil and food shocks; Cold War centralization.</x:v>
      </x:c>
      <x:c r="L45" s="37" t="str">
        <x:v>Print, cinema and state broadcasting remained decisive; party-linked cultural networks carried messages.</x:v>
      </x:c>
      <x:c r="M45" s="37" t="str">
        <x:v>A strong Union executive and Article 356 vulnerability constrained state autonomy; Emergency suspended normal civil-liberties conditions from 1975.</x:v>
      </x:c>
      <x:c r="N45" s="37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O45" s="37" t="str">
        <x:v>Caste, language, class and family networks are assessed only where evidenced.</x:v>
      </x:c>
      <x:c r="P45" s="37" t="str">
        <x:v>Male-dominated party and electoral institutions</x:v>
      </x:c>
      <x:c r="Q45" s="37" t="str">
        <x:v>Comparable Tamil Nadu party leaders and office-holders in the same phase</x:v>
      </x:c>
      <x:c r="R45" s="37" t="str">
        <x:v>Contemporary coverage rarely isolated male privilege as an analytical category.</x:v>
      </x:c>
      <x:c r="S45" s="37" t="str">
        <x:v>Later gender analysis distinguishes concrete policy effects from male-dominated organization.</x:v>
      </x:c>
      <x:c r="T45" s="37" t="str">
        <x:v>Avoid projecting today's language of representation backward without losing the underlying inequality.</x:v>
      </x:c>
      <x:c r="U45" s="37" t="str">
        <x:v>Women-specific party records and gender-disaggregated leadership data are incomplete.</x:v>
      </x:c>
      <x:c r="V45" s="37" t="str">
        <x:v>Analysis</x:v>
      </x:c>
      <x:c r="W45" s="37" t="str">
        <x:v>Single credible source</x:v>
      </x:c>
      <x:c r="X45" s="37" t="str">
        <x:v>S04; S15; S16; S17; S10; S27</x:v>
      </x:c>
      <x:c r="Y45" s="37" t="str">
        <x:v>Disposition reflects reviewed evidence; absence of evidence is not proof of absence.</x:v>
      </x:c>
    </x:row>
    <x:row r="46" ht="60" customHeight="1">
      <x:c r="A46" s="37" t="str">
        <x:v>X042</x:v>
      </x:c>
      <x:c r="B46" s="37" t="str">
        <x:v>First chief-ministerial era and party consolidation</x:v>
      </x:c>
      <x:c r="C46" s="58" t="n">
        <x:v>25244</x:v>
      </x:c>
      <x:c r="D46" s="58" t="n">
        <x:v>27790</x:v>
      </x:c>
      <x:c r="E46" s="37" t="str">
        <x:v>Gender</x:v>
      </x:c>
      <x:c r="F46" s="37" t="str">
        <x:v>Gender 2: Milestones — Were there gender-related firsts or representative milestones?</x:v>
      </x:c>
      <x:c r="G46" s="37" t="str">
        <x:v>Not materially relevant</x:v>
      </x:c>
      <x:c r="H46" s="37" t="str">
        <x:v>No gender-related first attached to Karunanidhi's own offices in this phase. The relevant milestone question concerns policies or the underrepresentation of women around him, not his descriptive representation.</x:v>
      </x:c>
      <x:c r="I46" s="37" t="str">
        <x:v>No personal milestone</x:v>
      </x:c>
      <x:c r="J46" s="37" t="str">
        <x:v>DMK dominance after Congress displacement; split with M. G. Ramachandran in 1972 created the AIADMK challenge.</x:v>
      </x:c>
      <x:c r="K46" s="37" t="str">
        <x:v>State-led planning, nationalization and the 1970s oil and food shocks; Cold War centralization.</x:v>
      </x:c>
      <x:c r="L46" s="37" t="str">
        <x:v>Print, cinema and state broadcasting remained decisive; party-linked cultural networks carried messages.</x:v>
      </x:c>
      <x:c r="M46" s="37" t="str">
        <x:v>A strong Union executive and Article 356 vulnerability constrained state autonomy; Emergency suspended normal civil-liberties conditions from 1975.</x:v>
      </x:c>
      <x:c r="N46" s="37" t="str">
        <x:v>No gender-related first attached to Karunanidhi's own offices in this phase. The relevant milestone question concerns policies or the underrepresentation of women around him, not his descriptive representation.</x:v>
      </x:c>
      <x:c r="O46" s="37" t="str">
        <x:v>Caste, language, class and family networks are assessed only where evidenced.</x:v>
      </x:c>
      <x:c r="P46" s="37" t="str">
        <x:v>Male-dominated party and electoral institutions</x:v>
      </x:c>
      <x:c r="Q46" s="37" t="str">
        <x:v>Comparable Tamil Nadu party leaders and office-holders in the same phase</x:v>
      </x:c>
      <x:c r="R46" s="37" t="str">
        <x:v>Contemporary coverage rarely isolated male privilege as an analytical category.</x:v>
      </x:c>
      <x:c r="S46" s="37" t="str">
        <x:v>Later gender analysis distinguishes concrete policy effects from male-dominated organization.</x:v>
      </x:c>
      <x:c r="T46" s="37" t="str">
        <x:v>Avoid projecting today's language of representation backward without losing the underlying inequality.</x:v>
      </x:c>
      <x:c r="U46" s="37" t="str">
        <x:v>Women-specific party records and gender-disaggregated leadership data are incomplete.</x:v>
      </x:c>
      <x:c r="V46" s="37" t="str">
        <x:v>Analysis</x:v>
      </x:c>
      <x:c r="W46" s="37" t="str">
        <x:v>Multiple independent sources</x:v>
      </x:c>
      <x:c r="X46" s="37" t="str">
        <x:v>S04; S15; S16; S17; S10; S27</x:v>
      </x:c>
      <x:c r="Y46" s="37" t="str">
        <x:v>Disposition reflects reviewed evidence; absence of evidence is not proof of absence.</x:v>
      </x:c>
    </x:row>
    <x:row r="47" ht="60" customHeight="1">
      <x:c r="A47" s="37" t="str">
        <x:v>X043</x:v>
      </x:c>
      <x:c r="B47" s="37" t="str">
        <x:v>First chief-ministerial era and party consolidation</x:v>
      </x:c>
      <x:c r="C47" s="58" t="n">
        <x:v>25244</x:v>
      </x:c>
      <x:c r="D47" s="58" t="n">
        <x:v>27790</x:v>
      </x:c>
      <x:c r="E47" s="37" t="str">
        <x:v>Gender</x:v>
      </x:c>
      <x:c r="F47" s="37" t="str">
        <x:v>Gender 3: Networks and pathways — Did family, patronage, marriage or mentorship operate through gendered pathways?</x:v>
      </x:c>
      <x:c r="G47" s="37" t="str">
        <x:v>Research limitation</x:v>
      </x:c>
      <x:c r="H47" s="37" t="str">
        <x:v>Mentorship and male cadre networks were central, but accessible evidence does not permit a clean gender-causal estimate. His Self-Respect marriage practice had ideological meaning, yet marriage was not his primary route into politics.</x:v>
      </x:c>
      <x:c r="I47" s="37" t="str">
        <x:v>Networks and succession</x:v>
      </x:c>
      <x:c r="J47" s="37" t="str">
        <x:v>DMK dominance after Congress displacement; split with M. G. Ramachandran in 1972 created the AIADMK challenge.</x:v>
      </x:c>
      <x:c r="K47" s="37" t="str">
        <x:v>State-led planning, nationalization and the 1970s oil and food shocks; Cold War centralization.</x:v>
      </x:c>
      <x:c r="L47" s="37" t="str">
        <x:v>Print, cinema and state broadcasting remained decisive; party-linked cultural networks carried messages.</x:v>
      </x:c>
      <x:c r="M47" s="37" t="str">
        <x:v>A strong Union executive and Article 356 vulnerability constrained state autonomy; Emergency suspended normal civil-liberties conditions from 1975.</x:v>
      </x:c>
      <x:c r="N47" s="37" t="str">
        <x:v>Mentorship and male cadre networks were central, but accessible evidence does not permit a clean gender-causal estimate. His Self-Respect marriage practice had ideological meaning, yet marriage was not his primary route into politics.</x:v>
      </x:c>
      <x:c r="O47" s="37" t="str">
        <x:v>Caste, language, class and family networks are assessed only where evidenced.</x:v>
      </x:c>
      <x:c r="P47" s="37" t="str">
        <x:v>Male-dominated party and electoral institutions</x:v>
      </x:c>
      <x:c r="Q47" s="37" t="str">
        <x:v>Comparable Tamil Nadu party leaders and office-holders in the same phase</x:v>
      </x:c>
      <x:c r="R47" s="37" t="str">
        <x:v>Contemporary coverage rarely isolated male privilege as an analytical category.</x:v>
      </x:c>
      <x:c r="S47" s="37" t="str">
        <x:v>Later gender analysis distinguishes concrete policy effects from male-dominated organization.</x:v>
      </x:c>
      <x:c r="T47" s="37" t="str">
        <x:v>Avoid projecting today's language of representation backward without losing the underlying inequality.</x:v>
      </x:c>
      <x:c r="U47" s="37" t="str">
        <x:v>Women-specific party records and gender-disaggregated leadership data are incomplete.</x:v>
      </x:c>
      <x:c r="V47" s="37" t="str">
        <x:v>Analysis</x:v>
      </x:c>
      <x:c r="W47" s="37" t="str">
        <x:v>Single credible source</x:v>
      </x:c>
      <x:c r="X47" s="37" t="str">
        <x:v>S04; S15; S16; S17; S10; S27</x:v>
      </x:c>
      <x:c r="Y47" s="37" t="str">
        <x:v>Disposition reflects reviewed evidence; absence of evidence is not proof of absence.</x:v>
      </x:c>
    </x:row>
    <x:row r="48" ht="60" customHeight="1">
      <x:c r="A48" s="37" t="str">
        <x:v>X044</x:v>
      </x:c>
      <x:c r="B48" s="37" t="str">
        <x:v>First chief-ministerial era and party consolidation</x:v>
      </x:c>
      <x:c r="C48" s="58" t="n">
        <x:v>25244</x:v>
      </x:c>
      <x:c r="D48" s="58" t="n">
        <x:v>27790</x:v>
      </x:c>
      <x:c r="E48" s="37" t="str">
        <x:v>Gender</x:v>
      </x:c>
      <x:c r="F48" s="37" t="str">
        <x:v>Gender 4: Role and portfolio allocation — Did gender expectations affect offices or portfolios?</x:v>
      </x:c>
      <x:c r="G48" s="37" t="str">
        <x:v>Material finding</x:v>
      </x:c>
      <x:c r="H48" s="37" t="str">
        <x:v>The cabinets and DMK's highest organizational tier remained predominantly male. Karunanidhi himself held core executive and infrastructure authority; evidence for phase-specific portfolio allocation caused by his gender is indirect rather than event-specific.</x:v>
      </x:c>
      <x:c r="I48" s="37" t="str">
        <x:v>Leadership allocation</x:v>
      </x:c>
      <x:c r="J48" s="37" t="str">
        <x:v>DMK dominance after Congress displacement; split with M. G. Ramachandran in 1972 created the AIADMK challenge.</x:v>
      </x:c>
      <x:c r="K48" s="37" t="str">
        <x:v>State-led planning, nationalization and the 1970s oil and food shocks; Cold War centralization.</x:v>
      </x:c>
      <x:c r="L48" s="37" t="str">
        <x:v>Print, cinema and state broadcasting remained decisive; party-linked cultural networks carried messages.</x:v>
      </x:c>
      <x:c r="M48" s="37" t="str">
        <x:v>A strong Union executive and Article 356 vulnerability constrained state autonomy; Emergency suspended normal civil-liberties conditions from 1975.</x:v>
      </x:c>
      <x:c r="N48" s="37" t="str">
        <x:v>The cabinets and DMK's highest organizational tier remained predominantly male. Karunanidhi himself held core executive and infrastructure authority; evidence for phase-specific portfolio allocation caused by his gender is indirect rather than event-specific.</x:v>
      </x:c>
      <x:c r="O48" s="37" t="str">
        <x:v>Caste, language, class and family networks are assessed only where evidenced.</x:v>
      </x:c>
      <x:c r="P48" s="37" t="str">
        <x:v>Male-dominated party and electoral institutions</x:v>
      </x:c>
      <x:c r="Q48" s="37" t="str">
        <x:v>Comparable Tamil Nadu party leaders and office-holders in the same phase</x:v>
      </x:c>
      <x:c r="R48" s="37" t="str">
        <x:v>Contemporary coverage rarely isolated male privilege as an analytical category.</x:v>
      </x:c>
      <x:c r="S48" s="37" t="str">
        <x:v>Later gender analysis distinguishes concrete policy effects from male-dominated organization.</x:v>
      </x:c>
      <x:c r="T48" s="37" t="str">
        <x:v>Avoid projecting today's language of representation backward without losing the underlying inequality.</x:v>
      </x:c>
      <x:c r="U48" s="37" t="str">
        <x:v>Women-specific party records and gender-disaggregated leadership data are incomplete.</x:v>
      </x:c>
      <x:c r="V48" s="37" t="str">
        <x:v>Analysis</x:v>
      </x:c>
      <x:c r="W48" s="37" t="str">
        <x:v>Single credible source</x:v>
      </x:c>
      <x:c r="X48" s="37" t="str">
        <x:v>S04; S15; S16; S17; S10; S27</x:v>
      </x:c>
      <x:c r="Y48" s="37" t="str">
        <x:v>Disposition reflects reviewed evidence; absence of evidence is not proof of absence.</x:v>
      </x:c>
    </x:row>
    <x:row r="49" ht="60" customHeight="1">
      <x:c r="A49" s="37" t="str">
        <x:v>X045</x:v>
      </x:c>
      <x:c r="B49" s="37" t="str">
        <x:v>First chief-ministerial era and party consolidation</x:v>
      </x:c>
      <x:c r="C49" s="58" t="n">
        <x:v>25244</x:v>
      </x:c>
      <x:c r="D49" s="58" t="n">
        <x:v>27790</x:v>
      </x:c>
      <x:c r="E49" s="37" t="str">
        <x:v>Gender</x:v>
      </x:c>
      <x:c r="F49" s="37" t="str">
        <x:v>Gender 5: Campaign and media treatment — Was treatment materially gendered?</x:v>
      </x:c>
      <x:c r="G49" s="37" t="str">
        <x:v>Evidence not found</x:v>
      </x:c>
      <x:c r="H4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I49" s="37" t="str">
        <x:v>Media treatment</x:v>
      </x:c>
      <x:c r="J49" s="37" t="str">
        <x:v>DMK dominance after Congress displacement; split with M. G. Ramachandran in 1972 created the AIADMK challenge.</x:v>
      </x:c>
      <x:c r="K49" s="37" t="str">
        <x:v>State-led planning, nationalization and the 1970s oil and food shocks; Cold War centralization.</x:v>
      </x:c>
      <x:c r="L49" s="37" t="str">
        <x:v>Print, cinema and state broadcasting remained decisive; party-linked cultural networks carried messages.</x:v>
      </x:c>
      <x:c r="M49" s="37" t="str">
        <x:v>A strong Union executive and Article 356 vulnerability constrained state autonomy; Emergency suspended normal civil-liberties conditions from 1975.</x:v>
      </x:c>
      <x:c r="N4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O49" s="37" t="str">
        <x:v>Caste, language, class and family networks are assessed only where evidenced.</x:v>
      </x:c>
      <x:c r="P49" s="37" t="str">
        <x:v>Male-dominated party and electoral institutions</x:v>
      </x:c>
      <x:c r="Q49" s="37" t="str">
        <x:v>Comparable Tamil Nadu party leaders and office-holders in the same phase</x:v>
      </x:c>
      <x:c r="R49" s="37" t="str">
        <x:v>Contemporary coverage rarely isolated male privilege as an analytical category.</x:v>
      </x:c>
      <x:c r="S49" s="37" t="str">
        <x:v>Later gender analysis distinguishes concrete policy effects from male-dominated organization.</x:v>
      </x:c>
      <x:c r="T49" s="37" t="str">
        <x:v>Avoid projecting today's language of representation backward without losing the underlying inequality.</x:v>
      </x:c>
      <x:c r="U49" s="37" t="str">
        <x:v>Women-specific party records and gender-disaggregated leadership data are incomplete.</x:v>
      </x:c>
      <x:c r="V49" s="37" t="str">
        <x:v>Disputed/uncertain</x:v>
      </x:c>
      <x:c r="W49" s="37" t="str">
        <x:v>Single credible source</x:v>
      </x:c>
      <x:c r="X49" s="37" t="str">
        <x:v>S04; S15; S16; S17; S10; S27</x:v>
      </x:c>
      <x:c r="Y49" s="37" t="str">
        <x:v>Disposition reflects reviewed evidence; absence of evidence is not proof of absence.</x:v>
      </x:c>
    </x:row>
    <x:row r="50" ht="60" customHeight="1">
      <x:c r="A50" s="37" t="str">
        <x:v>X046</x:v>
      </x:c>
      <x:c r="B50" s="37" t="str">
        <x:v>First chief-ministerial era and party consolidation</x:v>
      </x:c>
      <x:c r="C50" s="58" t="n">
        <x:v>25244</x:v>
      </x:c>
      <x:c r="D50" s="58" t="n">
        <x:v>27790</x:v>
      </x:c>
      <x:c r="E50" s="37" t="str">
        <x:v>Gender</x:v>
      </x:c>
      <x:c r="F50" s="37" t="str">
        <x:v>Gender 6: Threats and security — Were threats, violence or mobility constraints gender-specific?</x:v>
      </x:c>
      <x:c r="G50" s="37" t="str">
        <x:v>Not materially relevant</x:v>
      </x:c>
      <x:c r="H50" s="37" t="str">
        <x:v>Karunanidhi faced arrest, protest violence and security risks, but reviewed evidence treats them as partisan, state or ethnic-political risks rather than gender-specific threats.</x:v>
      </x:c>
      <x:c r="I50" s="37" t="str">
        <x:v>Threat mechanism not gender-specific</x:v>
      </x:c>
      <x:c r="J50" s="37" t="str">
        <x:v>DMK dominance after Congress displacement; split with M. G. Ramachandran in 1972 created the AIADMK challenge.</x:v>
      </x:c>
      <x:c r="K50" s="37" t="str">
        <x:v>State-led planning, nationalization and the 1970s oil and food shocks; Cold War centralization.</x:v>
      </x:c>
      <x:c r="L50" s="37" t="str">
        <x:v>Print, cinema and state broadcasting remained decisive; party-linked cultural networks carried messages.</x:v>
      </x:c>
      <x:c r="M50" s="37" t="str">
        <x:v>A strong Union executive and Article 356 vulnerability constrained state autonomy; Emergency suspended normal civil-liberties conditions from 1975.</x:v>
      </x:c>
      <x:c r="N50" s="37" t="str">
        <x:v>Karunanidhi faced arrest, protest violence and security risks, but reviewed evidence treats them as partisan, state or ethnic-political risks rather than gender-specific threats.</x:v>
      </x:c>
      <x:c r="O50" s="37" t="str">
        <x:v>Caste, language, class and family networks are assessed only where evidenced.</x:v>
      </x:c>
      <x:c r="P50" s="37" t="str">
        <x:v>Male-dominated party and electoral institutions</x:v>
      </x:c>
      <x:c r="Q50" s="37" t="str">
        <x:v>Comparable Tamil Nadu party leaders and office-holders in the same phase</x:v>
      </x:c>
      <x:c r="R50" s="37" t="str">
        <x:v>Contemporary coverage rarely isolated male privilege as an analytical category.</x:v>
      </x:c>
      <x:c r="S50" s="37" t="str">
        <x:v>Later gender analysis distinguishes concrete policy effects from male-dominated organization.</x:v>
      </x:c>
      <x:c r="T50" s="37" t="str">
        <x:v>Avoid projecting today's language of representation backward without losing the underlying inequality.</x:v>
      </x:c>
      <x:c r="U50" s="37" t="str">
        <x:v>Women-specific party records and gender-disaggregated leadership data are incomplete.</x:v>
      </x:c>
      <x:c r="V50" s="37" t="str">
        <x:v>Analysis</x:v>
      </x:c>
      <x:c r="W50" s="37" t="str">
        <x:v>Multiple independent sources</x:v>
      </x:c>
      <x:c r="X50" s="37" t="str">
        <x:v>S04; S15; S16; S17; S10; S27</x:v>
      </x:c>
      <x:c r="Y50" s="37" t="str">
        <x:v>Disposition reflects reviewed evidence; absence of evidence is not proof of absence.</x:v>
      </x:c>
    </x:row>
    <x:row r="51" ht="60" customHeight="1">
      <x:c r="A51" s="37" t="str">
        <x:v>X047</x:v>
      </x:c>
      <x:c r="B51" s="37" t="str">
        <x:v>First chief-ministerial era and party consolidation</x:v>
      </x:c>
      <x:c r="C51" s="58" t="n">
        <x:v>25244</x:v>
      </x:c>
      <x:c r="D51" s="58" t="n">
        <x:v>27790</x:v>
      </x:c>
      <x:c r="E51" s="37" t="str">
        <x:v>Gender</x:v>
      </x:c>
      <x:c r="F51" s="37" t="str">
        <x:v>Gender 7: Gender policy and organizations — What gender-related laws, policies or organizational links existed?</x:v>
      </x:c>
      <x:c r="G51" s="37" t="str">
        <x:v>Material finding</x:v>
      </x:c>
      <x:c r="H51" s="37" t="str">
        <x:v>The phase emphasized social justice broadly; accessible evidence for a major Karunanidhi-specific gender statute in this exact phase is limited.</x:v>
      </x:c>
      <x:c r="I51" s="37" t="str">
        <x:v>Law and policy</x:v>
      </x:c>
      <x:c r="J51" s="37" t="str">
        <x:v>DMK dominance after Congress displacement; split with M. G. Ramachandran in 1972 created the AIADMK challenge.</x:v>
      </x:c>
      <x:c r="K51" s="37" t="str">
        <x:v>State-led planning, nationalization and the 1970s oil and food shocks; Cold War centralization.</x:v>
      </x:c>
      <x:c r="L51" s="37" t="str">
        <x:v>Print, cinema and state broadcasting remained decisive; party-linked cultural networks carried messages.</x:v>
      </x:c>
      <x:c r="M51" s="37" t="str">
        <x:v>A strong Union executive and Article 356 vulnerability constrained state autonomy; Emergency suspended normal civil-liberties conditions from 1975.</x:v>
      </x:c>
      <x:c r="N51" s="37" t="str">
        <x:v>The phase emphasized social justice broadly; accessible evidence for a major Karunanidhi-specific gender statute in this exact phase is limited.</x:v>
      </x:c>
      <x:c r="O51" s="37" t="str">
        <x:v>Caste, language, class and family networks are assessed only where evidenced.</x:v>
      </x:c>
      <x:c r="P51" s="37" t="str">
        <x:v>Male-dominated party and electoral institutions</x:v>
      </x:c>
      <x:c r="Q51" s="37" t="str">
        <x:v>Comparable Tamil Nadu party leaders and office-holders in the same phase</x:v>
      </x:c>
      <x:c r="R51" s="37" t="str">
        <x:v>Contemporary coverage rarely isolated male privilege as an analytical category.</x:v>
      </x:c>
      <x:c r="S51" s="37" t="str">
        <x:v>Later gender analysis distinguishes concrete policy effects from male-dominated organization.</x:v>
      </x:c>
      <x:c r="T51" s="37" t="str">
        <x:v>Avoid projecting today's language of representation backward without losing the underlying inequality.</x:v>
      </x:c>
      <x:c r="U51" s="37" t="str">
        <x:v>Women-specific party records and gender-disaggregated leadership data are incomplete.</x:v>
      </x:c>
      <x:c r="V51" s="37" t="str">
        <x:v>Analysis</x:v>
      </x:c>
      <x:c r="W51" s="37" t="str">
        <x:v>Single credible source</x:v>
      </x:c>
      <x:c r="X51" s="37" t="str">
        <x:v>S04; S15; S16; S17; S10; S27</x:v>
      </x:c>
      <x:c r="Y51" s="37" t="str">
        <x:v>Disposition reflects reviewed evidence; absence of evidence is not proof of absence.</x:v>
      </x:c>
    </x:row>
    <x:row r="52" ht="60" customHeight="1">
      <x:c r="A52" s="37" t="str">
        <x:v>X048</x:v>
      </x:c>
      <x:c r="B52" s="37" t="str">
        <x:v>First chief-ministerial era and party consolidation</x:v>
      </x:c>
      <x:c r="C52" s="58" t="n">
        <x:v>25244</x:v>
      </x:c>
      <x:c r="D52" s="58" t="n">
        <x:v>27790</x:v>
      </x:c>
      <x:c r="E52" s="37" t="str">
        <x:v>Gender</x:v>
      </x:c>
      <x:c r="F52" s="37" t="str">
        <x:v>Gender 8: Political use of identity — Was masculinity or gender identity strategically mobilized?</x:v>
      </x:c>
      <x:c r="G52" s="37" t="str">
        <x:v>Research limitation</x:v>
      </x:c>
      <x:c r="H5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I52" s="37" t="str">
        <x:v>Implicit leadership norms</x:v>
      </x:c>
      <x:c r="J52" s="37" t="str">
        <x:v>DMK dominance after Congress displacement; split with M. G. Ramachandran in 1972 created the AIADMK challenge.</x:v>
      </x:c>
      <x:c r="K52" s="37" t="str">
        <x:v>State-led planning, nationalization and the 1970s oil and food shocks; Cold War centralization.</x:v>
      </x:c>
      <x:c r="L52" s="37" t="str">
        <x:v>Print, cinema and state broadcasting remained decisive; party-linked cultural networks carried messages.</x:v>
      </x:c>
      <x:c r="M52" s="37" t="str">
        <x:v>A strong Union executive and Article 356 vulnerability constrained state autonomy; Emergency suspended normal civil-liberties conditions from 1975.</x:v>
      </x:c>
      <x:c r="N5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O52" s="37" t="str">
        <x:v>Caste, language, class and family networks are assessed only where evidenced.</x:v>
      </x:c>
      <x:c r="P52" s="37" t="str">
        <x:v>Male-dominated party and electoral institutions</x:v>
      </x:c>
      <x:c r="Q52" s="37" t="str">
        <x:v>Comparable Tamil Nadu party leaders and office-holders in the same phase</x:v>
      </x:c>
      <x:c r="R52" s="37" t="str">
        <x:v>Contemporary coverage rarely isolated male privilege as an analytical category.</x:v>
      </x:c>
      <x:c r="S52" s="37" t="str">
        <x:v>Later gender analysis distinguishes concrete policy effects from male-dominated organization.</x:v>
      </x:c>
      <x:c r="T52" s="37" t="str">
        <x:v>Avoid projecting today's language of representation backward without losing the underlying inequality.</x:v>
      </x:c>
      <x:c r="U52" s="37" t="str">
        <x:v>Women-specific party records and gender-disaggregated leadership data are incomplete.</x:v>
      </x:c>
      <x:c r="V52" s="37" t="str">
        <x:v>Analysis</x:v>
      </x:c>
      <x:c r="W52" s="37" t="str">
        <x:v>Single credible source</x:v>
      </x:c>
      <x:c r="X52" s="37" t="str">
        <x:v>S04; S15; S16; S17; S10; S27</x:v>
      </x:c>
      <x:c r="Y52" s="37" t="str">
        <x:v>Disposition reflects reviewed evidence; absence of evidence is not proof of absence.</x:v>
      </x:c>
    </x:row>
    <x:row r="53" ht="60" customHeight="1">
      <x:c r="A53" s="37" t="str">
        <x:v>X049</x:v>
      </x:c>
      <x:c r="B53" s="37" t="str">
        <x:v>First chief-ministerial era and party consolidation</x:v>
      </x:c>
      <x:c r="C53" s="58" t="n">
        <x:v>25244</x:v>
      </x:c>
      <x:c r="D53" s="58" t="n">
        <x:v>27790</x:v>
      </x:c>
      <x:c r="E53" s="37" t="str">
        <x:v>Gender</x:v>
      </x:c>
      <x:c r="F53" s="37" t="str">
        <x:v>Gender 9: Representation and effects — What symbolic, descriptive or substantive gender effects followed?</x:v>
      </x:c>
      <x:c r="G53" s="37" t="str">
        <x:v>Material finding</x:v>
      </x:c>
      <x:c r="H53" s="37" t="str">
        <x:v>His personal representation was descriptive of men, already dominant in politics. Substantive effects must be located in specific law, representation or welfare measures rather than inferred from symbolism.</x:v>
      </x:c>
      <x:c r="I53" s="37" t="str">
        <x:v>Separate descriptive and substantive effects</x:v>
      </x:c>
      <x:c r="J53" s="37" t="str">
        <x:v>DMK dominance after Congress displacement; split with M. G. Ramachandran in 1972 created the AIADMK challenge.</x:v>
      </x:c>
      <x:c r="K53" s="37" t="str">
        <x:v>State-led planning, nationalization and the 1970s oil and food shocks; Cold War centralization.</x:v>
      </x:c>
      <x:c r="L53" s="37" t="str">
        <x:v>Print, cinema and state broadcasting remained decisive; party-linked cultural networks carried messages.</x:v>
      </x:c>
      <x:c r="M53" s="37" t="str">
        <x:v>A strong Union executive and Article 356 vulnerability constrained state autonomy; Emergency suspended normal civil-liberties conditions from 1975.</x:v>
      </x:c>
      <x:c r="N53" s="37" t="str">
        <x:v>His personal representation was descriptive of men, already dominant in politics. Substantive effects must be located in specific law, representation or welfare measures rather than inferred from symbolism.</x:v>
      </x:c>
      <x:c r="O53" s="37" t="str">
        <x:v>Caste, language, class and family networks are assessed only where evidenced.</x:v>
      </x:c>
      <x:c r="P53" s="37" t="str">
        <x:v>Male-dominated party and electoral institutions</x:v>
      </x:c>
      <x:c r="Q53" s="37" t="str">
        <x:v>Comparable Tamil Nadu party leaders and office-holders in the same phase</x:v>
      </x:c>
      <x:c r="R53" s="37" t="str">
        <x:v>Contemporary coverage rarely isolated male privilege as an analytical category.</x:v>
      </x:c>
      <x:c r="S53" s="37" t="str">
        <x:v>Later gender analysis distinguishes concrete policy effects from male-dominated organization.</x:v>
      </x:c>
      <x:c r="T53" s="37" t="str">
        <x:v>Avoid projecting today's language of representation backward without losing the underlying inequality.</x:v>
      </x:c>
      <x:c r="U53" s="37" t="str">
        <x:v>Women-specific party records and gender-disaggregated leadership data are incomplete.</x:v>
      </x:c>
      <x:c r="V53" s="37" t="str">
        <x:v>Analysis</x:v>
      </x:c>
      <x:c r="W53" s="37" t="str">
        <x:v>Single credible source</x:v>
      </x:c>
      <x:c r="X53" s="37" t="str">
        <x:v>S04; S15; S16; S17; S10; S27</x:v>
      </x:c>
      <x:c r="Y53" s="37" t="str">
        <x:v>Disposition reflects reviewed evidence; absence of evidence is not proof of absence.</x:v>
      </x:c>
    </x:row>
    <x:row r="54" ht="60" customHeight="1">
      <x:c r="A54" s="37" t="str">
        <x:v>X050</x:v>
      </x:c>
      <x:c r="B54" s="37" t="str">
        <x:v>First chief-ministerial era and party consolidation</x:v>
      </x:c>
      <x:c r="C54" s="58" t="n">
        <x:v>25244</x:v>
      </x:c>
      <x:c r="D54" s="58" t="n">
        <x:v>27790</x:v>
      </x:c>
      <x:c r="E54" s="37" t="str">
        <x:v>Gender</x:v>
      </x:c>
      <x:c r="F54" s="37" t="str">
        <x:v>Gender 10: Assessment over time — How have gender assessments changed?</x:v>
      </x:c>
      <x:c r="G54" s="37" t="str">
        <x:v>Material finding</x:v>
      </x:c>
      <x:c r="H5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I54" s="37" t="str">
        <x:v>Retrospective reframing</x:v>
      </x:c>
      <x:c r="J54" s="37" t="str">
        <x:v>DMK dominance after Congress displacement; split with M. G. Ramachandran in 1972 created the AIADMK challenge.</x:v>
      </x:c>
      <x:c r="K54" s="37" t="str">
        <x:v>State-led planning, nationalization and the 1970s oil and food shocks; Cold War centralization.</x:v>
      </x:c>
      <x:c r="L54" s="37" t="str">
        <x:v>Print, cinema and state broadcasting remained decisive; party-linked cultural networks carried messages.</x:v>
      </x:c>
      <x:c r="M54" s="37" t="str">
        <x:v>A strong Union executive and Article 356 vulnerability constrained state autonomy; Emergency suspended normal civil-liberties conditions from 1975.</x:v>
      </x:c>
      <x:c r="N5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O54" s="37" t="str">
        <x:v>Caste, language, class and family networks are assessed only where evidenced.</x:v>
      </x:c>
      <x:c r="P54" s="37" t="str">
        <x:v>Male-dominated party and electoral institutions</x:v>
      </x:c>
      <x:c r="Q54" s="37" t="str">
        <x:v>Comparable Tamil Nadu party leaders and office-holders in the same phase</x:v>
      </x:c>
      <x:c r="R54" s="37" t="str">
        <x:v>Contemporary coverage rarely isolated male privilege as an analytical category.</x:v>
      </x:c>
      <x:c r="S54" s="37" t="str">
        <x:v>Later gender analysis distinguishes concrete policy effects from male-dominated organization.</x:v>
      </x:c>
      <x:c r="T54" s="37" t="str">
        <x:v>Avoid projecting today's language of representation backward without losing the underlying inequality.</x:v>
      </x:c>
      <x:c r="U54" s="37" t="str">
        <x:v>Women-specific party records and gender-disaggregated leadership data are incomplete.</x:v>
      </x:c>
      <x:c r="V54" s="37" t="str">
        <x:v>Analysis</x:v>
      </x:c>
      <x:c r="W54" s="37" t="str">
        <x:v>Single credible source</x:v>
      </x:c>
      <x:c r="X54" s="37" t="str">
        <x:v>S04; S15; S16; S17; S10; S27</x:v>
      </x:c>
      <x:c r="Y54" s="37" t="str">
        <x:v>Disposition reflects reviewed evidence; absence of evidence is not proof of absence.</x:v>
      </x:c>
    </x:row>
    <x:row r="55" ht="60" customHeight="1">
      <x:c r="A55" s="37" t="str">
        <x:v>X051</x:v>
      </x:c>
      <x:c r="B55" s="37" t="str">
        <x:v>First chief-ministerial era and party consolidation</x:v>
      </x:c>
      <x:c r="C55" s="58" t="n">
        <x:v>25244</x:v>
      </x:c>
      <x:c r="D55" s="58" t="n">
        <x:v>27790</x:v>
      </x:c>
      <x:c r="E55" s="37" t="str">
        <x:v>Era</x:v>
      </x:c>
      <x:c r="F55" s="37" t="str">
        <x:v>Era 1: Party system — What party system structured opportunity and constraint?</x:v>
      </x:c>
      <x:c r="G55" s="37" t="str">
        <x:v>Material finding</x:v>
      </x:c>
      <x:c r="H55" s="37" t="str">
        <x:v>DMK dominance after Congress displacement; split with M. G. Ramachandran in 1972 created the AIADMK challenge.</x:v>
      </x:c>
      <x:c r="I55" s="37" t="str">
        <x:v>Party competition and alliance structure</x:v>
      </x:c>
      <x:c r="J55" s="37" t="str">
        <x:v>DMK dominance after Congress displacement; split with M. G. Ramachandran in 1972 created the AIADMK challenge.</x:v>
      </x:c>
      <x:c r="K55" s="37" t="str">
        <x:v>State-led planning, nationalization and the 1970s oil and food shocks; Cold War centralization.</x:v>
      </x:c>
      <x:c r="L55" s="37" t="str">
        <x:v>Print, cinema and state broadcasting remained decisive; party-linked cultural networks carried messages.</x:v>
      </x:c>
      <x:c r="M55" s="37" t="str">
        <x:v>A strong Union executive and Article 356 vulnerability constrained state autonomy; Emergency suspended normal civil-liberties conditions from 1975.</x:v>
      </x:c>
      <x:c r="N55" s="37" t="str">
        <x:v>Gender norms affected access and representation but were rarely the sole driver.</x:v>
      </x:c>
      <x:c r="O55" s="37" t="str">
        <x:v>Language, caste, region and class were often more explicit axes of mobilization.</x:v>
      </x:c>
      <x:c r="P55" s="37" t="str">
        <x:v>Conditions stated in finding</x:v>
      </x:c>
      <x:c r="Q55" s="37" t="str">
        <x:v>Tamil Nadu chief ministers, regional-party leaders and opposition figures in the same period</x:v>
      </x:c>
      <x:c r="R55" s="37" t="str">
        <x:v>Assessment reconstructed from phase-specific records.</x:v>
      </x:c>
      <x:c r="S55" s="37" t="str">
        <x:v>Later scholarship evaluates institutional and distributional consequences.</x:v>
      </x:c>
      <x:c r="T55" s="37" t="str">
        <x:v>Use contemporaneous territorial names, feasible alternatives and institutional powers; context does not excuse rights violations or corruption.</x:v>
      </x:c>
      <x:c r="U55" s="37" t="str">
        <x:v>Digitization and source balance vary by phase.</x:v>
      </x:c>
      <x:c r="V55" s="37" t="str">
        <x:v>Analysis</x:v>
      </x:c>
      <x:c r="W55" s="37" t="str">
        <x:v>Multiple independent sources</x:v>
      </x:c>
      <x:c r="X55" s="37" t="str">
        <x:v>S04; S15; S16; S17</x:v>
      </x:c>
      <x:c r="Y55" s="37" t="str">
        <x:v>Broad phase synthesis; event-specific claims use narrower sources elsewhere.</x:v>
      </x:c>
    </x:row>
    <x:row r="56" ht="60" customHeight="1">
      <x:c r="A56" s="37" t="str">
        <x:v>X052</x:v>
      </x:c>
      <x:c r="B56" s="37" t="str">
        <x:v>First chief-ministerial era and party consolidation</x:v>
      </x:c>
      <x:c r="C56" s="58" t="n">
        <x:v>25244</x:v>
      </x:c>
      <x:c r="D56" s="58" t="n">
        <x:v>27790</x:v>
      </x:c>
      <x:c r="E56" s="37" t="str">
        <x:v>Era</x:v>
      </x:c>
      <x:c r="F56" s="37" t="str">
        <x:v>Era 2: Constitutional and institutional environment — What was the executive, judicial, federal and civil-liberties setting?</x:v>
      </x:c>
      <x:c r="G56" s="37" t="str">
        <x:v>Material finding</x:v>
      </x:c>
      <x:c r="H56" s="37" t="str">
        <x:v>A strong Union executive and Article 356 vulnerability constrained state autonomy; Emergency suspended normal civil-liberties conditions from 1975.</x:v>
      </x:c>
      <x:c r="I56" s="37" t="str">
        <x:v>Constitutional opportunity and constraint</x:v>
      </x:c>
      <x:c r="J56" s="37" t="str">
        <x:v>DMK dominance after Congress displacement; split with M. G. Ramachandran in 1972 created the AIADMK challenge.</x:v>
      </x:c>
      <x:c r="K56" s="37" t="str">
        <x:v>State-led planning, nationalization and the 1970s oil and food shocks; Cold War centralization.</x:v>
      </x:c>
      <x:c r="L56" s="37" t="str">
        <x:v>Print, cinema and state broadcasting remained decisive; party-linked cultural networks carried messages.</x:v>
      </x:c>
      <x:c r="M56" s="37" t="str">
        <x:v>A strong Union executive and Article 356 vulnerability constrained state autonomy; Emergency suspended normal civil-liberties conditions from 1975.</x:v>
      </x:c>
      <x:c r="N56" s="37" t="str">
        <x:v>Gender norms affected access and representation but were rarely the sole driver.</x:v>
      </x:c>
      <x:c r="O56" s="37" t="str">
        <x:v>Language, caste, region and class were often more explicit axes of mobilization.</x:v>
      </x:c>
      <x:c r="P56" s="37" t="str">
        <x:v>Conditions stated in finding</x:v>
      </x:c>
      <x:c r="Q56" s="37" t="str">
        <x:v>Tamil Nadu chief ministers, regional-party leaders and opposition figures in the same period</x:v>
      </x:c>
      <x:c r="R56" s="37" t="str">
        <x:v>Assessment reconstructed from phase-specific records.</x:v>
      </x:c>
      <x:c r="S56" s="37" t="str">
        <x:v>Later scholarship evaluates institutional and distributional consequences.</x:v>
      </x:c>
      <x:c r="T56" s="37" t="str">
        <x:v>Use contemporaneous territorial names, feasible alternatives and institutional powers; context does not excuse rights violations or corruption.</x:v>
      </x:c>
      <x:c r="U56" s="37" t="str">
        <x:v>Digitization and source balance vary by phase.</x:v>
      </x:c>
      <x:c r="V56" s="37" t="str">
        <x:v>Analysis</x:v>
      </x:c>
      <x:c r="W56" s="37" t="str">
        <x:v>Multiple independent sources</x:v>
      </x:c>
      <x:c r="X56" s="37" t="str">
        <x:v>S04; S15; S16; S17</x:v>
      </x:c>
      <x:c r="Y56" s="37" t="str">
        <x:v>Broad phase synthesis; event-specific claims use narrower sources elsewhere.</x:v>
      </x:c>
    </x:row>
    <x:row r="57" ht="60" customHeight="1">
      <x:c r="A57" s="37" t="str">
        <x:v>X053</x:v>
      </x:c>
      <x:c r="B57" s="37" t="str">
        <x:v>First chief-ministerial era and party consolidation</x:v>
      </x:c>
      <x:c r="C57" s="58" t="n">
        <x:v>25244</x:v>
      </x:c>
      <x:c r="D57" s="58" t="n">
        <x:v>27790</x:v>
      </x:c>
      <x:c r="E57" s="37" t="str">
        <x:v>Era</x:v>
      </x:c>
      <x:c r="F57" s="37" t="str">
        <x:v>Era 3: Electoral environment — What election rules, boundaries, practices and data conditions applied?</x:v>
      </x:c>
      <x:c r="G57" s="37" t="str">
        <x:v>Material finding</x:v>
      </x:c>
      <x:c r="H57" s="37" t="str">
        <x:v>The 1971 mandate consolidated the DMK, but Emergency rule suspended ordinary competition and enabled dismissal.</x:v>
      </x:c>
      <x:c r="I57" s="37" t="str">
        <x:v>Franchise, competition and electoral shocks</x:v>
      </x:c>
      <x:c r="J57" s="37" t="str">
        <x:v>DMK dominance after Congress displacement; split with M. G. Ramachandran in 1972 created the AIADMK challenge.</x:v>
      </x:c>
      <x:c r="K57" s="37" t="str">
        <x:v>State-led planning, nationalization and the 1970s oil and food shocks; Cold War centralization.</x:v>
      </x:c>
      <x:c r="L57" s="37" t="str">
        <x:v>Print, cinema and state broadcasting remained decisive; party-linked cultural networks carried messages.</x:v>
      </x:c>
      <x:c r="M57" s="37" t="str">
        <x:v>A strong Union executive and Article 356 vulnerability constrained state autonomy; Emergency suspended normal civil-liberties conditions from 1975.</x:v>
      </x:c>
      <x:c r="N57" s="37" t="str">
        <x:v>Gender norms affected access and representation but were rarely the sole driver.</x:v>
      </x:c>
      <x:c r="O57" s="37" t="str">
        <x:v>Language, caste, region and class were often more explicit axes of mobilization.</x:v>
      </x:c>
      <x:c r="P57" s="37" t="str">
        <x:v>Conditions stated in finding</x:v>
      </x:c>
      <x:c r="Q57" s="37" t="str">
        <x:v>Tamil Nadu chief ministers, regional-party leaders and opposition figures in the same period</x:v>
      </x:c>
      <x:c r="R57" s="37" t="str">
        <x:v>Assessment reconstructed from phase-specific records.</x:v>
      </x:c>
      <x:c r="S57" s="37" t="str">
        <x:v>Later scholarship evaluates institutional and distributional consequences.</x:v>
      </x:c>
      <x:c r="T57" s="37" t="str">
        <x:v>Use contemporaneous territorial names, feasible alternatives and institutional powers; context does not excuse rights violations or corruption.</x:v>
      </x:c>
      <x:c r="U57" s="37" t="str">
        <x:v>Digitization and source balance vary by phase.</x:v>
      </x:c>
      <x:c r="V57" s="37" t="str">
        <x:v>Analysis</x:v>
      </x:c>
      <x:c r="W57" s="37" t="str">
        <x:v>Multiple independent sources</x:v>
      </x:c>
      <x:c r="X57" s="37" t="str">
        <x:v>S04; S15; S16; S17</x:v>
      </x:c>
      <x:c r="Y57" s="37" t="str">
        <x:v>Broad phase synthesis; event-specific claims use narrower sources elsewhere.</x:v>
      </x:c>
    </x:row>
    <x:row r="58" ht="60" customHeight="1">
      <x:c r="A58" s="37" t="str">
        <x:v>X054</x:v>
      </x:c>
      <x:c r="B58" s="37" t="str">
        <x:v>First chief-ministerial era and party consolidation</x:v>
      </x:c>
      <x:c r="C58" s="58" t="n">
        <x:v>25244</x:v>
      </x:c>
      <x:c r="D58" s="58" t="n">
        <x:v>27790</x:v>
      </x:c>
      <x:c r="E58" s="37" t="str">
        <x:v>Era</x:v>
      </x:c>
      <x:c r="F58" s="37" t="str">
        <x:v>Era 4: Economic regime — What economic regime framed policy choices?</x:v>
      </x:c>
      <x:c r="G58" s="37" t="str">
        <x:v>Material finding</x:v>
      </x:c>
      <x:c r="H58" s="37" t="str">
        <x:v>State-led planning, nationalization and the 1970s oil and food shocks; Cold War centralization.</x:v>
      </x:c>
      <x:c r="I58" s="37" t="str">
        <x:v>Economic regime and feasible policy set</x:v>
      </x:c>
      <x:c r="J58" s="37" t="str">
        <x:v>DMK dominance after Congress displacement; split with M. G. Ramachandran in 1972 created the AIADMK challenge.</x:v>
      </x:c>
      <x:c r="K58" s="37" t="str">
        <x:v>State-led planning, nationalization and the 1970s oil and food shocks; Cold War centralization.</x:v>
      </x:c>
      <x:c r="L58" s="37" t="str">
        <x:v>Print, cinema and state broadcasting remained decisive; party-linked cultural networks carried messages.</x:v>
      </x:c>
      <x:c r="M58" s="37" t="str">
        <x:v>A strong Union executive and Article 356 vulnerability constrained state autonomy; Emergency suspended normal civil-liberties conditions from 1975.</x:v>
      </x:c>
      <x:c r="N58" s="37" t="str">
        <x:v>Gender norms affected access and representation but were rarely the sole driver.</x:v>
      </x:c>
      <x:c r="O58" s="37" t="str">
        <x:v>Language, caste, region and class were often more explicit axes of mobilization.</x:v>
      </x:c>
      <x:c r="P58" s="37" t="str">
        <x:v>Conditions stated in finding</x:v>
      </x:c>
      <x:c r="Q58" s="37" t="str">
        <x:v>Tamil Nadu chief ministers, regional-party leaders and opposition figures in the same period</x:v>
      </x:c>
      <x:c r="R58" s="37" t="str">
        <x:v>Assessment reconstructed from phase-specific records.</x:v>
      </x:c>
      <x:c r="S58" s="37" t="str">
        <x:v>Later scholarship evaluates institutional and distributional consequences.</x:v>
      </x:c>
      <x:c r="T58" s="37" t="str">
        <x:v>Use contemporaneous territorial names, feasible alternatives and institutional powers; context does not excuse rights violations or corruption.</x:v>
      </x:c>
      <x:c r="U58" s="37" t="str">
        <x:v>Digitization and source balance vary by phase.</x:v>
      </x:c>
      <x:c r="V58" s="37" t="str">
        <x:v>Analysis</x:v>
      </x:c>
      <x:c r="W58" s="37" t="str">
        <x:v>Multiple independent sources</x:v>
      </x:c>
      <x:c r="X58" s="37" t="str">
        <x:v>S04; S15; S16; S17</x:v>
      </x:c>
      <x:c r="Y58" s="37" t="str">
        <x:v>Broad phase synthesis; event-specific claims use narrower sources elsewhere.</x:v>
      </x:c>
    </x:row>
    <x:row r="59" ht="60" customHeight="1">
      <x:c r="A59" s="37" t="str">
        <x:v>X055</x:v>
      </x:c>
      <x:c r="B59" s="37" t="str">
        <x:v>First chief-ministerial era and party consolidation</x:v>
      </x:c>
      <x:c r="C59" s="58" t="n">
        <x:v>25244</x:v>
      </x:c>
      <x:c r="D59" s="58" t="n">
        <x:v>27790</x:v>
      </x:c>
      <x:c r="E59" s="37" t="str">
        <x:v>Era</x:v>
      </x:c>
      <x:c r="F59" s="37" t="str">
        <x:v>Era 5: International system — What international conditions materially mattered?</x:v>
      </x:c>
      <x:c r="G59" s="37" t="str">
        <x:v>Material finding</x:v>
      </x:c>
      <x:c r="H59" s="37" t="str">
        <x:v>Cold War centralization, the 1971 war and oil shock strengthened the Union and constrained states.</x:v>
      </x:c>
      <x:c r="I59" s="37" t="str">
        <x:v>International events affecting state politics</x:v>
      </x:c>
      <x:c r="J59" s="37" t="str">
        <x:v>DMK dominance after Congress displacement; split with M. G. Ramachandran in 1972 created the AIADMK challenge.</x:v>
      </x:c>
      <x:c r="K59" s="37" t="str">
        <x:v>State-led planning, nationalization and the 1970s oil and food shocks; Cold War centralization.</x:v>
      </x:c>
      <x:c r="L59" s="37" t="str">
        <x:v>Print, cinema and state broadcasting remained decisive; party-linked cultural networks carried messages.</x:v>
      </x:c>
      <x:c r="M59" s="37" t="str">
        <x:v>A strong Union executive and Article 356 vulnerability constrained state autonomy; Emergency suspended normal civil-liberties conditions from 1975.</x:v>
      </x:c>
      <x:c r="N59" s="37" t="str">
        <x:v>Gender norms affected access and representation but were rarely the sole driver.</x:v>
      </x:c>
      <x:c r="O59" s="37" t="str">
        <x:v>Language, caste, region and class were often more explicit axes of mobilization.</x:v>
      </x:c>
      <x:c r="P59" s="37" t="str">
        <x:v>Conditions stated in finding</x:v>
      </x:c>
      <x:c r="Q59" s="37" t="str">
        <x:v>Tamil Nadu chief ministers, regional-party leaders and opposition figures in the same period</x:v>
      </x:c>
      <x:c r="R59" s="37" t="str">
        <x:v>Assessment reconstructed from phase-specific records.</x:v>
      </x:c>
      <x:c r="S59" s="37" t="str">
        <x:v>Later scholarship evaluates institutional and distributional consequences.</x:v>
      </x:c>
      <x:c r="T59" s="37" t="str">
        <x:v>Use contemporaneous territorial names, feasible alternatives and institutional powers; context does not excuse rights violations or corruption.</x:v>
      </x:c>
      <x:c r="U59" s="37" t="str">
        <x:v>Digitization and source balance vary by phase.</x:v>
      </x:c>
      <x:c r="V59" s="37" t="str">
        <x:v>Analysis</x:v>
      </x:c>
      <x:c r="W59" s="37" t="str">
        <x:v>Multiple independent sources</x:v>
      </x:c>
      <x:c r="X59" s="37" t="str">
        <x:v>S04; S15; S16; S17</x:v>
      </x:c>
      <x:c r="Y59" s="37" t="str">
        <x:v>Broad phase synthesis; event-specific claims use narrower sources elsewhere.</x:v>
      </x:c>
    </x:row>
    <x:row r="60" ht="60" customHeight="1">
      <x:c r="A60" s="37" t="str">
        <x:v>X056</x:v>
      </x:c>
      <x:c r="B60" s="37" t="str">
        <x:v>First chief-ministerial era and party consolidation</x:v>
      </x:c>
      <x:c r="C60" s="58" t="n">
        <x:v>25244</x:v>
      </x:c>
      <x:c r="D60" s="58" t="n">
        <x:v>27790</x:v>
      </x:c>
      <x:c r="E60" s="37" t="str">
        <x:v>Era</x:v>
      </x:c>
      <x:c r="F60" s="37" t="str">
        <x:v>Era 6: Media and campaign environment — Which media and campaign technologies structured politics?</x:v>
      </x:c>
      <x:c r="G60" s="37" t="str">
        <x:v>Material finding</x:v>
      </x:c>
      <x:c r="H60" s="37" t="str">
        <x:v>Print, cinema and state broadcasting remained decisive; party-linked cultural networks carried messages.</x:v>
      </x:c>
      <x:c r="I60" s="37" t="str">
        <x:v>Communication technology and gatekeeping</x:v>
      </x:c>
      <x:c r="J60" s="37" t="str">
        <x:v>DMK dominance after Congress displacement; split with M. G. Ramachandran in 1972 created the AIADMK challenge.</x:v>
      </x:c>
      <x:c r="K60" s="37" t="str">
        <x:v>State-led planning, nationalization and the 1970s oil and food shocks; Cold War centralization.</x:v>
      </x:c>
      <x:c r="L60" s="37" t="str">
        <x:v>Print, cinema and state broadcasting remained decisive; party-linked cultural networks carried messages.</x:v>
      </x:c>
      <x:c r="M60" s="37" t="str">
        <x:v>A strong Union executive and Article 356 vulnerability constrained state autonomy; Emergency suspended normal civil-liberties conditions from 1975.</x:v>
      </x:c>
      <x:c r="N60" s="37" t="str">
        <x:v>Gender norms affected access and representation but were rarely the sole driver.</x:v>
      </x:c>
      <x:c r="O60" s="37" t="str">
        <x:v>Language, caste, region and class were often more explicit axes of mobilization.</x:v>
      </x:c>
      <x:c r="P60" s="37" t="str">
        <x:v>Conditions stated in finding</x:v>
      </x:c>
      <x:c r="Q60" s="37" t="str">
        <x:v>Tamil Nadu chief ministers, regional-party leaders and opposition figures in the same period</x:v>
      </x:c>
      <x:c r="R60" s="37" t="str">
        <x:v>Assessment reconstructed from phase-specific records.</x:v>
      </x:c>
      <x:c r="S60" s="37" t="str">
        <x:v>Later scholarship evaluates institutional and distributional consequences.</x:v>
      </x:c>
      <x:c r="T60" s="37" t="str">
        <x:v>Use contemporaneous territorial names, feasible alternatives and institutional powers; context does not excuse rights violations or corruption.</x:v>
      </x:c>
      <x:c r="U60" s="37" t="str">
        <x:v>Digitization and source balance vary by phase.</x:v>
      </x:c>
      <x:c r="V60" s="37" t="str">
        <x:v>Analysis</x:v>
      </x:c>
      <x:c r="W60" s="37" t="str">
        <x:v>Multiple independent sources</x:v>
      </x:c>
      <x:c r="X60" s="37" t="str">
        <x:v>S04; S15; S16; S17</x:v>
      </x:c>
      <x:c r="Y60" s="37" t="str">
        <x:v>Broad phase synthesis; event-specific claims use narrower sources elsewhere.</x:v>
      </x:c>
    </x:row>
    <x:row r="61" ht="60" customHeight="1">
      <x:c r="A61" s="37" t="str">
        <x:v>X057</x:v>
      </x:c>
      <x:c r="B61" s="37" t="str">
        <x:v>First chief-ministerial era and party consolidation</x:v>
      </x:c>
      <x:c r="C61" s="58" t="n">
        <x:v>25244</x:v>
      </x:c>
      <x:c r="D61" s="58" t="n">
        <x:v>27790</x:v>
      </x:c>
      <x:c r="E61" s="37" t="str">
        <x:v>Era</x:v>
      </x:c>
      <x:c r="F61" s="37" t="str">
        <x:v>Era 7: Political organization — What organizational form carried power?</x:v>
      </x:c>
      <x:c r="G61" s="37" t="str">
        <x:v>Material finding</x:v>
      </x:c>
      <x:c r="H61" s="37" t="str">
        <x:v>A mass cadre party became a governing and increasingly leader-centered organization; the MGR split exposed personal networks.</x:v>
      </x:c>
      <x:c r="I61" s="37" t="str">
        <x:v>Organizational capacity</x:v>
      </x:c>
      <x:c r="J61" s="37" t="str">
        <x:v>DMK dominance after Congress displacement; split with M. G. Ramachandran in 1972 created the AIADMK challenge.</x:v>
      </x:c>
      <x:c r="K61" s="37" t="str">
        <x:v>State-led planning, nationalization and the 1970s oil and food shocks; Cold War centralization.</x:v>
      </x:c>
      <x:c r="L61" s="37" t="str">
        <x:v>Print, cinema and state broadcasting remained decisive; party-linked cultural networks carried messages.</x:v>
      </x:c>
      <x:c r="M61" s="37" t="str">
        <x:v>A strong Union executive and Article 356 vulnerability constrained state autonomy; Emergency suspended normal civil-liberties conditions from 1975.</x:v>
      </x:c>
      <x:c r="N61" s="37" t="str">
        <x:v>Gender norms affected access and representation but were rarely the sole driver.</x:v>
      </x:c>
      <x:c r="O61" s="37" t="str">
        <x:v>Language, caste, region and class were often more explicit axes of mobilization.</x:v>
      </x:c>
      <x:c r="P61" s="37" t="str">
        <x:v>Conditions stated in finding</x:v>
      </x:c>
      <x:c r="Q61" s="37" t="str">
        <x:v>Tamil Nadu chief ministers, regional-party leaders and opposition figures in the same period</x:v>
      </x:c>
      <x:c r="R61" s="37" t="str">
        <x:v>Assessment reconstructed from phase-specific records.</x:v>
      </x:c>
      <x:c r="S61" s="37" t="str">
        <x:v>Later scholarship evaluates institutional and distributional consequences.</x:v>
      </x:c>
      <x:c r="T61" s="37" t="str">
        <x:v>Use contemporaneous territorial names, feasible alternatives and institutional powers; context does not excuse rights violations or corruption.</x:v>
      </x:c>
      <x:c r="U61" s="37" t="str">
        <x:v>Digitization and source balance vary by phase.</x:v>
      </x:c>
      <x:c r="V61" s="37" t="str">
        <x:v>Analysis</x:v>
      </x:c>
      <x:c r="W61" s="37" t="str">
        <x:v>Multiple independent sources</x:v>
      </x:c>
      <x:c r="X61" s="37" t="str">
        <x:v>S04; S15; S16; S17</x:v>
      </x:c>
      <x:c r="Y61" s="37" t="str">
        <x:v>Broad phase synthesis; event-specific claims use narrower sources elsewhere.</x:v>
      </x:c>
    </x:row>
    <x:row r="62" ht="60" customHeight="1">
      <x:c r="A62" s="37" t="str">
        <x:v>X058</x:v>
      </x:c>
      <x:c r="B62" s="37" t="str">
        <x:v>First chief-ministerial era and party consolidation</x:v>
      </x:c>
      <x:c r="C62" s="58" t="n">
        <x:v>25244</x:v>
      </x:c>
      <x:c r="D62" s="58" t="n">
        <x:v>27790</x:v>
      </x:c>
      <x:c r="E62" s="37" t="str">
        <x:v>Era</x:v>
      </x:c>
      <x:c r="F62" s="37" t="str">
        <x:v>Era 8: Social environment — Which caste, language, religion, class or gender conditions mattered?</x:v>
      </x:c>
      <x:c r="G62" s="37" t="str">
        <x:v>Material finding</x:v>
      </x:c>
      <x:c r="H62" s="37" t="str">
        <x:v>Reservation, language identity and emerging welfare expectations shaped governance; caste hierarchy persisted beneath non-Brahmin unity.</x:v>
      </x:c>
      <x:c r="I62" s="37" t="str">
        <x:v>Social coalition and conflict</x:v>
      </x:c>
      <x:c r="J62" s="37" t="str">
        <x:v>DMK dominance after Congress displacement; split with M. G. Ramachandran in 1972 created the AIADMK challenge.</x:v>
      </x:c>
      <x:c r="K62" s="37" t="str">
        <x:v>State-led planning, nationalization and the 1970s oil and food shocks; Cold War centralization.</x:v>
      </x:c>
      <x:c r="L62" s="37" t="str">
        <x:v>Print, cinema and state broadcasting remained decisive; party-linked cultural networks carried messages.</x:v>
      </x:c>
      <x:c r="M62" s="37" t="str">
        <x:v>A strong Union executive and Article 356 vulnerability constrained state autonomy; Emergency suspended normal civil-liberties conditions from 1975.</x:v>
      </x:c>
      <x:c r="N62" s="37" t="str">
        <x:v>Gender norms affected access and representation but were rarely the sole driver.</x:v>
      </x:c>
      <x:c r="O62" s="37" t="str">
        <x:v>Language, caste, region and class were often more explicit axes of mobilization.</x:v>
      </x:c>
      <x:c r="P62" s="37" t="str">
        <x:v>Conditions stated in finding</x:v>
      </x:c>
      <x:c r="Q62" s="37" t="str">
        <x:v>Tamil Nadu chief ministers, regional-party leaders and opposition figures in the same period</x:v>
      </x:c>
      <x:c r="R62" s="37" t="str">
        <x:v>Assessment reconstructed from phase-specific records.</x:v>
      </x:c>
      <x:c r="S62" s="37" t="str">
        <x:v>Later scholarship evaluates institutional and distributional consequences.</x:v>
      </x:c>
      <x:c r="T62" s="37" t="str">
        <x:v>Use contemporaneous territorial names, feasible alternatives and institutional powers; context does not excuse rights violations or corruption.</x:v>
      </x:c>
      <x:c r="U62" s="37" t="str">
        <x:v>Digitization and source balance vary by phase.</x:v>
      </x:c>
      <x:c r="V62" s="37" t="str">
        <x:v>Analysis</x:v>
      </x:c>
      <x:c r="W62" s="37" t="str">
        <x:v>Multiple independent sources</x:v>
      </x:c>
      <x:c r="X62" s="37" t="str">
        <x:v>S04; S15; S16; S17</x:v>
      </x:c>
      <x:c r="Y62" s="37" t="str">
        <x:v>Broad phase synthesis; event-specific claims use narrower sources elsewhere.</x:v>
      </x:c>
    </x:row>
    <x:row r="63" ht="60" customHeight="1">
      <x:c r="A63" s="37" t="str">
        <x:v>X059</x:v>
      </x:c>
      <x:c r="B63" s="37" t="str">
        <x:v>First chief-ministerial era and party consolidation</x:v>
      </x:c>
      <x:c r="C63" s="58" t="n">
        <x:v>25244</x:v>
      </x:c>
      <x:c r="D63" s="58" t="n">
        <x:v>27790</x:v>
      </x:c>
      <x:c r="E63" s="37" t="str">
        <x:v>Era</x:v>
      </x:c>
      <x:c r="F63" s="37" t="str">
        <x:v>Era 9: State structure and political geography — How did boundaries and Centre–State relations matter?</x:v>
      </x:c>
      <x:c r="G63" s="37" t="str">
        <x:v>Material finding</x:v>
      </x:c>
      <x:c r="H63" s="37" t="str">
        <x:v>Karunanidhi used the new Tamil Nadu identity while challenging central dominance through the Rajamannar Committee.</x:v>
      </x:c>
      <x:c r="I63" s="37" t="str">
        <x:v>Territory and federal power</x:v>
      </x:c>
      <x:c r="J63" s="37" t="str">
        <x:v>DMK dominance after Congress displacement; split with M. G. Ramachandran in 1972 created the AIADMK challenge.</x:v>
      </x:c>
      <x:c r="K63" s="37" t="str">
        <x:v>State-led planning, nationalization and the 1970s oil and food shocks; Cold War centralization.</x:v>
      </x:c>
      <x:c r="L63" s="37" t="str">
        <x:v>Print, cinema and state broadcasting remained decisive; party-linked cultural networks carried messages.</x:v>
      </x:c>
      <x:c r="M63" s="37" t="str">
        <x:v>A strong Union executive and Article 356 vulnerability constrained state autonomy; Emergency suspended normal civil-liberties conditions from 1975.</x:v>
      </x:c>
      <x:c r="N63" s="37" t="str">
        <x:v>Gender norms affected access and representation but were rarely the sole driver.</x:v>
      </x:c>
      <x:c r="O63" s="37" t="str">
        <x:v>Language, caste, region and class were often more explicit axes of mobilization.</x:v>
      </x:c>
      <x:c r="P63" s="37" t="str">
        <x:v>Conditions stated in finding</x:v>
      </x:c>
      <x:c r="Q63" s="37" t="str">
        <x:v>Tamil Nadu chief ministers, regional-party leaders and opposition figures in the same period</x:v>
      </x:c>
      <x:c r="R63" s="37" t="str">
        <x:v>Assessment reconstructed from phase-specific records.</x:v>
      </x:c>
      <x:c r="S63" s="37" t="str">
        <x:v>Later scholarship evaluates institutional and distributional consequences.</x:v>
      </x:c>
      <x:c r="T63" s="37" t="str">
        <x:v>Use contemporaneous territorial names, feasible alternatives and institutional powers; context does not excuse rights violations or corruption.</x:v>
      </x:c>
      <x:c r="U63" s="37" t="str">
        <x:v>Digitization and source balance vary by phase.</x:v>
      </x:c>
      <x:c r="V63" s="37" t="str">
        <x:v>Analysis</x:v>
      </x:c>
      <x:c r="W63" s="37" t="str">
        <x:v>Multiple independent sources</x:v>
      </x:c>
      <x:c r="X63" s="37" t="str">
        <x:v>S04; S15; S16; S17</x:v>
      </x:c>
      <x:c r="Y63" s="37" t="str">
        <x:v>Broad phase synthesis; event-specific claims use narrower sources elsewhere.</x:v>
      </x:c>
    </x:row>
    <x:row r="64" ht="60" customHeight="1">
      <x:c r="A64" s="37" t="str">
        <x:v>X060</x:v>
      </x:c>
      <x:c r="B64" s="37" t="str">
        <x:v>First chief-ministerial era and party consolidation</x:v>
      </x:c>
      <x:c r="C64" s="58" t="n">
        <x:v>25244</x:v>
      </x:c>
      <x:c r="D64" s="58" t="n">
        <x:v>27790</x:v>
      </x:c>
      <x:c r="E64" s="37" t="str">
        <x:v>Era</x:v>
      </x:c>
      <x:c r="F64" s="37" t="str">
        <x:v>Era 10: Evidence environment — What source limitations shape retrospective assessment?</x:v>
      </x:c>
      <x:c r="G64" s="37" t="str">
        <x:v>Research limitation</x:v>
      </x:c>
      <x:c r="H64" s="37" t="str">
        <x:v>Emergency censorship, partisan inquiry records and incomplete digitization require careful separation of fact and allegation.</x:v>
      </x:c>
      <x:c r="I64" s="37" t="str">
        <x:v>Archival survival and source bias</x:v>
      </x:c>
      <x:c r="J64" s="37" t="str">
        <x:v>DMK dominance after Congress displacement; split with M. G. Ramachandran in 1972 created the AIADMK challenge.</x:v>
      </x:c>
      <x:c r="K64" s="37" t="str">
        <x:v>State-led planning, nationalization and the 1970s oil and food shocks; Cold War centralization.</x:v>
      </x:c>
      <x:c r="L64" s="37" t="str">
        <x:v>Print, cinema and state broadcasting remained decisive; party-linked cultural networks carried messages.</x:v>
      </x:c>
      <x:c r="M64" s="37" t="str">
        <x:v>A strong Union executive and Article 356 vulnerability constrained state autonomy; Emergency suspended normal civil-liberties conditions from 1975.</x:v>
      </x:c>
      <x:c r="N64" s="37" t="str">
        <x:v>Gender norms affected access and representation but were rarely the sole driver.</x:v>
      </x:c>
      <x:c r="O64" s="37" t="str">
        <x:v>Language, caste, region and class were often more explicit axes of mobilization.</x:v>
      </x:c>
      <x:c r="P64" s="37" t="str">
        <x:v>Conditions stated in finding</x:v>
      </x:c>
      <x:c r="Q64" s="37" t="str">
        <x:v>Tamil Nadu chief ministers, regional-party leaders and opposition figures in the same period</x:v>
      </x:c>
      <x:c r="R64" s="37" t="str">
        <x:v>Assessment reconstructed from phase-specific records.</x:v>
      </x:c>
      <x:c r="S64" s="37" t="str">
        <x:v>Later scholarship evaluates institutional and distributional consequences.</x:v>
      </x:c>
      <x:c r="T64" s="37" t="str">
        <x:v>Use contemporaneous territorial names, feasible alternatives and institutional powers; context does not excuse rights violations or corruption.</x:v>
      </x:c>
      <x:c r="U64" s="37" t="str">
        <x:v>Emergency censorship, partisan inquiry records and incomplete digitization require careful separation of fact and allegation.</x:v>
      </x:c>
      <x:c r="V64" s="37" t="str">
        <x:v>Analysis</x:v>
      </x:c>
      <x:c r="W64" s="37" t="str">
        <x:v>Multiple independent sources</x:v>
      </x:c>
      <x:c r="X64" s="37" t="str">
        <x:v>S04; S15; S16; S17</x:v>
      </x:c>
      <x:c r="Y64" s="37" t="str">
        <x:v>Broad phase synthesis; event-specific claims use narrower sources elsewhere.</x:v>
      </x:c>
    </x:row>
    <x:row r="65" ht="60" customHeight="1">
      <x:c r="A65" s="37" t="str">
        <x:v>X061</x:v>
      </x:c>
      <x:c r="B65" s="37" t="str">
        <x:v>Opposition, MGR dominance and return</x:v>
      </x:c>
      <x:c r="C65" s="58" t="n">
        <x:v>27791</x:v>
      </x:c>
      <x:c r="D65" s="58" t="n">
        <x:v>33268</x:v>
      </x:c>
      <x:c r="E65" s="37" t="str">
        <x:v>Gender</x:v>
      </x:c>
      <x:c r="F65" s="37" t="str">
        <x:v>Gender 1: Entry and advancement — Did gender affect recruitment, candidacy, nominations or advancement?</x:v>
      </x:c>
      <x:c r="G65" s="37" t="str">
        <x:v>Research limitation</x:v>
      </x:c>
      <x:c r="H65" s="37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I65" s="37" t="str">
        <x:v>Party and public-sphere access</x:v>
      </x:c>
      <x:c r="J65" s="37" t="str">
        <x:v>AIADMK dominance under MGR, fragmented opposition, then a post-MGR opening and National Front coalition politics.</x:v>
      </x:c>
      <x:c r="K65" s="37" t="str">
        <x:v>Late planning-era fiscal pressure followed by initial liberalization; Sri Lankan ethnic conflict shaped regional politics.</x:v>
      </x:c>
      <x:c r="L65" s="37" t="str">
        <x:v>Cinema, print and public rallies dominated; television expanded slowly under state control.</x:v>
      </x:c>
      <x:c r="M65" s="37" t="str">
        <x:v>Post-Emergency restoration coexisted with recurrent Article 356 use; anti-defection and coalition institutions evolved.</x:v>
      </x:c>
      <x:c r="N65" s="37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O65" s="37" t="str">
        <x:v>Caste, language, class and family networks are assessed only where evidenced.</x:v>
      </x:c>
      <x:c r="P65" s="37" t="str">
        <x:v>Male-dominated party and electoral institutions</x:v>
      </x:c>
      <x:c r="Q65" s="37" t="str">
        <x:v>Comparable Tamil Nadu party leaders and office-holders in the same phase</x:v>
      </x:c>
      <x:c r="R65" s="37" t="str">
        <x:v>Contemporary coverage rarely isolated male privilege as an analytical category.</x:v>
      </x:c>
      <x:c r="S65" s="37" t="str">
        <x:v>Later gender analysis distinguishes concrete policy effects from male-dominated organization.</x:v>
      </x:c>
      <x:c r="T65" s="37" t="str">
        <x:v>Avoid projecting today's language of representation backward without losing the underlying inequality.</x:v>
      </x:c>
      <x:c r="U65" s="37" t="str">
        <x:v>Women-specific party records and gender-disaggregated leadership data are incomplete.</x:v>
      </x:c>
      <x:c r="V65" s="37" t="str">
        <x:v>Analysis</x:v>
      </x:c>
      <x:c r="W65" s="37" t="str">
        <x:v>Single credible source</x:v>
      </x:c>
      <x:c r="X65" s="37" t="str">
        <x:v>S03; S04; S19; S26; S30; S10; S27</x:v>
      </x:c>
      <x:c r="Y65" s="37" t="str">
        <x:v>Disposition reflects reviewed evidence; absence of evidence is not proof of absence.</x:v>
      </x:c>
    </x:row>
    <x:row r="66" ht="60" customHeight="1">
      <x:c r="A66" s="37" t="str">
        <x:v>X062</x:v>
      </x:c>
      <x:c r="B66" s="37" t="str">
        <x:v>Opposition, MGR dominance and return</x:v>
      </x:c>
      <x:c r="C66" s="58" t="n">
        <x:v>27791</x:v>
      </x:c>
      <x:c r="D66" s="58" t="n">
        <x:v>33268</x:v>
      </x:c>
      <x:c r="E66" s="37" t="str">
        <x:v>Gender</x:v>
      </x:c>
      <x:c r="F66" s="37" t="str">
        <x:v>Gender 2: Milestones — Were there gender-related firsts or representative milestones?</x:v>
      </x:c>
      <x:c r="G66" s="37" t="str">
        <x:v>Not materially relevant</x:v>
      </x:c>
      <x:c r="H66" s="37" t="str">
        <x:v>No gender-related first attached to Karunanidhi's own offices in this phase. The relevant milestone question concerns policies or the underrepresentation of women around him, not his descriptive representation.</x:v>
      </x:c>
      <x:c r="I66" s="37" t="str">
        <x:v>No personal milestone</x:v>
      </x:c>
      <x:c r="J66" s="37" t="str">
        <x:v>AIADMK dominance under MGR, fragmented opposition, then a post-MGR opening and National Front coalition politics.</x:v>
      </x:c>
      <x:c r="K66" s="37" t="str">
        <x:v>Late planning-era fiscal pressure followed by initial liberalization; Sri Lankan ethnic conflict shaped regional politics.</x:v>
      </x:c>
      <x:c r="L66" s="37" t="str">
        <x:v>Cinema, print and public rallies dominated; television expanded slowly under state control.</x:v>
      </x:c>
      <x:c r="M66" s="37" t="str">
        <x:v>Post-Emergency restoration coexisted with recurrent Article 356 use; anti-defection and coalition institutions evolved.</x:v>
      </x:c>
      <x:c r="N66" s="37" t="str">
        <x:v>No gender-related first attached to Karunanidhi's own offices in this phase. The relevant milestone question concerns policies or the underrepresentation of women around him, not his descriptive representation.</x:v>
      </x:c>
      <x:c r="O66" s="37" t="str">
        <x:v>Caste, language, class and family networks are assessed only where evidenced.</x:v>
      </x:c>
      <x:c r="P66" s="37" t="str">
        <x:v>Male-dominated party and electoral institutions</x:v>
      </x:c>
      <x:c r="Q66" s="37" t="str">
        <x:v>Comparable Tamil Nadu party leaders and office-holders in the same phase</x:v>
      </x:c>
      <x:c r="R66" s="37" t="str">
        <x:v>Contemporary coverage rarely isolated male privilege as an analytical category.</x:v>
      </x:c>
      <x:c r="S66" s="37" t="str">
        <x:v>Later gender analysis distinguishes concrete policy effects from male-dominated organization.</x:v>
      </x:c>
      <x:c r="T66" s="37" t="str">
        <x:v>Avoid projecting today's language of representation backward without losing the underlying inequality.</x:v>
      </x:c>
      <x:c r="U66" s="37" t="str">
        <x:v>Women-specific party records and gender-disaggregated leadership data are incomplete.</x:v>
      </x:c>
      <x:c r="V66" s="37" t="str">
        <x:v>Analysis</x:v>
      </x:c>
      <x:c r="W66" s="37" t="str">
        <x:v>Multiple independent sources</x:v>
      </x:c>
      <x:c r="X66" s="37" t="str">
        <x:v>S03; S04; S19; S26; S30; S10; S27</x:v>
      </x:c>
      <x:c r="Y66" s="37" t="str">
        <x:v>Disposition reflects reviewed evidence; absence of evidence is not proof of absence.</x:v>
      </x:c>
    </x:row>
    <x:row r="67" ht="60" customHeight="1">
      <x:c r="A67" s="37" t="str">
        <x:v>X063</x:v>
      </x:c>
      <x:c r="B67" s="37" t="str">
        <x:v>Opposition, MGR dominance and return</x:v>
      </x:c>
      <x:c r="C67" s="58" t="n">
        <x:v>27791</x:v>
      </x:c>
      <x:c r="D67" s="58" t="n">
        <x:v>33268</x:v>
      </x:c>
      <x:c r="E67" s="37" t="str">
        <x:v>Gender</x:v>
      </x:c>
      <x:c r="F67" s="37" t="str">
        <x:v>Gender 3: Networks and pathways — Did family, patronage, marriage or mentorship operate through gendered pathways?</x:v>
      </x:c>
      <x:c r="G67" s="37" t="str">
        <x:v>Research limitation</x:v>
      </x:c>
      <x:c r="H67" s="37" t="str">
        <x:v>Mentorship and male cadre networks were central, but accessible evidence does not permit a clean gender-causal estimate. His Self-Respect marriage practice had ideological meaning, yet marriage was not his primary route into politics.</x:v>
      </x:c>
      <x:c r="I67" s="37" t="str">
        <x:v>Networks and succession</x:v>
      </x:c>
      <x:c r="J67" s="37" t="str">
        <x:v>AIADMK dominance under MGR, fragmented opposition, then a post-MGR opening and National Front coalition politics.</x:v>
      </x:c>
      <x:c r="K67" s="37" t="str">
        <x:v>Late planning-era fiscal pressure followed by initial liberalization; Sri Lankan ethnic conflict shaped regional politics.</x:v>
      </x:c>
      <x:c r="L67" s="37" t="str">
        <x:v>Cinema, print and public rallies dominated; television expanded slowly under state control.</x:v>
      </x:c>
      <x:c r="M67" s="37" t="str">
        <x:v>Post-Emergency restoration coexisted with recurrent Article 356 use; anti-defection and coalition institutions evolved.</x:v>
      </x:c>
      <x:c r="N67" s="37" t="str">
        <x:v>Mentorship and male cadre networks were central, but accessible evidence does not permit a clean gender-causal estimate. His Self-Respect marriage practice had ideological meaning, yet marriage was not his primary route into politics.</x:v>
      </x:c>
      <x:c r="O67" s="37" t="str">
        <x:v>Caste, language, class and family networks are assessed only where evidenced.</x:v>
      </x:c>
      <x:c r="P67" s="37" t="str">
        <x:v>Male-dominated party and electoral institutions</x:v>
      </x:c>
      <x:c r="Q67" s="37" t="str">
        <x:v>Comparable Tamil Nadu party leaders and office-holders in the same phase</x:v>
      </x:c>
      <x:c r="R67" s="37" t="str">
        <x:v>Contemporary coverage rarely isolated male privilege as an analytical category.</x:v>
      </x:c>
      <x:c r="S67" s="37" t="str">
        <x:v>Later gender analysis distinguishes concrete policy effects from male-dominated organization.</x:v>
      </x:c>
      <x:c r="T67" s="37" t="str">
        <x:v>Avoid projecting today's language of representation backward without losing the underlying inequality.</x:v>
      </x:c>
      <x:c r="U67" s="37" t="str">
        <x:v>Women-specific party records and gender-disaggregated leadership data are incomplete.</x:v>
      </x:c>
      <x:c r="V67" s="37" t="str">
        <x:v>Analysis</x:v>
      </x:c>
      <x:c r="W67" s="37" t="str">
        <x:v>Single credible source</x:v>
      </x:c>
      <x:c r="X67" s="37" t="str">
        <x:v>S03; S04; S19; S26; S30; S10; S27</x:v>
      </x:c>
      <x:c r="Y67" s="37" t="str">
        <x:v>Disposition reflects reviewed evidence; absence of evidence is not proof of absence.</x:v>
      </x:c>
    </x:row>
    <x:row r="68" ht="60" customHeight="1">
      <x:c r="A68" s="37" t="str">
        <x:v>X064</x:v>
      </x:c>
      <x:c r="B68" s="37" t="str">
        <x:v>Opposition, MGR dominance and return</x:v>
      </x:c>
      <x:c r="C68" s="58" t="n">
        <x:v>27791</x:v>
      </x:c>
      <x:c r="D68" s="58" t="n">
        <x:v>33268</x:v>
      </x:c>
      <x:c r="E68" s="37" t="str">
        <x:v>Gender</x:v>
      </x:c>
      <x:c r="F68" s="37" t="str">
        <x:v>Gender 4: Role and portfolio allocation — Did gender expectations affect offices or portfolios?</x:v>
      </x:c>
      <x:c r="G68" s="37" t="str">
        <x:v>Material finding</x:v>
      </x:c>
      <x:c r="H68" s="37" t="str">
        <x:v>The cabinets and DMK's highest organizational tier remained predominantly male. Karunanidhi himself held core executive and infrastructure authority; evidence for phase-specific portfolio allocation caused by his gender is indirect rather than event-specific.</x:v>
      </x:c>
      <x:c r="I68" s="37" t="str">
        <x:v>Leadership allocation</x:v>
      </x:c>
      <x:c r="J68" s="37" t="str">
        <x:v>AIADMK dominance under MGR, fragmented opposition, then a post-MGR opening and National Front coalition politics.</x:v>
      </x:c>
      <x:c r="K68" s="37" t="str">
        <x:v>Late planning-era fiscal pressure followed by initial liberalization; Sri Lankan ethnic conflict shaped regional politics.</x:v>
      </x:c>
      <x:c r="L68" s="37" t="str">
        <x:v>Cinema, print and public rallies dominated; television expanded slowly under state control.</x:v>
      </x:c>
      <x:c r="M68" s="37" t="str">
        <x:v>Post-Emergency restoration coexisted with recurrent Article 356 use; anti-defection and coalition institutions evolved.</x:v>
      </x:c>
      <x:c r="N68" s="37" t="str">
        <x:v>The cabinets and DMK's highest organizational tier remained predominantly male. Karunanidhi himself held core executive and infrastructure authority; evidence for phase-specific portfolio allocation caused by his gender is indirect rather than event-specific.</x:v>
      </x:c>
      <x:c r="O68" s="37" t="str">
        <x:v>Caste, language, class and family networks are assessed only where evidenced.</x:v>
      </x:c>
      <x:c r="P68" s="37" t="str">
        <x:v>Male-dominated party and electoral institutions</x:v>
      </x:c>
      <x:c r="Q68" s="37" t="str">
        <x:v>Comparable Tamil Nadu party leaders and office-holders in the same phase</x:v>
      </x:c>
      <x:c r="R68" s="37" t="str">
        <x:v>Contemporary coverage rarely isolated male privilege as an analytical category.</x:v>
      </x:c>
      <x:c r="S68" s="37" t="str">
        <x:v>Later gender analysis distinguishes concrete policy effects from male-dominated organization.</x:v>
      </x:c>
      <x:c r="T68" s="37" t="str">
        <x:v>Avoid projecting today's language of representation backward without losing the underlying inequality.</x:v>
      </x:c>
      <x:c r="U68" s="37" t="str">
        <x:v>Women-specific party records and gender-disaggregated leadership data are incomplete.</x:v>
      </x:c>
      <x:c r="V68" s="37" t="str">
        <x:v>Analysis</x:v>
      </x:c>
      <x:c r="W68" s="37" t="str">
        <x:v>Single credible source</x:v>
      </x:c>
      <x:c r="X68" s="37" t="str">
        <x:v>S03; S04; S19; S26; S30; S10; S27</x:v>
      </x:c>
      <x:c r="Y68" s="37" t="str">
        <x:v>Disposition reflects reviewed evidence; absence of evidence is not proof of absence.</x:v>
      </x:c>
    </x:row>
    <x:row r="69" ht="60" customHeight="1">
      <x:c r="A69" s="37" t="str">
        <x:v>X065</x:v>
      </x:c>
      <x:c r="B69" s="37" t="str">
        <x:v>Opposition, MGR dominance and return</x:v>
      </x:c>
      <x:c r="C69" s="58" t="n">
        <x:v>27791</x:v>
      </x:c>
      <x:c r="D69" s="58" t="n">
        <x:v>33268</x:v>
      </x:c>
      <x:c r="E69" s="37" t="str">
        <x:v>Gender</x:v>
      </x:c>
      <x:c r="F69" s="37" t="str">
        <x:v>Gender 5: Campaign and media treatment — Was treatment materially gendered?</x:v>
      </x:c>
      <x:c r="G69" s="37" t="str">
        <x:v>Evidence not found</x:v>
      </x:c>
      <x:c r="H6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I69" s="37" t="str">
        <x:v>Media treatment</x:v>
      </x:c>
      <x:c r="J69" s="37" t="str">
        <x:v>AIADMK dominance under MGR, fragmented opposition, then a post-MGR opening and National Front coalition politics.</x:v>
      </x:c>
      <x:c r="K69" s="37" t="str">
        <x:v>Late planning-era fiscal pressure followed by initial liberalization; Sri Lankan ethnic conflict shaped regional politics.</x:v>
      </x:c>
      <x:c r="L69" s="37" t="str">
        <x:v>Cinema, print and public rallies dominated; television expanded slowly under state control.</x:v>
      </x:c>
      <x:c r="M69" s="37" t="str">
        <x:v>Post-Emergency restoration coexisted with recurrent Article 356 use; anti-defection and coalition institutions evolved.</x:v>
      </x:c>
      <x:c r="N6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O69" s="37" t="str">
        <x:v>Caste, language, class and family networks are assessed only where evidenced.</x:v>
      </x:c>
      <x:c r="P69" s="37" t="str">
        <x:v>Male-dominated party and electoral institutions</x:v>
      </x:c>
      <x:c r="Q69" s="37" t="str">
        <x:v>Comparable Tamil Nadu party leaders and office-holders in the same phase</x:v>
      </x:c>
      <x:c r="R69" s="37" t="str">
        <x:v>Contemporary coverage rarely isolated male privilege as an analytical category.</x:v>
      </x:c>
      <x:c r="S69" s="37" t="str">
        <x:v>Later gender analysis distinguishes concrete policy effects from male-dominated organization.</x:v>
      </x:c>
      <x:c r="T69" s="37" t="str">
        <x:v>Avoid projecting today's language of representation backward without losing the underlying inequality.</x:v>
      </x:c>
      <x:c r="U69" s="37" t="str">
        <x:v>Women-specific party records and gender-disaggregated leadership data are incomplete.</x:v>
      </x:c>
      <x:c r="V69" s="37" t="str">
        <x:v>Disputed/uncertain</x:v>
      </x:c>
      <x:c r="W69" s="37" t="str">
        <x:v>Single credible source</x:v>
      </x:c>
      <x:c r="X69" s="37" t="str">
        <x:v>S03; S04; S19; S26; S30; S10; S27</x:v>
      </x:c>
      <x:c r="Y69" s="37" t="str">
        <x:v>Disposition reflects reviewed evidence; absence of evidence is not proof of absence.</x:v>
      </x:c>
    </x:row>
    <x:row r="70" ht="60" customHeight="1">
      <x:c r="A70" s="37" t="str">
        <x:v>X066</x:v>
      </x:c>
      <x:c r="B70" s="37" t="str">
        <x:v>Opposition, MGR dominance and return</x:v>
      </x:c>
      <x:c r="C70" s="58" t="n">
        <x:v>27791</x:v>
      </x:c>
      <x:c r="D70" s="58" t="n">
        <x:v>33268</x:v>
      </x:c>
      <x:c r="E70" s="37" t="str">
        <x:v>Gender</x:v>
      </x:c>
      <x:c r="F70" s="37" t="str">
        <x:v>Gender 6: Threats and security — Were threats, violence or mobility constraints gender-specific?</x:v>
      </x:c>
      <x:c r="G70" s="37" t="str">
        <x:v>Not materially relevant</x:v>
      </x:c>
      <x:c r="H70" s="37" t="str">
        <x:v>Karunanidhi faced arrest, protest violence and security risks, but reviewed evidence treats them as partisan, state or ethnic-political risks rather than gender-specific threats.</x:v>
      </x:c>
      <x:c r="I70" s="37" t="str">
        <x:v>Threat mechanism not gender-specific</x:v>
      </x:c>
      <x:c r="J70" s="37" t="str">
        <x:v>AIADMK dominance under MGR, fragmented opposition, then a post-MGR opening and National Front coalition politics.</x:v>
      </x:c>
      <x:c r="K70" s="37" t="str">
        <x:v>Late planning-era fiscal pressure followed by initial liberalization; Sri Lankan ethnic conflict shaped regional politics.</x:v>
      </x:c>
      <x:c r="L70" s="37" t="str">
        <x:v>Cinema, print and public rallies dominated; television expanded slowly under state control.</x:v>
      </x:c>
      <x:c r="M70" s="37" t="str">
        <x:v>Post-Emergency restoration coexisted with recurrent Article 356 use; anti-defection and coalition institutions evolved.</x:v>
      </x:c>
      <x:c r="N70" s="37" t="str">
        <x:v>Karunanidhi faced arrest, protest violence and security risks, but reviewed evidence treats them as partisan, state or ethnic-political risks rather than gender-specific threats.</x:v>
      </x:c>
      <x:c r="O70" s="37" t="str">
        <x:v>Caste, language, class and family networks are assessed only where evidenced.</x:v>
      </x:c>
      <x:c r="P70" s="37" t="str">
        <x:v>Male-dominated party and electoral institutions</x:v>
      </x:c>
      <x:c r="Q70" s="37" t="str">
        <x:v>Comparable Tamil Nadu party leaders and office-holders in the same phase</x:v>
      </x:c>
      <x:c r="R70" s="37" t="str">
        <x:v>Contemporary coverage rarely isolated male privilege as an analytical category.</x:v>
      </x:c>
      <x:c r="S70" s="37" t="str">
        <x:v>Later gender analysis distinguishes concrete policy effects from male-dominated organization.</x:v>
      </x:c>
      <x:c r="T70" s="37" t="str">
        <x:v>Avoid projecting today's language of representation backward without losing the underlying inequality.</x:v>
      </x:c>
      <x:c r="U70" s="37" t="str">
        <x:v>Women-specific party records and gender-disaggregated leadership data are incomplete.</x:v>
      </x:c>
      <x:c r="V70" s="37" t="str">
        <x:v>Analysis</x:v>
      </x:c>
      <x:c r="W70" s="37" t="str">
        <x:v>Multiple independent sources</x:v>
      </x:c>
      <x:c r="X70" s="37" t="str">
        <x:v>S03; S04; S19; S26; S30; S10; S27</x:v>
      </x:c>
      <x:c r="Y70" s="37" t="str">
        <x:v>Disposition reflects reviewed evidence; absence of evidence is not proof of absence.</x:v>
      </x:c>
    </x:row>
    <x:row r="71" ht="60" customHeight="1">
      <x:c r="A71" s="37" t="str">
        <x:v>X067</x:v>
      </x:c>
      <x:c r="B71" s="37" t="str">
        <x:v>Opposition, MGR dominance and return</x:v>
      </x:c>
      <x:c r="C71" s="58" t="n">
        <x:v>27791</x:v>
      </x:c>
      <x:c r="D71" s="58" t="n">
        <x:v>33268</x:v>
      </x:c>
      <x:c r="E71" s="37" t="str">
        <x:v>Gender</x:v>
      </x:c>
      <x:c r="F71" s="37" t="str">
        <x:v>Gender 7: Gender policy and organizations — What gender-related laws, policies or organizational links existed?</x:v>
      </x:c>
      <x:c r="G71" s="37" t="str">
        <x:v>Material finding</x:v>
      </x:c>
      <x:c r="H71" s="37" t="str">
        <x:v>The 1989 Tamil Nadu amendment advanced daughters' coparcenary rights, a direct substantive gender-law intervention.</x:v>
      </x:c>
      <x:c r="I71" s="37" t="str">
        <x:v>Law and policy</x:v>
      </x:c>
      <x:c r="J71" s="37" t="str">
        <x:v>AIADMK dominance under MGR, fragmented opposition, then a post-MGR opening and National Front coalition politics.</x:v>
      </x:c>
      <x:c r="K71" s="37" t="str">
        <x:v>Late planning-era fiscal pressure followed by initial liberalization; Sri Lankan ethnic conflict shaped regional politics.</x:v>
      </x:c>
      <x:c r="L71" s="37" t="str">
        <x:v>Cinema, print and public rallies dominated; television expanded slowly under state control.</x:v>
      </x:c>
      <x:c r="M71" s="37" t="str">
        <x:v>Post-Emergency restoration coexisted with recurrent Article 356 use; anti-defection and coalition institutions evolved.</x:v>
      </x:c>
      <x:c r="N71" s="37" t="str">
        <x:v>The 1989 Tamil Nadu amendment advanced daughters' coparcenary rights, a direct substantive gender-law intervention.</x:v>
      </x:c>
      <x:c r="O71" s="37" t="str">
        <x:v>Caste, language, class and family networks are assessed only where evidenced.</x:v>
      </x:c>
      <x:c r="P71" s="37" t="str">
        <x:v>Male-dominated party and electoral institutions</x:v>
      </x:c>
      <x:c r="Q71" s="37" t="str">
        <x:v>Comparable Tamil Nadu party leaders and office-holders in the same phase</x:v>
      </x:c>
      <x:c r="R71" s="37" t="str">
        <x:v>Contemporary coverage rarely isolated male privilege as an analytical category.</x:v>
      </x:c>
      <x:c r="S71" s="37" t="str">
        <x:v>Later gender analysis distinguishes concrete policy effects from male-dominated organization.</x:v>
      </x:c>
      <x:c r="T71" s="37" t="str">
        <x:v>Avoid projecting today's language of representation backward without losing the underlying inequality.</x:v>
      </x:c>
      <x:c r="U71" s="37" t="str">
        <x:v>Women-specific party records and gender-disaggregated leadership data are incomplete.</x:v>
      </x:c>
      <x:c r="V71" s="37" t="str">
        <x:v>Analysis</x:v>
      </x:c>
      <x:c r="W71" s="37" t="str">
        <x:v>Single credible source</x:v>
      </x:c>
      <x:c r="X71" s="37" t="str">
        <x:v>S03; S04; S19; S26; S30; S10; S27</x:v>
      </x:c>
      <x:c r="Y71" s="37" t="str">
        <x:v>Disposition reflects reviewed evidence; absence of evidence is not proof of absence.</x:v>
      </x:c>
    </x:row>
    <x:row r="72" ht="60" customHeight="1">
      <x:c r="A72" s="37" t="str">
        <x:v>X068</x:v>
      </x:c>
      <x:c r="B72" s="37" t="str">
        <x:v>Opposition, MGR dominance and return</x:v>
      </x:c>
      <x:c r="C72" s="58" t="n">
        <x:v>27791</x:v>
      </x:c>
      <x:c r="D72" s="58" t="n">
        <x:v>33268</x:v>
      </x:c>
      <x:c r="E72" s="37" t="str">
        <x:v>Gender</x:v>
      </x:c>
      <x:c r="F72" s="37" t="str">
        <x:v>Gender 8: Political use of identity — Was masculinity or gender identity strategically mobilized?</x:v>
      </x:c>
      <x:c r="G72" s="37" t="str">
        <x:v>Research limitation</x:v>
      </x:c>
      <x:c r="H7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I72" s="37" t="str">
        <x:v>Implicit leadership norms</x:v>
      </x:c>
      <x:c r="J72" s="37" t="str">
        <x:v>AIADMK dominance under MGR, fragmented opposition, then a post-MGR opening and National Front coalition politics.</x:v>
      </x:c>
      <x:c r="K72" s="37" t="str">
        <x:v>Late planning-era fiscal pressure followed by initial liberalization; Sri Lankan ethnic conflict shaped regional politics.</x:v>
      </x:c>
      <x:c r="L72" s="37" t="str">
        <x:v>Cinema, print and public rallies dominated; television expanded slowly under state control.</x:v>
      </x:c>
      <x:c r="M72" s="37" t="str">
        <x:v>Post-Emergency restoration coexisted with recurrent Article 356 use; anti-defection and coalition institutions evolved.</x:v>
      </x:c>
      <x:c r="N7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O72" s="37" t="str">
        <x:v>Caste, language, class and family networks are assessed only where evidenced.</x:v>
      </x:c>
      <x:c r="P72" s="37" t="str">
        <x:v>Male-dominated party and electoral institutions</x:v>
      </x:c>
      <x:c r="Q72" s="37" t="str">
        <x:v>Comparable Tamil Nadu party leaders and office-holders in the same phase</x:v>
      </x:c>
      <x:c r="R72" s="37" t="str">
        <x:v>Contemporary coverage rarely isolated male privilege as an analytical category.</x:v>
      </x:c>
      <x:c r="S72" s="37" t="str">
        <x:v>Later gender analysis distinguishes concrete policy effects from male-dominated organization.</x:v>
      </x:c>
      <x:c r="T72" s="37" t="str">
        <x:v>Avoid projecting today's language of representation backward without losing the underlying inequality.</x:v>
      </x:c>
      <x:c r="U72" s="37" t="str">
        <x:v>Women-specific party records and gender-disaggregated leadership data are incomplete.</x:v>
      </x:c>
      <x:c r="V72" s="37" t="str">
        <x:v>Analysis</x:v>
      </x:c>
      <x:c r="W72" s="37" t="str">
        <x:v>Single credible source</x:v>
      </x:c>
      <x:c r="X72" s="37" t="str">
        <x:v>S03; S04; S19; S26; S30; S10; S27</x:v>
      </x:c>
      <x:c r="Y72" s="37" t="str">
        <x:v>Disposition reflects reviewed evidence; absence of evidence is not proof of absence.</x:v>
      </x:c>
    </x:row>
    <x:row r="73" ht="60" customHeight="1">
      <x:c r="A73" s="37" t="str">
        <x:v>X069</x:v>
      </x:c>
      <x:c r="B73" s="37" t="str">
        <x:v>Opposition, MGR dominance and return</x:v>
      </x:c>
      <x:c r="C73" s="58" t="n">
        <x:v>27791</x:v>
      </x:c>
      <x:c r="D73" s="58" t="n">
        <x:v>33268</x:v>
      </x:c>
      <x:c r="E73" s="37" t="str">
        <x:v>Gender</x:v>
      </x:c>
      <x:c r="F73" s="37" t="str">
        <x:v>Gender 9: Representation and effects — What symbolic, descriptive or substantive gender effects followed?</x:v>
      </x:c>
      <x:c r="G73" s="37" t="str">
        <x:v>Material finding</x:v>
      </x:c>
      <x:c r="H73" s="37" t="str">
        <x:v>His personal representation was descriptive of men, already dominant in politics. Substantive effects must be located in specific law, representation or welfare measures rather than inferred from symbolism.</x:v>
      </x:c>
      <x:c r="I73" s="37" t="str">
        <x:v>Separate descriptive and substantive effects</x:v>
      </x:c>
      <x:c r="J73" s="37" t="str">
        <x:v>AIADMK dominance under MGR, fragmented opposition, then a post-MGR opening and National Front coalition politics.</x:v>
      </x:c>
      <x:c r="K73" s="37" t="str">
        <x:v>Late planning-era fiscal pressure followed by initial liberalization; Sri Lankan ethnic conflict shaped regional politics.</x:v>
      </x:c>
      <x:c r="L73" s="37" t="str">
        <x:v>Cinema, print and public rallies dominated; television expanded slowly under state control.</x:v>
      </x:c>
      <x:c r="M73" s="37" t="str">
        <x:v>Post-Emergency restoration coexisted with recurrent Article 356 use; anti-defection and coalition institutions evolved.</x:v>
      </x:c>
      <x:c r="N73" s="37" t="str">
        <x:v>His personal representation was descriptive of men, already dominant in politics. Substantive effects must be located in specific law, representation or welfare measures rather than inferred from symbolism.</x:v>
      </x:c>
      <x:c r="O73" s="37" t="str">
        <x:v>Caste, language, class and family networks are assessed only where evidenced.</x:v>
      </x:c>
      <x:c r="P73" s="37" t="str">
        <x:v>Male-dominated party and electoral institutions</x:v>
      </x:c>
      <x:c r="Q73" s="37" t="str">
        <x:v>Comparable Tamil Nadu party leaders and office-holders in the same phase</x:v>
      </x:c>
      <x:c r="R73" s="37" t="str">
        <x:v>Contemporary coverage rarely isolated male privilege as an analytical category.</x:v>
      </x:c>
      <x:c r="S73" s="37" t="str">
        <x:v>Later gender analysis distinguishes concrete policy effects from male-dominated organization.</x:v>
      </x:c>
      <x:c r="T73" s="37" t="str">
        <x:v>Avoid projecting today's language of representation backward without losing the underlying inequality.</x:v>
      </x:c>
      <x:c r="U73" s="37" t="str">
        <x:v>Women-specific party records and gender-disaggregated leadership data are incomplete.</x:v>
      </x:c>
      <x:c r="V73" s="37" t="str">
        <x:v>Analysis</x:v>
      </x:c>
      <x:c r="W73" s="37" t="str">
        <x:v>Single credible source</x:v>
      </x:c>
      <x:c r="X73" s="37" t="str">
        <x:v>S03; S04; S19; S26; S30; S10; S27</x:v>
      </x:c>
      <x:c r="Y73" s="37" t="str">
        <x:v>Disposition reflects reviewed evidence; absence of evidence is not proof of absence.</x:v>
      </x:c>
    </x:row>
    <x:row r="74" ht="60" customHeight="1">
      <x:c r="A74" s="37" t="str">
        <x:v>X070</x:v>
      </x:c>
      <x:c r="B74" s="37" t="str">
        <x:v>Opposition, MGR dominance and return</x:v>
      </x:c>
      <x:c r="C74" s="58" t="n">
        <x:v>27791</x:v>
      </x:c>
      <x:c r="D74" s="58" t="n">
        <x:v>33268</x:v>
      </x:c>
      <x:c r="E74" s="37" t="str">
        <x:v>Gender</x:v>
      </x:c>
      <x:c r="F74" s="37" t="str">
        <x:v>Gender 10: Assessment over time — How have gender assessments changed?</x:v>
      </x:c>
      <x:c r="G74" s="37" t="str">
        <x:v>Material finding</x:v>
      </x:c>
      <x:c r="H7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I74" s="37" t="str">
        <x:v>Retrospective reframing</x:v>
      </x:c>
      <x:c r="J74" s="37" t="str">
        <x:v>AIADMK dominance under MGR, fragmented opposition, then a post-MGR opening and National Front coalition politics.</x:v>
      </x:c>
      <x:c r="K74" s="37" t="str">
        <x:v>Late planning-era fiscal pressure followed by initial liberalization; Sri Lankan ethnic conflict shaped regional politics.</x:v>
      </x:c>
      <x:c r="L74" s="37" t="str">
        <x:v>Cinema, print and public rallies dominated; television expanded slowly under state control.</x:v>
      </x:c>
      <x:c r="M74" s="37" t="str">
        <x:v>Post-Emergency restoration coexisted with recurrent Article 356 use; anti-defection and coalition institutions evolved.</x:v>
      </x:c>
      <x:c r="N7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O74" s="37" t="str">
        <x:v>Caste, language, class and family networks are assessed only where evidenced.</x:v>
      </x:c>
      <x:c r="P74" s="37" t="str">
        <x:v>Male-dominated party and electoral institutions</x:v>
      </x:c>
      <x:c r="Q74" s="37" t="str">
        <x:v>Comparable Tamil Nadu party leaders and office-holders in the same phase</x:v>
      </x:c>
      <x:c r="R74" s="37" t="str">
        <x:v>Contemporary coverage rarely isolated male privilege as an analytical category.</x:v>
      </x:c>
      <x:c r="S74" s="37" t="str">
        <x:v>Later gender analysis distinguishes concrete policy effects from male-dominated organization.</x:v>
      </x:c>
      <x:c r="T74" s="37" t="str">
        <x:v>Avoid projecting today's language of representation backward without losing the underlying inequality.</x:v>
      </x:c>
      <x:c r="U74" s="37" t="str">
        <x:v>Women-specific party records and gender-disaggregated leadership data are incomplete.</x:v>
      </x:c>
      <x:c r="V74" s="37" t="str">
        <x:v>Analysis</x:v>
      </x:c>
      <x:c r="W74" s="37" t="str">
        <x:v>Single credible source</x:v>
      </x:c>
      <x:c r="X74" s="37" t="str">
        <x:v>S03; S04; S19; S26; S30; S10; S27</x:v>
      </x:c>
      <x:c r="Y74" s="37" t="str">
        <x:v>Disposition reflects reviewed evidence; absence of evidence is not proof of absence.</x:v>
      </x:c>
    </x:row>
    <x:row r="75" ht="60" customHeight="1">
      <x:c r="A75" s="37" t="str">
        <x:v>X071</x:v>
      </x:c>
      <x:c r="B75" s="37" t="str">
        <x:v>Opposition, MGR dominance and return</x:v>
      </x:c>
      <x:c r="C75" s="58" t="n">
        <x:v>27791</x:v>
      </x:c>
      <x:c r="D75" s="58" t="n">
        <x:v>33268</x:v>
      </x:c>
      <x:c r="E75" s="37" t="str">
        <x:v>Era</x:v>
      </x:c>
      <x:c r="F75" s="37" t="str">
        <x:v>Era 1: Party system — What party system structured opportunity and constraint?</x:v>
      </x:c>
      <x:c r="G75" s="37" t="str">
        <x:v>Material finding</x:v>
      </x:c>
      <x:c r="H75" s="37" t="str">
        <x:v>AIADMK dominance under MGR, fragmented opposition, then a post-MGR opening and National Front coalition politics.</x:v>
      </x:c>
      <x:c r="I75" s="37" t="str">
        <x:v>Party competition and alliance structure</x:v>
      </x:c>
      <x:c r="J75" s="37" t="str">
        <x:v>AIADMK dominance under MGR, fragmented opposition, then a post-MGR opening and National Front coalition politics.</x:v>
      </x:c>
      <x:c r="K75" s="37" t="str">
        <x:v>Late planning-era fiscal pressure followed by initial liberalization; Sri Lankan ethnic conflict shaped regional politics.</x:v>
      </x:c>
      <x:c r="L75" s="37" t="str">
        <x:v>Cinema, print and public rallies dominated; television expanded slowly under state control.</x:v>
      </x:c>
      <x:c r="M75" s="37" t="str">
        <x:v>Post-Emergency restoration coexisted with recurrent Article 356 use; anti-defection and coalition institutions evolved.</x:v>
      </x:c>
      <x:c r="N75" s="37" t="str">
        <x:v>Gender norms affected access and representation but were rarely the sole driver.</x:v>
      </x:c>
      <x:c r="O75" s="37" t="str">
        <x:v>Language, caste, region and class were often more explicit axes of mobilization.</x:v>
      </x:c>
      <x:c r="P75" s="37" t="str">
        <x:v>Conditions stated in finding</x:v>
      </x:c>
      <x:c r="Q75" s="37" t="str">
        <x:v>Tamil Nadu chief ministers, regional-party leaders and opposition figures in the same period</x:v>
      </x:c>
      <x:c r="R75" s="37" t="str">
        <x:v>Assessment reconstructed from phase-specific records.</x:v>
      </x:c>
      <x:c r="S75" s="37" t="str">
        <x:v>Later scholarship evaluates institutional and distributional consequences.</x:v>
      </x:c>
      <x:c r="T75" s="37" t="str">
        <x:v>Use contemporaneous territorial names, feasible alternatives and institutional powers; context does not excuse rights violations or corruption.</x:v>
      </x:c>
      <x:c r="U75" s="37" t="str">
        <x:v>Digitization and source balance vary by phase.</x:v>
      </x:c>
      <x:c r="V75" s="37" t="str">
        <x:v>Analysis</x:v>
      </x:c>
      <x:c r="W75" s="37" t="str">
        <x:v>Multiple independent sources</x:v>
      </x:c>
      <x:c r="X75" s="37" t="str">
        <x:v>S03; S04; S19; S26; S30</x:v>
      </x:c>
      <x:c r="Y75" s="37" t="str">
        <x:v>Broad phase synthesis; event-specific claims use narrower sources elsewhere.</x:v>
      </x:c>
    </x:row>
    <x:row r="76" ht="60" customHeight="1">
      <x:c r="A76" s="37" t="str">
        <x:v>X072</x:v>
      </x:c>
      <x:c r="B76" s="37" t="str">
        <x:v>Opposition, MGR dominance and return</x:v>
      </x:c>
      <x:c r="C76" s="58" t="n">
        <x:v>27791</x:v>
      </x:c>
      <x:c r="D76" s="58" t="n">
        <x:v>33268</x:v>
      </x:c>
      <x:c r="E76" s="37" t="str">
        <x:v>Era</x:v>
      </x:c>
      <x:c r="F76" s="37" t="str">
        <x:v>Era 2: Constitutional and institutional environment — What was the executive, judicial, federal and civil-liberties setting?</x:v>
      </x:c>
      <x:c r="G76" s="37" t="str">
        <x:v>Material finding</x:v>
      </x:c>
      <x:c r="H76" s="37" t="str">
        <x:v>Post-Emergency restoration coexisted with recurrent Article 356 use; anti-defection and coalition institutions evolved.</x:v>
      </x:c>
      <x:c r="I76" s="37" t="str">
        <x:v>Constitutional opportunity and constraint</x:v>
      </x:c>
      <x:c r="J76" s="37" t="str">
        <x:v>AIADMK dominance under MGR, fragmented opposition, then a post-MGR opening and National Front coalition politics.</x:v>
      </x:c>
      <x:c r="K76" s="37" t="str">
        <x:v>Late planning-era fiscal pressure followed by initial liberalization; Sri Lankan ethnic conflict shaped regional politics.</x:v>
      </x:c>
      <x:c r="L76" s="37" t="str">
        <x:v>Cinema, print and public rallies dominated; television expanded slowly under state control.</x:v>
      </x:c>
      <x:c r="M76" s="37" t="str">
        <x:v>Post-Emergency restoration coexisted with recurrent Article 356 use; anti-defection and coalition institutions evolved.</x:v>
      </x:c>
      <x:c r="N76" s="37" t="str">
        <x:v>Gender norms affected access and representation but were rarely the sole driver.</x:v>
      </x:c>
      <x:c r="O76" s="37" t="str">
        <x:v>Language, caste, region and class were often more explicit axes of mobilization.</x:v>
      </x:c>
      <x:c r="P76" s="37" t="str">
        <x:v>Conditions stated in finding</x:v>
      </x:c>
      <x:c r="Q76" s="37" t="str">
        <x:v>Tamil Nadu chief ministers, regional-party leaders and opposition figures in the same period</x:v>
      </x:c>
      <x:c r="R76" s="37" t="str">
        <x:v>Assessment reconstructed from phase-specific records.</x:v>
      </x:c>
      <x:c r="S76" s="37" t="str">
        <x:v>Later scholarship evaluates institutional and distributional consequences.</x:v>
      </x:c>
      <x:c r="T76" s="37" t="str">
        <x:v>Use contemporaneous territorial names, feasible alternatives and institutional powers; context does not excuse rights violations or corruption.</x:v>
      </x:c>
      <x:c r="U76" s="37" t="str">
        <x:v>Digitization and source balance vary by phase.</x:v>
      </x:c>
      <x:c r="V76" s="37" t="str">
        <x:v>Analysis</x:v>
      </x:c>
      <x:c r="W76" s="37" t="str">
        <x:v>Multiple independent sources</x:v>
      </x:c>
      <x:c r="X76" s="37" t="str">
        <x:v>S03; S04; S19; S26; S30</x:v>
      </x:c>
      <x:c r="Y76" s="37" t="str">
        <x:v>Broad phase synthesis; event-specific claims use narrower sources elsewhere.</x:v>
      </x:c>
    </x:row>
    <x:row r="77" ht="60" customHeight="1">
      <x:c r="A77" s="37" t="str">
        <x:v>X073</x:v>
      </x:c>
      <x:c r="B77" s="37" t="str">
        <x:v>Opposition, MGR dominance and return</x:v>
      </x:c>
      <x:c r="C77" s="58" t="n">
        <x:v>27791</x:v>
      </x:c>
      <x:c r="D77" s="58" t="n">
        <x:v>33268</x:v>
      </x:c>
      <x:c r="E77" s="37" t="str">
        <x:v>Era</x:v>
      </x:c>
      <x:c r="F77" s="37" t="str">
        <x:v>Era 3: Electoral environment — What election rules, boundaries, practices and data conditions applied?</x:v>
      </x:c>
      <x:c r="G77" s="37" t="str">
        <x:v>Material finding</x:v>
      </x:c>
      <x:c r="H77" s="37" t="str">
        <x:v>MGR's charisma and welfare politics dominated direct elections; Karunanidhi used legislature and coalition networks during long opposition.</x:v>
      </x:c>
      <x:c r="I77" s="37" t="str">
        <x:v>Franchise, competition and electoral shocks</x:v>
      </x:c>
      <x:c r="J77" s="37" t="str">
        <x:v>AIADMK dominance under MGR, fragmented opposition, then a post-MGR opening and National Front coalition politics.</x:v>
      </x:c>
      <x:c r="K77" s="37" t="str">
        <x:v>Late planning-era fiscal pressure followed by initial liberalization; Sri Lankan ethnic conflict shaped regional politics.</x:v>
      </x:c>
      <x:c r="L77" s="37" t="str">
        <x:v>Cinema, print and public rallies dominated; television expanded slowly under state control.</x:v>
      </x:c>
      <x:c r="M77" s="37" t="str">
        <x:v>Post-Emergency restoration coexisted with recurrent Article 356 use; anti-defection and coalition institutions evolved.</x:v>
      </x:c>
      <x:c r="N77" s="37" t="str">
        <x:v>Gender norms affected access and representation but were rarely the sole driver.</x:v>
      </x:c>
      <x:c r="O77" s="37" t="str">
        <x:v>Language, caste, region and class were often more explicit axes of mobilization.</x:v>
      </x:c>
      <x:c r="P77" s="37" t="str">
        <x:v>Conditions stated in finding</x:v>
      </x:c>
      <x:c r="Q77" s="37" t="str">
        <x:v>Tamil Nadu chief ministers, regional-party leaders and opposition figures in the same period</x:v>
      </x:c>
      <x:c r="R77" s="37" t="str">
        <x:v>Assessment reconstructed from phase-specific records.</x:v>
      </x:c>
      <x:c r="S77" s="37" t="str">
        <x:v>Later scholarship evaluates institutional and distributional consequences.</x:v>
      </x:c>
      <x:c r="T77" s="37" t="str">
        <x:v>Use contemporaneous territorial names, feasible alternatives and institutional powers; context does not excuse rights violations or corruption.</x:v>
      </x:c>
      <x:c r="U77" s="37" t="str">
        <x:v>Digitization and source balance vary by phase.</x:v>
      </x:c>
      <x:c r="V77" s="37" t="str">
        <x:v>Analysis</x:v>
      </x:c>
      <x:c r="W77" s="37" t="str">
        <x:v>Multiple independent sources</x:v>
      </x:c>
      <x:c r="X77" s="37" t="str">
        <x:v>S03; S04; S19; S26; S30</x:v>
      </x:c>
      <x:c r="Y77" s="37" t="str">
        <x:v>Broad phase synthesis; event-specific claims use narrower sources elsewhere.</x:v>
      </x:c>
    </x:row>
    <x:row r="78" ht="60" customHeight="1">
      <x:c r="A78" s="37" t="str">
        <x:v>X074</x:v>
      </x:c>
      <x:c r="B78" s="37" t="str">
        <x:v>Opposition, MGR dominance and return</x:v>
      </x:c>
      <x:c r="C78" s="58" t="n">
        <x:v>27791</x:v>
      </x:c>
      <x:c r="D78" s="58" t="n">
        <x:v>33268</x:v>
      </x:c>
      <x:c r="E78" s="37" t="str">
        <x:v>Era</x:v>
      </x:c>
      <x:c r="F78" s="37" t="str">
        <x:v>Era 4: Economic regime — What economic regime framed policy choices?</x:v>
      </x:c>
      <x:c r="G78" s="37" t="str">
        <x:v>Material finding</x:v>
      </x:c>
      <x:c r="H78" s="37" t="str">
        <x:v>Late planning-era fiscal pressure followed by initial liberalization; Sri Lankan ethnic conflict shaped regional politics.</x:v>
      </x:c>
      <x:c r="I78" s="37" t="str">
        <x:v>Economic regime and feasible policy set</x:v>
      </x:c>
      <x:c r="J78" s="37" t="str">
        <x:v>AIADMK dominance under MGR, fragmented opposition, then a post-MGR opening and National Front coalition politics.</x:v>
      </x:c>
      <x:c r="K78" s="37" t="str">
        <x:v>Late planning-era fiscal pressure followed by initial liberalization; Sri Lankan ethnic conflict shaped regional politics.</x:v>
      </x:c>
      <x:c r="L78" s="37" t="str">
        <x:v>Cinema, print and public rallies dominated; television expanded slowly under state control.</x:v>
      </x:c>
      <x:c r="M78" s="37" t="str">
        <x:v>Post-Emergency restoration coexisted with recurrent Article 356 use; anti-defection and coalition institutions evolved.</x:v>
      </x:c>
      <x:c r="N78" s="37" t="str">
        <x:v>Gender norms affected access and representation but were rarely the sole driver.</x:v>
      </x:c>
      <x:c r="O78" s="37" t="str">
        <x:v>Language, caste, region and class were often more explicit axes of mobilization.</x:v>
      </x:c>
      <x:c r="P78" s="37" t="str">
        <x:v>Conditions stated in finding</x:v>
      </x:c>
      <x:c r="Q78" s="37" t="str">
        <x:v>Tamil Nadu chief ministers, regional-party leaders and opposition figures in the same period</x:v>
      </x:c>
      <x:c r="R78" s="37" t="str">
        <x:v>Assessment reconstructed from phase-specific records.</x:v>
      </x:c>
      <x:c r="S78" s="37" t="str">
        <x:v>Later scholarship evaluates institutional and distributional consequences.</x:v>
      </x:c>
      <x:c r="T78" s="37" t="str">
        <x:v>Use contemporaneous territorial names, feasible alternatives and institutional powers; context does not excuse rights violations or corruption.</x:v>
      </x:c>
      <x:c r="U78" s="37" t="str">
        <x:v>Digitization and source balance vary by phase.</x:v>
      </x:c>
      <x:c r="V78" s="37" t="str">
        <x:v>Analysis</x:v>
      </x:c>
      <x:c r="W78" s="37" t="str">
        <x:v>Multiple independent sources</x:v>
      </x:c>
      <x:c r="X78" s="37" t="str">
        <x:v>S03; S04; S19; S26; S30</x:v>
      </x:c>
      <x:c r="Y78" s="37" t="str">
        <x:v>Broad phase synthesis; event-specific claims use narrower sources elsewhere.</x:v>
      </x:c>
    </x:row>
    <x:row r="79" ht="60" customHeight="1">
      <x:c r="A79" s="37" t="str">
        <x:v>X075</x:v>
      </x:c>
      <x:c r="B79" s="37" t="str">
        <x:v>Opposition, MGR dominance and return</x:v>
      </x:c>
      <x:c r="C79" s="58" t="n">
        <x:v>27791</x:v>
      </x:c>
      <x:c r="D79" s="58" t="n">
        <x:v>33268</x:v>
      </x:c>
      <x:c r="E79" s="37" t="str">
        <x:v>Era</x:v>
      </x:c>
      <x:c r="F79" s="37" t="str">
        <x:v>Era 5: International system — What international conditions materially mattered?</x:v>
      </x:c>
      <x:c r="G79" s="37" t="str">
        <x:v>Material finding</x:v>
      </x:c>
      <x:c r="H79" s="37" t="str">
        <x:v>Sri Lanka's ethnic conflict directly affected Tamil Nadu mobilization; late Cold War change enabled new coalition alignments.</x:v>
      </x:c>
      <x:c r="I79" s="37" t="str">
        <x:v>International events affecting state politics</x:v>
      </x:c>
      <x:c r="J79" s="37" t="str">
        <x:v>AIADMK dominance under MGR, fragmented opposition, then a post-MGR opening and National Front coalition politics.</x:v>
      </x:c>
      <x:c r="K79" s="37" t="str">
        <x:v>Late planning-era fiscal pressure followed by initial liberalization; Sri Lankan ethnic conflict shaped regional politics.</x:v>
      </x:c>
      <x:c r="L79" s="37" t="str">
        <x:v>Cinema, print and public rallies dominated; television expanded slowly under state control.</x:v>
      </x:c>
      <x:c r="M79" s="37" t="str">
        <x:v>Post-Emergency restoration coexisted with recurrent Article 356 use; anti-defection and coalition institutions evolved.</x:v>
      </x:c>
      <x:c r="N79" s="37" t="str">
        <x:v>Gender norms affected access and representation but were rarely the sole driver.</x:v>
      </x:c>
      <x:c r="O79" s="37" t="str">
        <x:v>Language, caste, region and class were often more explicit axes of mobilization.</x:v>
      </x:c>
      <x:c r="P79" s="37" t="str">
        <x:v>Conditions stated in finding</x:v>
      </x:c>
      <x:c r="Q79" s="37" t="str">
        <x:v>Tamil Nadu chief ministers, regional-party leaders and opposition figures in the same period</x:v>
      </x:c>
      <x:c r="R79" s="37" t="str">
        <x:v>Assessment reconstructed from phase-specific records.</x:v>
      </x:c>
      <x:c r="S79" s="37" t="str">
        <x:v>Later scholarship evaluates institutional and distributional consequences.</x:v>
      </x:c>
      <x:c r="T79" s="37" t="str">
        <x:v>Use contemporaneous territorial names, feasible alternatives and institutional powers; context does not excuse rights violations or corruption.</x:v>
      </x:c>
      <x:c r="U79" s="37" t="str">
        <x:v>Digitization and source balance vary by phase.</x:v>
      </x:c>
      <x:c r="V79" s="37" t="str">
        <x:v>Analysis</x:v>
      </x:c>
      <x:c r="W79" s="37" t="str">
        <x:v>Multiple independent sources</x:v>
      </x:c>
      <x:c r="X79" s="37" t="str">
        <x:v>S03; S04; S19; S26; S30</x:v>
      </x:c>
      <x:c r="Y79" s="37" t="str">
        <x:v>Broad phase synthesis; event-specific claims use narrower sources elsewhere.</x:v>
      </x:c>
    </x:row>
    <x:row r="80" ht="60" customHeight="1">
      <x:c r="A80" s="37" t="str">
        <x:v>X076</x:v>
      </x:c>
      <x:c r="B80" s="37" t="str">
        <x:v>Opposition, MGR dominance and return</x:v>
      </x:c>
      <x:c r="C80" s="58" t="n">
        <x:v>27791</x:v>
      </x:c>
      <x:c r="D80" s="58" t="n">
        <x:v>33268</x:v>
      </x:c>
      <x:c r="E80" s="37" t="str">
        <x:v>Era</x:v>
      </x:c>
      <x:c r="F80" s="37" t="str">
        <x:v>Era 6: Media and campaign environment — Which media and campaign technologies structured politics?</x:v>
      </x:c>
      <x:c r="G80" s="37" t="str">
        <x:v>Material finding</x:v>
      </x:c>
      <x:c r="H80" s="37" t="str">
        <x:v>Cinema, print and public rallies dominated; television expanded slowly under state control.</x:v>
      </x:c>
      <x:c r="I80" s="37" t="str">
        <x:v>Communication technology and gatekeeping</x:v>
      </x:c>
      <x:c r="J80" s="37" t="str">
        <x:v>AIADMK dominance under MGR, fragmented opposition, then a post-MGR opening and National Front coalition politics.</x:v>
      </x:c>
      <x:c r="K80" s="37" t="str">
        <x:v>Late planning-era fiscal pressure followed by initial liberalization; Sri Lankan ethnic conflict shaped regional politics.</x:v>
      </x:c>
      <x:c r="L80" s="37" t="str">
        <x:v>Cinema, print and public rallies dominated; television expanded slowly under state control.</x:v>
      </x:c>
      <x:c r="M80" s="37" t="str">
        <x:v>Post-Emergency restoration coexisted with recurrent Article 356 use; anti-defection and coalition institutions evolved.</x:v>
      </x:c>
      <x:c r="N80" s="37" t="str">
        <x:v>Gender norms affected access and representation but were rarely the sole driver.</x:v>
      </x:c>
      <x:c r="O80" s="37" t="str">
        <x:v>Language, caste, region and class were often more explicit axes of mobilization.</x:v>
      </x:c>
      <x:c r="P80" s="37" t="str">
        <x:v>Conditions stated in finding</x:v>
      </x:c>
      <x:c r="Q80" s="37" t="str">
        <x:v>Tamil Nadu chief ministers, regional-party leaders and opposition figures in the same period</x:v>
      </x:c>
      <x:c r="R80" s="37" t="str">
        <x:v>Assessment reconstructed from phase-specific records.</x:v>
      </x:c>
      <x:c r="S80" s="37" t="str">
        <x:v>Later scholarship evaluates institutional and distributional consequences.</x:v>
      </x:c>
      <x:c r="T80" s="37" t="str">
        <x:v>Use contemporaneous territorial names, feasible alternatives and institutional powers; context does not excuse rights violations or corruption.</x:v>
      </x:c>
      <x:c r="U80" s="37" t="str">
        <x:v>Digitization and source balance vary by phase.</x:v>
      </x:c>
      <x:c r="V80" s="37" t="str">
        <x:v>Analysis</x:v>
      </x:c>
      <x:c r="W80" s="37" t="str">
        <x:v>Multiple independent sources</x:v>
      </x:c>
      <x:c r="X80" s="37" t="str">
        <x:v>S03; S04; S19; S26; S30</x:v>
      </x:c>
      <x:c r="Y80" s="37" t="str">
        <x:v>Broad phase synthesis; event-specific claims use narrower sources elsewhere.</x:v>
      </x:c>
    </x:row>
    <x:row r="81" ht="60" customHeight="1">
      <x:c r="A81" s="37" t="str">
        <x:v>X077</x:v>
      </x:c>
      <x:c r="B81" s="37" t="str">
        <x:v>Opposition, MGR dominance and return</x:v>
      </x:c>
      <x:c r="C81" s="58" t="n">
        <x:v>27791</x:v>
      </x:c>
      <x:c r="D81" s="58" t="n">
        <x:v>33268</x:v>
      </x:c>
      <x:c r="E81" s="37" t="str">
        <x:v>Era</x:v>
      </x:c>
      <x:c r="F81" s="37" t="str">
        <x:v>Era 7: Political organization — What organizational form carried power?</x:v>
      </x:c>
      <x:c r="G81" s="37" t="str">
        <x:v>Material finding</x:v>
      </x:c>
      <x:c r="H81" s="37" t="str">
        <x:v>District cadres, Murasoli and opposition alliances preserved the party through long exclusion from office.</x:v>
      </x:c>
      <x:c r="I81" s="37" t="str">
        <x:v>Organizational capacity</x:v>
      </x:c>
      <x:c r="J81" s="37" t="str">
        <x:v>AIADMK dominance under MGR, fragmented opposition, then a post-MGR opening and National Front coalition politics.</x:v>
      </x:c>
      <x:c r="K81" s="37" t="str">
        <x:v>Late planning-era fiscal pressure followed by initial liberalization; Sri Lankan ethnic conflict shaped regional politics.</x:v>
      </x:c>
      <x:c r="L81" s="37" t="str">
        <x:v>Cinema, print and public rallies dominated; television expanded slowly under state control.</x:v>
      </x:c>
      <x:c r="M81" s="37" t="str">
        <x:v>Post-Emergency restoration coexisted with recurrent Article 356 use; anti-defection and coalition institutions evolved.</x:v>
      </x:c>
      <x:c r="N81" s="37" t="str">
        <x:v>Gender norms affected access and representation but were rarely the sole driver.</x:v>
      </x:c>
      <x:c r="O81" s="37" t="str">
        <x:v>Language, caste, region and class were often more explicit axes of mobilization.</x:v>
      </x:c>
      <x:c r="P81" s="37" t="str">
        <x:v>Conditions stated in finding</x:v>
      </x:c>
      <x:c r="Q81" s="37" t="str">
        <x:v>Tamil Nadu chief ministers, regional-party leaders and opposition figures in the same period</x:v>
      </x:c>
      <x:c r="R81" s="37" t="str">
        <x:v>Assessment reconstructed from phase-specific records.</x:v>
      </x:c>
      <x:c r="S81" s="37" t="str">
        <x:v>Later scholarship evaluates institutional and distributional consequences.</x:v>
      </x:c>
      <x:c r="T81" s="37" t="str">
        <x:v>Use contemporaneous territorial names, feasible alternatives and institutional powers; context does not excuse rights violations or corruption.</x:v>
      </x:c>
      <x:c r="U81" s="37" t="str">
        <x:v>Digitization and source balance vary by phase.</x:v>
      </x:c>
      <x:c r="V81" s="37" t="str">
        <x:v>Analysis</x:v>
      </x:c>
      <x:c r="W81" s="37" t="str">
        <x:v>Multiple independent sources</x:v>
      </x:c>
      <x:c r="X81" s="37" t="str">
        <x:v>S03; S04; S19; S26; S30</x:v>
      </x:c>
      <x:c r="Y81" s="37" t="str">
        <x:v>Broad phase synthesis; event-specific claims use narrower sources elsewhere.</x:v>
      </x:c>
    </x:row>
    <x:row r="82" ht="60" customHeight="1">
      <x:c r="A82" s="37" t="str">
        <x:v>X078</x:v>
      </x:c>
      <x:c r="B82" s="37" t="str">
        <x:v>Opposition, MGR dominance and return</x:v>
      </x:c>
      <x:c r="C82" s="58" t="n">
        <x:v>27791</x:v>
      </x:c>
      <x:c r="D82" s="58" t="n">
        <x:v>33268</x:v>
      </x:c>
      <x:c r="E82" s="37" t="str">
        <x:v>Era</x:v>
      </x:c>
      <x:c r="F82" s="37" t="str">
        <x:v>Era 8: Social environment — Which caste, language, religion, class or gender conditions mattered?</x:v>
      </x:c>
      <x:c r="G82" s="37" t="str">
        <x:v>Material finding</x:v>
      </x:c>
      <x:c r="H82" s="37" t="str">
        <x:v>MGR welfare populism, caste associations and Sri Lankan Tamil solidarity reshaped competition.</x:v>
      </x:c>
      <x:c r="I82" s="37" t="str">
        <x:v>Social coalition and conflict</x:v>
      </x:c>
      <x:c r="J82" s="37" t="str">
        <x:v>AIADMK dominance under MGR, fragmented opposition, then a post-MGR opening and National Front coalition politics.</x:v>
      </x:c>
      <x:c r="K82" s="37" t="str">
        <x:v>Late planning-era fiscal pressure followed by initial liberalization; Sri Lankan ethnic conflict shaped regional politics.</x:v>
      </x:c>
      <x:c r="L82" s="37" t="str">
        <x:v>Cinema, print and public rallies dominated; television expanded slowly under state control.</x:v>
      </x:c>
      <x:c r="M82" s="37" t="str">
        <x:v>Post-Emergency restoration coexisted with recurrent Article 356 use; anti-defection and coalition institutions evolved.</x:v>
      </x:c>
      <x:c r="N82" s="37" t="str">
        <x:v>Gender norms affected access and representation but were rarely the sole driver.</x:v>
      </x:c>
      <x:c r="O82" s="37" t="str">
        <x:v>Language, caste, region and class were often more explicit axes of mobilization.</x:v>
      </x:c>
      <x:c r="P82" s="37" t="str">
        <x:v>Conditions stated in finding</x:v>
      </x:c>
      <x:c r="Q82" s="37" t="str">
        <x:v>Tamil Nadu chief ministers, regional-party leaders and opposition figures in the same period</x:v>
      </x:c>
      <x:c r="R82" s="37" t="str">
        <x:v>Assessment reconstructed from phase-specific records.</x:v>
      </x:c>
      <x:c r="S82" s="37" t="str">
        <x:v>Later scholarship evaluates institutional and distributional consequences.</x:v>
      </x:c>
      <x:c r="T82" s="37" t="str">
        <x:v>Use contemporaneous territorial names, feasible alternatives and institutional powers; context does not excuse rights violations or corruption.</x:v>
      </x:c>
      <x:c r="U82" s="37" t="str">
        <x:v>Digitization and source balance vary by phase.</x:v>
      </x:c>
      <x:c r="V82" s="37" t="str">
        <x:v>Analysis</x:v>
      </x:c>
      <x:c r="W82" s="37" t="str">
        <x:v>Multiple independent sources</x:v>
      </x:c>
      <x:c r="X82" s="37" t="str">
        <x:v>S03; S04; S19; S26; S30</x:v>
      </x:c>
      <x:c r="Y82" s="37" t="str">
        <x:v>Broad phase synthesis; event-specific claims use narrower sources elsewhere.</x:v>
      </x:c>
    </x:row>
    <x:row r="83" ht="60" customHeight="1">
      <x:c r="A83" s="37" t="str">
        <x:v>X079</x:v>
      </x:c>
      <x:c r="B83" s="37" t="str">
        <x:v>Opposition, MGR dominance and return</x:v>
      </x:c>
      <x:c r="C83" s="58" t="n">
        <x:v>27791</x:v>
      </x:c>
      <x:c r="D83" s="58" t="n">
        <x:v>33268</x:v>
      </x:c>
      <x:c r="E83" s="37" t="str">
        <x:v>Era</x:v>
      </x:c>
      <x:c r="F83" s="37" t="str">
        <x:v>Era 9: State structure and political geography — How did boundaries and Centre–State relations matter?</x:v>
      </x:c>
      <x:c r="G83" s="37" t="str">
        <x:v>Material finding</x:v>
      </x:c>
      <x:c r="H83" s="37" t="str">
        <x:v>Article 356 and the Sri Lankan conflict made the state–Union boundary of authority central.</x:v>
      </x:c>
      <x:c r="I83" s="37" t="str">
        <x:v>Territory and federal power</x:v>
      </x:c>
      <x:c r="J83" s="37" t="str">
        <x:v>AIADMK dominance under MGR, fragmented opposition, then a post-MGR opening and National Front coalition politics.</x:v>
      </x:c>
      <x:c r="K83" s="37" t="str">
        <x:v>Late planning-era fiscal pressure followed by initial liberalization; Sri Lankan ethnic conflict shaped regional politics.</x:v>
      </x:c>
      <x:c r="L83" s="37" t="str">
        <x:v>Cinema, print and public rallies dominated; television expanded slowly under state control.</x:v>
      </x:c>
      <x:c r="M83" s="37" t="str">
        <x:v>Post-Emergency restoration coexisted with recurrent Article 356 use; anti-defection and coalition institutions evolved.</x:v>
      </x:c>
      <x:c r="N83" s="37" t="str">
        <x:v>Gender norms affected access and representation but were rarely the sole driver.</x:v>
      </x:c>
      <x:c r="O83" s="37" t="str">
        <x:v>Language, caste, region and class were often more explicit axes of mobilization.</x:v>
      </x:c>
      <x:c r="P83" s="37" t="str">
        <x:v>Conditions stated in finding</x:v>
      </x:c>
      <x:c r="Q83" s="37" t="str">
        <x:v>Tamil Nadu chief ministers, regional-party leaders and opposition figures in the same period</x:v>
      </x:c>
      <x:c r="R83" s="37" t="str">
        <x:v>Assessment reconstructed from phase-specific records.</x:v>
      </x:c>
      <x:c r="S83" s="37" t="str">
        <x:v>Later scholarship evaluates institutional and distributional consequences.</x:v>
      </x:c>
      <x:c r="T83" s="37" t="str">
        <x:v>Use contemporaneous territorial names, feasible alternatives and institutional powers; context does not excuse rights violations or corruption.</x:v>
      </x:c>
      <x:c r="U83" s="37" t="str">
        <x:v>Digitization and source balance vary by phase.</x:v>
      </x:c>
      <x:c r="V83" s="37" t="str">
        <x:v>Analysis</x:v>
      </x:c>
      <x:c r="W83" s="37" t="str">
        <x:v>Multiple independent sources</x:v>
      </x:c>
      <x:c r="X83" s="37" t="str">
        <x:v>S03; S04; S19; S26; S30</x:v>
      </x:c>
      <x:c r="Y83" s="37" t="str">
        <x:v>Broad phase synthesis; event-specific claims use narrower sources elsewhere.</x:v>
      </x:c>
    </x:row>
    <x:row r="84" ht="60" customHeight="1">
      <x:c r="A84" s="37" t="str">
        <x:v>X080</x:v>
      </x:c>
      <x:c r="B84" s="37" t="str">
        <x:v>Opposition, MGR dominance and return</x:v>
      </x:c>
      <x:c r="C84" s="58" t="n">
        <x:v>27791</x:v>
      </x:c>
      <x:c r="D84" s="58" t="n">
        <x:v>33268</x:v>
      </x:c>
      <x:c r="E84" s="37" t="str">
        <x:v>Era</x:v>
      </x:c>
      <x:c r="F84" s="37" t="str">
        <x:v>Era 10: Evidence environment — What source limitations shape retrospective assessment?</x:v>
      </x:c>
      <x:c r="G84" s="37" t="str">
        <x:v>Research limitation</x:v>
      </x:c>
      <x:c r="H84" s="37" t="str">
        <x:v>Television archives are limited and Sri Lankan conflict reporting is polarized; party memoirs remain important but interested.</x:v>
      </x:c>
      <x:c r="I84" s="37" t="str">
        <x:v>Archival survival and source bias</x:v>
      </x:c>
      <x:c r="J84" s="37" t="str">
        <x:v>AIADMK dominance under MGR, fragmented opposition, then a post-MGR opening and National Front coalition politics.</x:v>
      </x:c>
      <x:c r="K84" s="37" t="str">
        <x:v>Late planning-era fiscal pressure followed by initial liberalization; Sri Lankan ethnic conflict shaped regional politics.</x:v>
      </x:c>
      <x:c r="L84" s="37" t="str">
        <x:v>Cinema, print and public rallies dominated; television expanded slowly under state control.</x:v>
      </x:c>
      <x:c r="M84" s="37" t="str">
        <x:v>Post-Emergency restoration coexisted with recurrent Article 356 use; anti-defection and coalition institutions evolved.</x:v>
      </x:c>
      <x:c r="N84" s="37" t="str">
        <x:v>Gender norms affected access and representation but were rarely the sole driver.</x:v>
      </x:c>
      <x:c r="O84" s="37" t="str">
        <x:v>Language, caste, region and class were often more explicit axes of mobilization.</x:v>
      </x:c>
      <x:c r="P84" s="37" t="str">
        <x:v>Conditions stated in finding</x:v>
      </x:c>
      <x:c r="Q84" s="37" t="str">
        <x:v>Tamil Nadu chief ministers, regional-party leaders and opposition figures in the same period</x:v>
      </x:c>
      <x:c r="R84" s="37" t="str">
        <x:v>Assessment reconstructed from phase-specific records.</x:v>
      </x:c>
      <x:c r="S84" s="37" t="str">
        <x:v>Later scholarship evaluates institutional and distributional consequences.</x:v>
      </x:c>
      <x:c r="T84" s="37" t="str">
        <x:v>Use contemporaneous territorial names, feasible alternatives and institutional powers; context does not excuse rights violations or corruption.</x:v>
      </x:c>
      <x:c r="U84" s="37" t="str">
        <x:v>Television archives are limited and Sri Lankan conflict reporting is polarized; party memoirs remain important but interested.</x:v>
      </x:c>
      <x:c r="V84" s="37" t="str">
        <x:v>Analysis</x:v>
      </x:c>
      <x:c r="W84" s="37" t="str">
        <x:v>Multiple independent sources</x:v>
      </x:c>
      <x:c r="X84" s="37" t="str">
        <x:v>S03; S04; S19; S26; S30</x:v>
      </x:c>
      <x:c r="Y84" s="37" t="str">
        <x:v>Broad phase synthesis; event-specific claims use narrower sources elsewhere.</x:v>
      </x:c>
    </x:row>
    <x:row r="85" ht="60" customHeight="1">
      <x:c r="A85" s="37" t="str">
        <x:v>X081</x:v>
      </x:c>
      <x:c r="B85" s="37" t="str">
        <x:v>Dismissal, reconstruction and coalition leverage</x:v>
      </x:c>
      <x:c r="C85" s="58" t="n">
        <x:v>33269</x:v>
      </x:c>
      <x:c r="D85" s="58" t="n">
        <x:v>38849</x:v>
      </x:c>
      <x:c r="E85" s="37" t="str">
        <x:v>Gender</x:v>
      </x:c>
      <x:c r="F85" s="37" t="str">
        <x:v>Gender 1: Entry and advancement — Did gender affect recruitment, candidacy, nominations or advancement?</x:v>
      </x:c>
      <x:c r="G85" s="37" t="str">
        <x:v>Research limitation</x:v>
      </x:c>
      <x:c r="H85" s="37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I85" s="37" t="str">
        <x:v>Party and public-sphere access</x:v>
      </x:c>
      <x:c r="J85" s="37" t="str">
        <x:v>Bipolar DMK–AIADMK competition in Tamil Nadu and unstable coalition governments at the Union level increased regional-party leverage.</x:v>
      </x:c>
      <x:c r="K85" s="37" t="str">
        <x:v>Liberalization, globalization and IT-led growth changed state competition for investment.</x:v>
      </x:c>
      <x:c r="L85" s="37" t="str">
        <x:v>Satellite television and family-linked media networks transformed campaign reach and intra-party power.</x:v>
      </x:c>
      <x:c r="M85" s="37" t="str">
        <x:v>Judicial review of Article 356 strengthened after Bommai; coalition bargaining widened federal influence.</x:v>
      </x:c>
      <x:c r="N85" s="37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O85" s="37" t="str">
        <x:v>Caste, language, class and family networks are assessed only where evidenced.</x:v>
      </x:c>
      <x:c r="P85" s="37" t="str">
        <x:v>Male-dominated party and electoral institutions</x:v>
      </x:c>
      <x:c r="Q85" s="37" t="str">
        <x:v>Comparable Tamil Nadu party leaders and office-holders in the same phase</x:v>
      </x:c>
      <x:c r="R85" s="37" t="str">
        <x:v>Contemporary coverage rarely isolated male privilege as an analytical category.</x:v>
      </x:c>
      <x:c r="S85" s="37" t="str">
        <x:v>Later gender analysis distinguishes concrete policy effects from male-dominated organization.</x:v>
      </x:c>
      <x:c r="T85" s="37" t="str">
        <x:v>Avoid projecting today's language of representation backward without losing the underlying inequality.</x:v>
      </x:c>
      <x:c r="U85" s="37" t="str">
        <x:v>Women-specific party records and gender-disaggregated leadership data are incomplete.</x:v>
      </x:c>
      <x:c r="V85" s="37" t="str">
        <x:v>Analysis</x:v>
      </x:c>
      <x:c r="W85" s="37" t="str">
        <x:v>Single credible source</x:v>
      </x:c>
      <x:c r="X85" s="37" t="str">
        <x:v>S04; S19; S22; S24; S25; S26; S10; S27</x:v>
      </x:c>
      <x:c r="Y85" s="37" t="str">
        <x:v>Disposition reflects reviewed evidence; absence of evidence is not proof of absence.</x:v>
      </x:c>
    </x:row>
    <x:row r="86" ht="60" customHeight="1">
      <x:c r="A86" s="37" t="str">
        <x:v>X082</x:v>
      </x:c>
      <x:c r="B86" s="37" t="str">
        <x:v>Dismissal, reconstruction and coalition leverage</x:v>
      </x:c>
      <x:c r="C86" s="58" t="n">
        <x:v>33269</x:v>
      </x:c>
      <x:c r="D86" s="58" t="n">
        <x:v>38849</x:v>
      </x:c>
      <x:c r="E86" s="37" t="str">
        <x:v>Gender</x:v>
      </x:c>
      <x:c r="F86" s="37" t="str">
        <x:v>Gender 2: Milestones — Were there gender-related firsts or representative milestones?</x:v>
      </x:c>
      <x:c r="G86" s="37" t="str">
        <x:v>Not materially relevant</x:v>
      </x:c>
      <x:c r="H86" s="37" t="str">
        <x:v>No gender-related first attached to Karunanidhi's own offices in this phase. The relevant milestone question concerns policies or the underrepresentation of women around him, not his descriptive representation.</x:v>
      </x:c>
      <x:c r="I86" s="37" t="str">
        <x:v>No personal milestone</x:v>
      </x:c>
      <x:c r="J86" s="37" t="str">
        <x:v>Bipolar DMK–AIADMK competition in Tamil Nadu and unstable coalition governments at the Union level increased regional-party leverage.</x:v>
      </x:c>
      <x:c r="K86" s="37" t="str">
        <x:v>Liberalization, globalization and IT-led growth changed state competition for investment.</x:v>
      </x:c>
      <x:c r="L86" s="37" t="str">
        <x:v>Satellite television and family-linked media networks transformed campaign reach and intra-party power.</x:v>
      </x:c>
      <x:c r="M86" s="37" t="str">
        <x:v>Judicial review of Article 356 strengthened after Bommai; coalition bargaining widened federal influence.</x:v>
      </x:c>
      <x:c r="N86" s="37" t="str">
        <x:v>No gender-related first attached to Karunanidhi's own offices in this phase. The relevant milestone question concerns policies or the underrepresentation of women around him, not his descriptive representation.</x:v>
      </x:c>
      <x:c r="O86" s="37" t="str">
        <x:v>Caste, language, class and family networks are assessed only where evidenced.</x:v>
      </x:c>
      <x:c r="P86" s="37" t="str">
        <x:v>Male-dominated party and electoral institutions</x:v>
      </x:c>
      <x:c r="Q86" s="37" t="str">
        <x:v>Comparable Tamil Nadu party leaders and office-holders in the same phase</x:v>
      </x:c>
      <x:c r="R86" s="37" t="str">
        <x:v>Contemporary coverage rarely isolated male privilege as an analytical category.</x:v>
      </x:c>
      <x:c r="S86" s="37" t="str">
        <x:v>Later gender analysis distinguishes concrete policy effects from male-dominated organization.</x:v>
      </x:c>
      <x:c r="T86" s="37" t="str">
        <x:v>Avoid projecting today's language of representation backward without losing the underlying inequality.</x:v>
      </x:c>
      <x:c r="U86" s="37" t="str">
        <x:v>Women-specific party records and gender-disaggregated leadership data are incomplete.</x:v>
      </x:c>
      <x:c r="V86" s="37" t="str">
        <x:v>Analysis</x:v>
      </x:c>
      <x:c r="W86" s="37" t="str">
        <x:v>Multiple independent sources</x:v>
      </x:c>
      <x:c r="X86" s="37" t="str">
        <x:v>S04; S19; S22; S24; S25; S26; S10; S27</x:v>
      </x:c>
      <x:c r="Y86" s="37" t="str">
        <x:v>Disposition reflects reviewed evidence; absence of evidence is not proof of absence.</x:v>
      </x:c>
    </x:row>
    <x:row r="87" ht="60" customHeight="1">
      <x:c r="A87" s="37" t="str">
        <x:v>X083</x:v>
      </x:c>
      <x:c r="B87" s="37" t="str">
        <x:v>Dismissal, reconstruction and coalition leverage</x:v>
      </x:c>
      <x:c r="C87" s="58" t="n">
        <x:v>33269</x:v>
      </x:c>
      <x:c r="D87" s="58" t="n">
        <x:v>38849</x:v>
      </x:c>
      <x:c r="E87" s="37" t="str">
        <x:v>Gender</x:v>
      </x:c>
      <x:c r="F87" s="37" t="str">
        <x:v>Gender 3: Networks and pathways — Did family, patronage, marriage or mentorship operate through gendered pathways?</x:v>
      </x:c>
      <x:c r="G87" s="37" t="str">
        <x:v>Material finding</x:v>
      </x:c>
      <x:c r="H87" s="37" t="str">
        <x:v>Family networks increasingly structured party, media and succession roles. Sons were more directly positioned in territorial party organization, while Kanimozhi's route combined literary, media and parliamentary roles; the evidence supports a dynastic finding more strongly than a purely gender-causal one.</x:v>
      </x:c>
      <x:c r="I87" s="37" t="str">
        <x:v>Networks and succession</x:v>
      </x:c>
      <x:c r="J87" s="37" t="str">
        <x:v>Bipolar DMK–AIADMK competition in Tamil Nadu and unstable coalition governments at the Union level increased regional-party leverage.</x:v>
      </x:c>
      <x:c r="K87" s="37" t="str">
        <x:v>Liberalization, globalization and IT-led growth changed state competition for investment.</x:v>
      </x:c>
      <x:c r="L87" s="37" t="str">
        <x:v>Satellite television and family-linked media networks transformed campaign reach and intra-party power.</x:v>
      </x:c>
      <x:c r="M87" s="37" t="str">
        <x:v>Judicial review of Article 356 strengthened after Bommai; coalition bargaining widened federal influence.</x:v>
      </x:c>
      <x:c r="N87" s="37" t="str">
        <x:v>Family networks increasingly structured party, media and succession roles. Sons were more directly positioned in territorial party organization, while Kanimozhi's route combined literary, media and parliamentary roles; the evidence supports a dynastic finding more strongly than a purely gender-causal one.</x:v>
      </x:c>
      <x:c r="O87" s="37" t="str">
        <x:v>Caste, language, class and family networks are assessed only where evidenced.</x:v>
      </x:c>
      <x:c r="P87" s="37" t="str">
        <x:v>Male-dominated party and electoral institutions</x:v>
      </x:c>
      <x:c r="Q87" s="37" t="str">
        <x:v>Comparable Tamil Nadu party leaders and office-holders in the same phase</x:v>
      </x:c>
      <x:c r="R87" s="37" t="str">
        <x:v>Contemporary coverage rarely isolated male privilege as an analytical category.</x:v>
      </x:c>
      <x:c r="S87" s="37" t="str">
        <x:v>Later gender analysis distinguishes concrete policy effects from male-dominated organization.</x:v>
      </x:c>
      <x:c r="T87" s="37" t="str">
        <x:v>Avoid projecting today's language of representation backward without losing the underlying inequality.</x:v>
      </x:c>
      <x:c r="U87" s="37" t="str">
        <x:v>Women-specific party records and gender-disaggregated leadership data are incomplete.</x:v>
      </x:c>
      <x:c r="V87" s="37" t="str">
        <x:v>Analysis</x:v>
      </x:c>
      <x:c r="W87" s="37" t="str">
        <x:v>Single credible source</x:v>
      </x:c>
      <x:c r="X87" s="37" t="str">
        <x:v>S04; S19; S22; S24; S25; S26; S10; S27</x:v>
      </x:c>
      <x:c r="Y87" s="37" t="str">
        <x:v>Disposition reflects reviewed evidence; absence of evidence is not proof of absence.</x:v>
      </x:c>
    </x:row>
    <x:row r="88" ht="60" customHeight="1">
      <x:c r="A88" s="37" t="str">
        <x:v>X084</x:v>
      </x:c>
      <x:c r="B88" s="37" t="str">
        <x:v>Dismissal, reconstruction and coalition leverage</x:v>
      </x:c>
      <x:c r="C88" s="58" t="n">
        <x:v>33269</x:v>
      </x:c>
      <x:c r="D88" s="58" t="n">
        <x:v>38849</x:v>
      </x:c>
      <x:c r="E88" s="37" t="str">
        <x:v>Gender</x:v>
      </x:c>
      <x:c r="F88" s="37" t="str">
        <x:v>Gender 4: Role and portfolio allocation — Did gender expectations affect offices or portfolios?</x:v>
      </x:c>
      <x:c r="G88" s="37" t="str">
        <x:v>Material finding</x:v>
      </x:c>
      <x:c r="H88" s="37" t="str">
        <x:v>The cabinets and DMK's highest organizational tier remained predominantly male. Karunanidhi himself held core executive and infrastructure authority; evidence for phase-specific portfolio allocation caused by his gender is indirect rather than event-specific.</x:v>
      </x:c>
      <x:c r="I88" s="37" t="str">
        <x:v>Leadership allocation</x:v>
      </x:c>
      <x:c r="J88" s="37" t="str">
        <x:v>Bipolar DMK–AIADMK competition in Tamil Nadu and unstable coalition governments at the Union level increased regional-party leverage.</x:v>
      </x:c>
      <x:c r="K88" s="37" t="str">
        <x:v>Liberalization, globalization and IT-led growth changed state competition for investment.</x:v>
      </x:c>
      <x:c r="L88" s="37" t="str">
        <x:v>Satellite television and family-linked media networks transformed campaign reach and intra-party power.</x:v>
      </x:c>
      <x:c r="M88" s="37" t="str">
        <x:v>Judicial review of Article 356 strengthened after Bommai; coalition bargaining widened federal influence.</x:v>
      </x:c>
      <x:c r="N88" s="37" t="str">
        <x:v>The cabinets and DMK's highest organizational tier remained predominantly male. Karunanidhi himself held core executive and infrastructure authority; evidence for phase-specific portfolio allocation caused by his gender is indirect rather than event-specific.</x:v>
      </x:c>
      <x:c r="O88" s="37" t="str">
        <x:v>Caste, language, class and family networks are assessed only where evidenced.</x:v>
      </x:c>
      <x:c r="P88" s="37" t="str">
        <x:v>Male-dominated party and electoral institutions</x:v>
      </x:c>
      <x:c r="Q88" s="37" t="str">
        <x:v>Comparable Tamil Nadu party leaders and office-holders in the same phase</x:v>
      </x:c>
      <x:c r="R88" s="37" t="str">
        <x:v>Contemporary coverage rarely isolated male privilege as an analytical category.</x:v>
      </x:c>
      <x:c r="S88" s="37" t="str">
        <x:v>Later gender analysis distinguishes concrete policy effects from male-dominated organization.</x:v>
      </x:c>
      <x:c r="T88" s="37" t="str">
        <x:v>Avoid projecting today's language of representation backward without losing the underlying inequality.</x:v>
      </x:c>
      <x:c r="U88" s="37" t="str">
        <x:v>Women-specific party records and gender-disaggregated leadership data are incomplete.</x:v>
      </x:c>
      <x:c r="V88" s="37" t="str">
        <x:v>Analysis</x:v>
      </x:c>
      <x:c r="W88" s="37" t="str">
        <x:v>Single credible source</x:v>
      </x:c>
      <x:c r="X88" s="37" t="str">
        <x:v>S04; S19; S22; S24; S25; S26; S10; S27</x:v>
      </x:c>
      <x:c r="Y88" s="37" t="str">
        <x:v>Disposition reflects reviewed evidence; absence of evidence is not proof of absence.</x:v>
      </x:c>
    </x:row>
    <x:row r="89" ht="60" customHeight="1">
      <x:c r="A89" s="37" t="str">
        <x:v>X085</x:v>
      </x:c>
      <x:c r="B89" s="37" t="str">
        <x:v>Dismissal, reconstruction and coalition leverage</x:v>
      </x:c>
      <x:c r="C89" s="58" t="n">
        <x:v>33269</x:v>
      </x:c>
      <x:c r="D89" s="58" t="n">
        <x:v>38849</x:v>
      </x:c>
      <x:c r="E89" s="37" t="str">
        <x:v>Gender</x:v>
      </x:c>
      <x:c r="F89" s="37" t="str">
        <x:v>Gender 5: Campaign and media treatment — Was treatment materially gendered?</x:v>
      </x:c>
      <x:c r="G89" s="37" t="str">
        <x:v>Evidence not found</x:v>
      </x:c>
      <x:c r="H8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I89" s="37" t="str">
        <x:v>Media treatment</x:v>
      </x:c>
      <x:c r="J89" s="37" t="str">
        <x:v>Bipolar DMK–AIADMK competition in Tamil Nadu and unstable coalition governments at the Union level increased regional-party leverage.</x:v>
      </x:c>
      <x:c r="K89" s="37" t="str">
        <x:v>Liberalization, globalization and IT-led growth changed state competition for investment.</x:v>
      </x:c>
      <x:c r="L89" s="37" t="str">
        <x:v>Satellite television and family-linked media networks transformed campaign reach and intra-party power.</x:v>
      </x:c>
      <x:c r="M89" s="37" t="str">
        <x:v>Judicial review of Article 356 strengthened after Bommai; coalition bargaining widened federal influence.</x:v>
      </x:c>
      <x:c r="N8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O89" s="37" t="str">
        <x:v>Caste, language, class and family networks are assessed only where evidenced.</x:v>
      </x:c>
      <x:c r="P89" s="37" t="str">
        <x:v>Male-dominated party and electoral institutions</x:v>
      </x:c>
      <x:c r="Q89" s="37" t="str">
        <x:v>Comparable Tamil Nadu party leaders and office-holders in the same phase</x:v>
      </x:c>
      <x:c r="R89" s="37" t="str">
        <x:v>Contemporary coverage rarely isolated male privilege as an analytical category.</x:v>
      </x:c>
      <x:c r="S89" s="37" t="str">
        <x:v>Later gender analysis distinguishes concrete policy effects from male-dominated organization.</x:v>
      </x:c>
      <x:c r="T89" s="37" t="str">
        <x:v>Avoid projecting today's language of representation backward without losing the underlying inequality.</x:v>
      </x:c>
      <x:c r="U89" s="37" t="str">
        <x:v>Women-specific party records and gender-disaggregated leadership data are incomplete.</x:v>
      </x:c>
      <x:c r="V89" s="37" t="str">
        <x:v>Disputed/uncertain</x:v>
      </x:c>
      <x:c r="W89" s="37" t="str">
        <x:v>Single credible source</x:v>
      </x:c>
      <x:c r="X89" s="37" t="str">
        <x:v>S04; S19; S22; S24; S25; S26; S10; S27</x:v>
      </x:c>
      <x:c r="Y89" s="37" t="str">
        <x:v>Disposition reflects reviewed evidence; absence of evidence is not proof of absence.</x:v>
      </x:c>
    </x:row>
    <x:row r="90" ht="60" customHeight="1">
      <x:c r="A90" s="37" t="str">
        <x:v>X086</x:v>
      </x:c>
      <x:c r="B90" s="37" t="str">
        <x:v>Dismissal, reconstruction and coalition leverage</x:v>
      </x:c>
      <x:c r="C90" s="58" t="n">
        <x:v>33269</x:v>
      </x:c>
      <x:c r="D90" s="58" t="n">
        <x:v>38849</x:v>
      </x:c>
      <x:c r="E90" s="37" t="str">
        <x:v>Gender</x:v>
      </x:c>
      <x:c r="F90" s="37" t="str">
        <x:v>Gender 6: Threats and security — Were threats, violence or mobility constraints gender-specific?</x:v>
      </x:c>
      <x:c r="G90" s="37" t="str">
        <x:v>Not materially relevant</x:v>
      </x:c>
      <x:c r="H90" s="37" t="str">
        <x:v>Karunanidhi faced arrest, protest violence and security risks, but reviewed evidence treats them as partisan, state or ethnic-political risks rather than gender-specific threats.</x:v>
      </x:c>
      <x:c r="I90" s="37" t="str">
        <x:v>Threat mechanism not gender-specific</x:v>
      </x:c>
      <x:c r="J90" s="37" t="str">
        <x:v>Bipolar DMK–AIADMK competition in Tamil Nadu and unstable coalition governments at the Union level increased regional-party leverage.</x:v>
      </x:c>
      <x:c r="K90" s="37" t="str">
        <x:v>Liberalization, globalization and IT-led growth changed state competition for investment.</x:v>
      </x:c>
      <x:c r="L90" s="37" t="str">
        <x:v>Satellite television and family-linked media networks transformed campaign reach and intra-party power.</x:v>
      </x:c>
      <x:c r="M90" s="37" t="str">
        <x:v>Judicial review of Article 356 strengthened after Bommai; coalition bargaining widened federal influence.</x:v>
      </x:c>
      <x:c r="N90" s="37" t="str">
        <x:v>Karunanidhi faced arrest, protest violence and security risks, but reviewed evidence treats them as partisan, state or ethnic-political risks rather than gender-specific threats.</x:v>
      </x:c>
      <x:c r="O90" s="37" t="str">
        <x:v>Caste, language, class and family networks are assessed only where evidenced.</x:v>
      </x:c>
      <x:c r="P90" s="37" t="str">
        <x:v>Male-dominated party and electoral institutions</x:v>
      </x:c>
      <x:c r="Q90" s="37" t="str">
        <x:v>Comparable Tamil Nadu party leaders and office-holders in the same phase</x:v>
      </x:c>
      <x:c r="R90" s="37" t="str">
        <x:v>Contemporary coverage rarely isolated male privilege as an analytical category.</x:v>
      </x:c>
      <x:c r="S90" s="37" t="str">
        <x:v>Later gender analysis distinguishes concrete policy effects from male-dominated organization.</x:v>
      </x:c>
      <x:c r="T90" s="37" t="str">
        <x:v>Avoid projecting today's language of representation backward without losing the underlying inequality.</x:v>
      </x:c>
      <x:c r="U90" s="37" t="str">
        <x:v>Women-specific party records and gender-disaggregated leadership data are incomplete.</x:v>
      </x:c>
      <x:c r="V90" s="37" t="str">
        <x:v>Analysis</x:v>
      </x:c>
      <x:c r="W90" s="37" t="str">
        <x:v>Multiple independent sources</x:v>
      </x:c>
      <x:c r="X90" s="37" t="str">
        <x:v>S04; S19; S22; S24; S25; S26; S10; S27</x:v>
      </x:c>
      <x:c r="Y90" s="37" t="str">
        <x:v>Disposition reflects reviewed evidence; absence of evidence is not proof of absence.</x:v>
      </x:c>
    </x:row>
    <x:row r="91" ht="60" customHeight="1">
      <x:c r="A91" s="37" t="str">
        <x:v>X087</x:v>
      </x:c>
      <x:c r="B91" s="37" t="str">
        <x:v>Dismissal, reconstruction and coalition leverage</x:v>
      </x:c>
      <x:c r="C91" s="58" t="n">
        <x:v>33269</x:v>
      </x:c>
      <x:c r="D91" s="58" t="n">
        <x:v>38849</x:v>
      </x:c>
      <x:c r="E91" s="37" t="str">
        <x:v>Gender</x:v>
      </x:c>
      <x:c r="F91" s="37" t="str">
        <x:v>Gender 7: Gender policy and organizations — What gender-related laws, policies or organizational links existed?</x:v>
      </x:c>
      <x:c r="G91" s="37" t="str">
        <x:v>Material finding</x:v>
      </x:c>
      <x:c r="H91" s="37" t="str">
        <x:v>His 1996 government implemented women's reservation in local bodies and supported women's economic programs within decentralization.</x:v>
      </x:c>
      <x:c r="I91" s="37" t="str">
        <x:v>Law and policy</x:v>
      </x:c>
      <x:c r="J91" s="37" t="str">
        <x:v>Bipolar DMK–AIADMK competition in Tamil Nadu and unstable coalition governments at the Union level increased regional-party leverage.</x:v>
      </x:c>
      <x:c r="K91" s="37" t="str">
        <x:v>Liberalization, globalization and IT-led growth changed state competition for investment.</x:v>
      </x:c>
      <x:c r="L91" s="37" t="str">
        <x:v>Satellite television and family-linked media networks transformed campaign reach and intra-party power.</x:v>
      </x:c>
      <x:c r="M91" s="37" t="str">
        <x:v>Judicial review of Article 356 strengthened after Bommai; coalition bargaining widened federal influence.</x:v>
      </x:c>
      <x:c r="N91" s="37" t="str">
        <x:v>His 1996 government implemented women's reservation in local bodies and supported women's economic programs within decentralization.</x:v>
      </x:c>
      <x:c r="O91" s="37" t="str">
        <x:v>Caste, language, class and family networks are assessed only where evidenced.</x:v>
      </x:c>
      <x:c r="P91" s="37" t="str">
        <x:v>Male-dominated party and electoral institutions</x:v>
      </x:c>
      <x:c r="Q91" s="37" t="str">
        <x:v>Comparable Tamil Nadu party leaders and office-holders in the same phase</x:v>
      </x:c>
      <x:c r="R91" s="37" t="str">
        <x:v>Contemporary coverage rarely isolated male privilege as an analytical category.</x:v>
      </x:c>
      <x:c r="S91" s="37" t="str">
        <x:v>Later gender analysis distinguishes concrete policy effects from male-dominated organization.</x:v>
      </x:c>
      <x:c r="T91" s="37" t="str">
        <x:v>Avoid projecting today's language of representation backward without losing the underlying inequality.</x:v>
      </x:c>
      <x:c r="U91" s="37" t="str">
        <x:v>Women-specific party records and gender-disaggregated leadership data are incomplete.</x:v>
      </x:c>
      <x:c r="V91" s="37" t="str">
        <x:v>Analysis</x:v>
      </x:c>
      <x:c r="W91" s="37" t="str">
        <x:v>Single credible source</x:v>
      </x:c>
      <x:c r="X91" s="37" t="str">
        <x:v>S04; S19; S22; S24; S25; S26; S10; S27</x:v>
      </x:c>
      <x:c r="Y91" s="37" t="str">
        <x:v>Disposition reflects reviewed evidence; absence of evidence is not proof of absence.</x:v>
      </x:c>
    </x:row>
    <x:row r="92" ht="60" customHeight="1">
      <x:c r="A92" s="37" t="str">
        <x:v>X088</x:v>
      </x:c>
      <x:c r="B92" s="37" t="str">
        <x:v>Dismissal, reconstruction and coalition leverage</x:v>
      </x:c>
      <x:c r="C92" s="58" t="n">
        <x:v>33269</x:v>
      </x:c>
      <x:c r="D92" s="58" t="n">
        <x:v>38849</x:v>
      </x:c>
      <x:c r="E92" s="37" t="str">
        <x:v>Gender</x:v>
      </x:c>
      <x:c r="F92" s="37" t="str">
        <x:v>Gender 8: Political use of identity — Was masculinity or gender identity strategically mobilized?</x:v>
      </x:c>
      <x:c r="G92" s="37" t="str">
        <x:v>Research limitation</x:v>
      </x:c>
      <x:c r="H9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I92" s="37" t="str">
        <x:v>Implicit leadership norms</x:v>
      </x:c>
      <x:c r="J92" s="37" t="str">
        <x:v>Bipolar DMK–AIADMK competition in Tamil Nadu and unstable coalition governments at the Union level increased regional-party leverage.</x:v>
      </x:c>
      <x:c r="K92" s="37" t="str">
        <x:v>Liberalization, globalization and IT-led growth changed state competition for investment.</x:v>
      </x:c>
      <x:c r="L92" s="37" t="str">
        <x:v>Satellite television and family-linked media networks transformed campaign reach and intra-party power.</x:v>
      </x:c>
      <x:c r="M92" s="37" t="str">
        <x:v>Judicial review of Article 356 strengthened after Bommai; coalition bargaining widened federal influence.</x:v>
      </x:c>
      <x:c r="N9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O92" s="37" t="str">
        <x:v>Caste, language, class and family networks are assessed only where evidenced.</x:v>
      </x:c>
      <x:c r="P92" s="37" t="str">
        <x:v>Male-dominated party and electoral institutions</x:v>
      </x:c>
      <x:c r="Q92" s="37" t="str">
        <x:v>Comparable Tamil Nadu party leaders and office-holders in the same phase</x:v>
      </x:c>
      <x:c r="R92" s="37" t="str">
        <x:v>Contemporary coverage rarely isolated male privilege as an analytical category.</x:v>
      </x:c>
      <x:c r="S92" s="37" t="str">
        <x:v>Later gender analysis distinguishes concrete policy effects from male-dominated organization.</x:v>
      </x:c>
      <x:c r="T92" s="37" t="str">
        <x:v>Avoid projecting today's language of representation backward without losing the underlying inequality.</x:v>
      </x:c>
      <x:c r="U92" s="37" t="str">
        <x:v>Women-specific party records and gender-disaggregated leadership data are incomplete.</x:v>
      </x:c>
      <x:c r="V92" s="37" t="str">
        <x:v>Analysis</x:v>
      </x:c>
      <x:c r="W92" s="37" t="str">
        <x:v>Single credible source</x:v>
      </x:c>
      <x:c r="X92" s="37" t="str">
        <x:v>S04; S19; S22; S24; S25; S26; S10; S27</x:v>
      </x:c>
      <x:c r="Y92" s="37" t="str">
        <x:v>Disposition reflects reviewed evidence; absence of evidence is not proof of absence.</x:v>
      </x:c>
    </x:row>
    <x:row r="93" ht="60" customHeight="1">
      <x:c r="A93" s="37" t="str">
        <x:v>X089</x:v>
      </x:c>
      <x:c r="B93" s="37" t="str">
        <x:v>Dismissal, reconstruction and coalition leverage</x:v>
      </x:c>
      <x:c r="C93" s="58" t="n">
        <x:v>33269</x:v>
      </x:c>
      <x:c r="D93" s="58" t="n">
        <x:v>38849</x:v>
      </x:c>
      <x:c r="E93" s="37" t="str">
        <x:v>Gender</x:v>
      </x:c>
      <x:c r="F93" s="37" t="str">
        <x:v>Gender 9: Representation and effects — What symbolic, descriptive or substantive gender effects followed?</x:v>
      </x:c>
      <x:c r="G93" s="37" t="str">
        <x:v>Material finding</x:v>
      </x:c>
      <x:c r="H93" s="37" t="str">
        <x:v>His personal representation was descriptive of men, already dominant in politics. Substantive effects must be located in specific law, representation or welfare measures rather than inferred from symbolism.</x:v>
      </x:c>
      <x:c r="I93" s="37" t="str">
        <x:v>Separate descriptive and substantive effects</x:v>
      </x:c>
      <x:c r="J93" s="37" t="str">
        <x:v>Bipolar DMK–AIADMK competition in Tamil Nadu and unstable coalition governments at the Union level increased regional-party leverage.</x:v>
      </x:c>
      <x:c r="K93" s="37" t="str">
        <x:v>Liberalization, globalization and IT-led growth changed state competition for investment.</x:v>
      </x:c>
      <x:c r="L93" s="37" t="str">
        <x:v>Satellite television and family-linked media networks transformed campaign reach and intra-party power.</x:v>
      </x:c>
      <x:c r="M93" s="37" t="str">
        <x:v>Judicial review of Article 356 strengthened after Bommai; coalition bargaining widened federal influence.</x:v>
      </x:c>
      <x:c r="N93" s="37" t="str">
        <x:v>His personal representation was descriptive of men, already dominant in politics. Substantive effects must be located in specific law, representation or welfare measures rather than inferred from symbolism.</x:v>
      </x:c>
      <x:c r="O93" s="37" t="str">
        <x:v>Caste, language, class and family networks are assessed only where evidenced.</x:v>
      </x:c>
      <x:c r="P93" s="37" t="str">
        <x:v>Male-dominated party and electoral institutions</x:v>
      </x:c>
      <x:c r="Q93" s="37" t="str">
        <x:v>Comparable Tamil Nadu party leaders and office-holders in the same phase</x:v>
      </x:c>
      <x:c r="R93" s="37" t="str">
        <x:v>Contemporary coverage rarely isolated male privilege as an analytical category.</x:v>
      </x:c>
      <x:c r="S93" s="37" t="str">
        <x:v>Later gender analysis distinguishes concrete policy effects from male-dominated organization.</x:v>
      </x:c>
      <x:c r="T93" s="37" t="str">
        <x:v>Avoid projecting today's language of representation backward without losing the underlying inequality.</x:v>
      </x:c>
      <x:c r="U93" s="37" t="str">
        <x:v>Women-specific party records and gender-disaggregated leadership data are incomplete.</x:v>
      </x:c>
      <x:c r="V93" s="37" t="str">
        <x:v>Analysis</x:v>
      </x:c>
      <x:c r="W93" s="37" t="str">
        <x:v>Single credible source</x:v>
      </x:c>
      <x:c r="X93" s="37" t="str">
        <x:v>S04; S19; S22; S24; S25; S26; S10; S27</x:v>
      </x:c>
      <x:c r="Y93" s="37" t="str">
        <x:v>Disposition reflects reviewed evidence; absence of evidence is not proof of absence.</x:v>
      </x:c>
    </x:row>
    <x:row r="94" ht="60" customHeight="1">
      <x:c r="A94" s="37" t="str">
        <x:v>X090</x:v>
      </x:c>
      <x:c r="B94" s="37" t="str">
        <x:v>Dismissal, reconstruction and coalition leverage</x:v>
      </x:c>
      <x:c r="C94" s="58" t="n">
        <x:v>33269</x:v>
      </x:c>
      <x:c r="D94" s="58" t="n">
        <x:v>38849</x:v>
      </x:c>
      <x:c r="E94" s="37" t="str">
        <x:v>Gender</x:v>
      </x:c>
      <x:c r="F94" s="37" t="str">
        <x:v>Gender 10: Assessment over time — How have gender assessments changed?</x:v>
      </x:c>
      <x:c r="G94" s="37" t="str">
        <x:v>Material finding</x:v>
      </x:c>
      <x:c r="H9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I94" s="37" t="str">
        <x:v>Retrospective reframing</x:v>
      </x:c>
      <x:c r="J94" s="37" t="str">
        <x:v>Bipolar DMK–AIADMK competition in Tamil Nadu and unstable coalition governments at the Union level increased regional-party leverage.</x:v>
      </x:c>
      <x:c r="K94" s="37" t="str">
        <x:v>Liberalization, globalization and IT-led growth changed state competition for investment.</x:v>
      </x:c>
      <x:c r="L94" s="37" t="str">
        <x:v>Satellite television and family-linked media networks transformed campaign reach and intra-party power.</x:v>
      </x:c>
      <x:c r="M94" s="37" t="str">
        <x:v>Judicial review of Article 356 strengthened after Bommai; coalition bargaining widened federal influence.</x:v>
      </x:c>
      <x:c r="N9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O94" s="37" t="str">
        <x:v>Caste, language, class and family networks are assessed only where evidenced.</x:v>
      </x:c>
      <x:c r="P94" s="37" t="str">
        <x:v>Male-dominated party and electoral institutions</x:v>
      </x:c>
      <x:c r="Q94" s="37" t="str">
        <x:v>Comparable Tamil Nadu party leaders and office-holders in the same phase</x:v>
      </x:c>
      <x:c r="R94" s="37" t="str">
        <x:v>Contemporary coverage rarely isolated male privilege as an analytical category.</x:v>
      </x:c>
      <x:c r="S94" s="37" t="str">
        <x:v>Later gender analysis distinguishes concrete policy effects from male-dominated organization.</x:v>
      </x:c>
      <x:c r="T94" s="37" t="str">
        <x:v>Avoid projecting today's language of representation backward without losing the underlying inequality.</x:v>
      </x:c>
      <x:c r="U94" s="37" t="str">
        <x:v>Women-specific party records and gender-disaggregated leadership data are incomplete.</x:v>
      </x:c>
      <x:c r="V94" s="37" t="str">
        <x:v>Analysis</x:v>
      </x:c>
      <x:c r="W94" s="37" t="str">
        <x:v>Single credible source</x:v>
      </x:c>
      <x:c r="X94" s="37" t="str">
        <x:v>S04; S19; S22; S24; S25; S26; S10; S27</x:v>
      </x:c>
      <x:c r="Y94" s="37" t="str">
        <x:v>Disposition reflects reviewed evidence; absence of evidence is not proof of absence.</x:v>
      </x:c>
    </x:row>
    <x:row r="95" ht="60" customHeight="1">
      <x:c r="A95" s="37" t="str">
        <x:v>X091</x:v>
      </x:c>
      <x:c r="B95" s="37" t="str">
        <x:v>Dismissal, reconstruction and coalition leverage</x:v>
      </x:c>
      <x:c r="C95" s="58" t="n">
        <x:v>33269</x:v>
      </x:c>
      <x:c r="D95" s="58" t="n">
        <x:v>38849</x:v>
      </x:c>
      <x:c r="E95" s="37" t="str">
        <x:v>Era</x:v>
      </x:c>
      <x:c r="F95" s="37" t="str">
        <x:v>Era 1: Party system — What party system structured opportunity and constraint?</x:v>
      </x:c>
      <x:c r="G95" s="37" t="str">
        <x:v>Material finding</x:v>
      </x:c>
      <x:c r="H95" s="37" t="str">
        <x:v>Bipolar DMK–AIADMK competition in Tamil Nadu and unstable coalition governments at the Union level increased regional-party leverage.</x:v>
      </x:c>
      <x:c r="I95" s="37" t="str">
        <x:v>Party competition and alliance structure</x:v>
      </x:c>
      <x:c r="J95" s="37" t="str">
        <x:v>Bipolar DMK–AIADMK competition in Tamil Nadu and unstable coalition governments at the Union level increased regional-party leverage.</x:v>
      </x:c>
      <x:c r="K95" s="37" t="str">
        <x:v>Liberalization, globalization and IT-led growth changed state competition for investment.</x:v>
      </x:c>
      <x:c r="L95" s="37" t="str">
        <x:v>Satellite television and family-linked media networks transformed campaign reach and intra-party power.</x:v>
      </x:c>
      <x:c r="M95" s="37" t="str">
        <x:v>Judicial review of Article 356 strengthened after Bommai; coalition bargaining widened federal influence.</x:v>
      </x:c>
      <x:c r="N95" s="37" t="str">
        <x:v>Gender norms affected access and representation but were rarely the sole driver.</x:v>
      </x:c>
      <x:c r="O95" s="37" t="str">
        <x:v>Language, caste, region and class were often more explicit axes of mobilization.</x:v>
      </x:c>
      <x:c r="P95" s="37" t="str">
        <x:v>Conditions stated in finding</x:v>
      </x:c>
      <x:c r="Q95" s="37" t="str">
        <x:v>Tamil Nadu chief ministers, regional-party leaders and opposition figures in the same period</x:v>
      </x:c>
      <x:c r="R95" s="37" t="str">
        <x:v>Assessment reconstructed from phase-specific records.</x:v>
      </x:c>
      <x:c r="S95" s="37" t="str">
        <x:v>Later scholarship evaluates institutional and distributional consequences.</x:v>
      </x:c>
      <x:c r="T95" s="37" t="str">
        <x:v>Use contemporaneous territorial names, feasible alternatives and institutional powers; context does not excuse rights violations or corruption.</x:v>
      </x:c>
      <x:c r="U95" s="37" t="str">
        <x:v>Digitization and source balance vary by phase.</x:v>
      </x:c>
      <x:c r="V95" s="37" t="str">
        <x:v>Analysis</x:v>
      </x:c>
      <x:c r="W95" s="37" t="str">
        <x:v>Multiple independent sources</x:v>
      </x:c>
      <x:c r="X95" s="37" t="str">
        <x:v>S04; S19; S22; S24; S25; S26</x:v>
      </x:c>
      <x:c r="Y95" s="37" t="str">
        <x:v>Broad phase synthesis; event-specific claims use narrower sources elsewhere.</x:v>
      </x:c>
    </x:row>
    <x:row r="96" ht="60" customHeight="1">
      <x:c r="A96" s="37" t="str">
        <x:v>X092</x:v>
      </x:c>
      <x:c r="B96" s="37" t="str">
        <x:v>Dismissal, reconstruction and coalition leverage</x:v>
      </x:c>
      <x:c r="C96" s="58" t="n">
        <x:v>33269</x:v>
      </x:c>
      <x:c r="D96" s="58" t="n">
        <x:v>38849</x:v>
      </x:c>
      <x:c r="E96" s="37" t="str">
        <x:v>Era</x:v>
      </x:c>
      <x:c r="F96" s="37" t="str">
        <x:v>Era 2: Constitutional and institutional environment — What was the executive, judicial, federal and civil-liberties setting?</x:v>
      </x:c>
      <x:c r="G96" s="37" t="str">
        <x:v>Material finding</x:v>
      </x:c>
      <x:c r="H96" s="37" t="str">
        <x:v>Judicial review of Article 356 strengthened after Bommai; coalition bargaining widened federal influence.</x:v>
      </x:c>
      <x:c r="I96" s="37" t="str">
        <x:v>Constitutional opportunity and constraint</x:v>
      </x:c>
      <x:c r="J96" s="37" t="str">
        <x:v>Bipolar DMK–AIADMK competition in Tamil Nadu and unstable coalition governments at the Union level increased regional-party leverage.</x:v>
      </x:c>
      <x:c r="K96" s="37" t="str">
        <x:v>Liberalization, globalization and IT-led growth changed state competition for investment.</x:v>
      </x:c>
      <x:c r="L96" s="37" t="str">
        <x:v>Satellite television and family-linked media networks transformed campaign reach and intra-party power.</x:v>
      </x:c>
      <x:c r="M96" s="37" t="str">
        <x:v>Judicial review of Article 356 strengthened after Bommai; coalition bargaining widened federal influence.</x:v>
      </x:c>
      <x:c r="N96" s="37" t="str">
        <x:v>Gender norms affected access and representation but were rarely the sole driver.</x:v>
      </x:c>
      <x:c r="O96" s="37" t="str">
        <x:v>Language, caste, region and class were often more explicit axes of mobilization.</x:v>
      </x:c>
      <x:c r="P96" s="37" t="str">
        <x:v>Conditions stated in finding</x:v>
      </x:c>
      <x:c r="Q96" s="37" t="str">
        <x:v>Tamil Nadu chief ministers, regional-party leaders and opposition figures in the same period</x:v>
      </x:c>
      <x:c r="R96" s="37" t="str">
        <x:v>Assessment reconstructed from phase-specific records.</x:v>
      </x:c>
      <x:c r="S96" s="37" t="str">
        <x:v>Later scholarship evaluates institutional and distributional consequences.</x:v>
      </x:c>
      <x:c r="T96" s="37" t="str">
        <x:v>Use contemporaneous territorial names, feasible alternatives and institutional powers; context does not excuse rights violations or corruption.</x:v>
      </x:c>
      <x:c r="U96" s="37" t="str">
        <x:v>Digitization and source balance vary by phase.</x:v>
      </x:c>
      <x:c r="V96" s="37" t="str">
        <x:v>Analysis</x:v>
      </x:c>
      <x:c r="W96" s="37" t="str">
        <x:v>Multiple independent sources</x:v>
      </x:c>
      <x:c r="X96" s="37" t="str">
        <x:v>S04; S19; S22; S24; S25; S26</x:v>
      </x:c>
      <x:c r="Y96" s="37" t="str">
        <x:v>Broad phase synthesis; event-specific claims use narrower sources elsewhere.</x:v>
      </x:c>
    </x:row>
    <x:row r="97" ht="60" customHeight="1">
      <x:c r="A97" s="37" t="str">
        <x:v>X093</x:v>
      </x:c>
      <x:c r="B97" s="37" t="str">
        <x:v>Dismissal, reconstruction and coalition leverage</x:v>
      </x:c>
      <x:c r="C97" s="58" t="n">
        <x:v>33269</x:v>
      </x:c>
      <x:c r="D97" s="58" t="n">
        <x:v>38849</x:v>
      </x:c>
      <x:c r="E97" s="37" t="str">
        <x:v>Era</x:v>
      </x:c>
      <x:c r="F97" s="37" t="str">
        <x:v>Era 3: Electoral environment — What election rules, boundaries, practices and data conditions applied?</x:v>
      </x:c>
      <x:c r="G97" s="37" t="str">
        <x:v>Material finding</x:v>
      </x:c>
      <x:c r="H97" s="37" t="str">
        <x:v>Stable bipolar competition coexisted with delimitation continuity and national coalition volatility; 1991 was shaped by dismissal and assassination shock.</x:v>
      </x:c>
      <x:c r="I97" s="37" t="str">
        <x:v>Franchise, competition and electoral shocks</x:v>
      </x:c>
      <x:c r="J97" s="37" t="str">
        <x:v>Bipolar DMK–AIADMK competition in Tamil Nadu and unstable coalition governments at the Union level increased regional-party leverage.</x:v>
      </x:c>
      <x:c r="K97" s="37" t="str">
        <x:v>Liberalization, globalization and IT-led growth changed state competition for investment.</x:v>
      </x:c>
      <x:c r="L97" s="37" t="str">
        <x:v>Satellite television and family-linked media networks transformed campaign reach and intra-party power.</x:v>
      </x:c>
      <x:c r="M97" s="37" t="str">
        <x:v>Judicial review of Article 356 strengthened after Bommai; coalition bargaining widened federal influence.</x:v>
      </x:c>
      <x:c r="N97" s="37" t="str">
        <x:v>Gender norms affected access and representation but were rarely the sole driver.</x:v>
      </x:c>
      <x:c r="O97" s="37" t="str">
        <x:v>Language, caste, region and class were often more explicit axes of mobilization.</x:v>
      </x:c>
      <x:c r="P97" s="37" t="str">
        <x:v>Conditions stated in finding</x:v>
      </x:c>
      <x:c r="Q97" s="37" t="str">
        <x:v>Tamil Nadu chief ministers, regional-party leaders and opposition figures in the same period</x:v>
      </x:c>
      <x:c r="R97" s="37" t="str">
        <x:v>Assessment reconstructed from phase-specific records.</x:v>
      </x:c>
      <x:c r="S97" s="37" t="str">
        <x:v>Later scholarship evaluates institutional and distributional consequences.</x:v>
      </x:c>
      <x:c r="T97" s="37" t="str">
        <x:v>Use contemporaneous territorial names, feasible alternatives and institutional powers; context does not excuse rights violations or corruption.</x:v>
      </x:c>
      <x:c r="U97" s="37" t="str">
        <x:v>Digitization and source balance vary by phase.</x:v>
      </x:c>
      <x:c r="V97" s="37" t="str">
        <x:v>Analysis</x:v>
      </x:c>
      <x:c r="W97" s="37" t="str">
        <x:v>Multiple independent sources</x:v>
      </x:c>
      <x:c r="X97" s="37" t="str">
        <x:v>S04; S19; S22; S24; S25; S26</x:v>
      </x:c>
      <x:c r="Y97" s="37" t="str">
        <x:v>Broad phase synthesis; event-specific claims use narrower sources elsewhere.</x:v>
      </x:c>
    </x:row>
    <x:row r="98" ht="60" customHeight="1">
      <x:c r="A98" s="37" t="str">
        <x:v>X094</x:v>
      </x:c>
      <x:c r="B98" s="37" t="str">
        <x:v>Dismissal, reconstruction and coalition leverage</x:v>
      </x:c>
      <x:c r="C98" s="58" t="n">
        <x:v>33269</x:v>
      </x:c>
      <x:c r="D98" s="58" t="n">
        <x:v>38849</x:v>
      </x:c>
      <x:c r="E98" s="37" t="str">
        <x:v>Era</x:v>
      </x:c>
      <x:c r="F98" s="37" t="str">
        <x:v>Era 4: Economic regime — What economic regime framed policy choices?</x:v>
      </x:c>
      <x:c r="G98" s="37" t="str">
        <x:v>Material finding</x:v>
      </x:c>
      <x:c r="H98" s="37" t="str">
        <x:v>Liberalization, globalization and IT-led growth changed state competition for investment.</x:v>
      </x:c>
      <x:c r="I98" s="37" t="str">
        <x:v>Economic regime and feasible policy set</x:v>
      </x:c>
      <x:c r="J98" s="37" t="str">
        <x:v>Bipolar DMK–AIADMK competition in Tamil Nadu and unstable coalition governments at the Union level increased regional-party leverage.</x:v>
      </x:c>
      <x:c r="K98" s="37" t="str">
        <x:v>Liberalization, globalization and IT-led growth changed state competition for investment.</x:v>
      </x:c>
      <x:c r="L98" s="37" t="str">
        <x:v>Satellite television and family-linked media networks transformed campaign reach and intra-party power.</x:v>
      </x:c>
      <x:c r="M98" s="37" t="str">
        <x:v>Judicial review of Article 356 strengthened after Bommai; coalition bargaining widened federal influence.</x:v>
      </x:c>
      <x:c r="N98" s="37" t="str">
        <x:v>Gender norms affected access and representation but were rarely the sole driver.</x:v>
      </x:c>
      <x:c r="O98" s="37" t="str">
        <x:v>Language, caste, region and class were often more explicit axes of mobilization.</x:v>
      </x:c>
      <x:c r="P98" s="37" t="str">
        <x:v>Conditions stated in finding</x:v>
      </x:c>
      <x:c r="Q98" s="37" t="str">
        <x:v>Tamil Nadu chief ministers, regional-party leaders and opposition figures in the same period</x:v>
      </x:c>
      <x:c r="R98" s="37" t="str">
        <x:v>Assessment reconstructed from phase-specific records.</x:v>
      </x:c>
      <x:c r="S98" s="37" t="str">
        <x:v>Later scholarship evaluates institutional and distributional consequences.</x:v>
      </x:c>
      <x:c r="T98" s="37" t="str">
        <x:v>Use contemporaneous territorial names, feasible alternatives and institutional powers; context does not excuse rights violations or corruption.</x:v>
      </x:c>
      <x:c r="U98" s="37" t="str">
        <x:v>Digitization and source balance vary by phase.</x:v>
      </x:c>
      <x:c r="V98" s="37" t="str">
        <x:v>Analysis</x:v>
      </x:c>
      <x:c r="W98" s="37" t="str">
        <x:v>Multiple independent sources</x:v>
      </x:c>
      <x:c r="X98" s="37" t="str">
        <x:v>S04; S19; S22; S24; S25; S26</x:v>
      </x:c>
      <x:c r="Y98" s="37" t="str">
        <x:v>Broad phase synthesis; event-specific claims use narrower sources elsewhere.</x:v>
      </x:c>
    </x:row>
    <x:row r="99" ht="60" customHeight="1">
      <x:c r="A99" s="37" t="str">
        <x:v>X095</x:v>
      </x:c>
      <x:c r="B99" s="37" t="str">
        <x:v>Dismissal, reconstruction and coalition leverage</x:v>
      </x:c>
      <x:c r="C99" s="58" t="n">
        <x:v>33269</x:v>
      </x:c>
      <x:c r="D99" s="58" t="n">
        <x:v>38849</x:v>
      </x:c>
      <x:c r="E99" s="37" t="str">
        <x:v>Era</x:v>
      </x:c>
      <x:c r="F99" s="37" t="str">
        <x:v>Era 5: International system — What international conditions materially mattered?</x:v>
      </x:c>
      <x:c r="G99" s="37" t="str">
        <x:v>Material finding</x:v>
      </x:c>
      <x:c r="H99" s="37" t="str">
        <x:v>Post-Soviet globalization, Sri Lankan civil war and India's economic opening expanded both regional influence and security constraints.</x:v>
      </x:c>
      <x:c r="I99" s="37" t="str">
        <x:v>International events affecting state politics</x:v>
      </x:c>
      <x:c r="J99" s="37" t="str">
        <x:v>Bipolar DMK–AIADMK competition in Tamil Nadu and unstable coalition governments at the Union level increased regional-party leverage.</x:v>
      </x:c>
      <x:c r="K99" s="37" t="str">
        <x:v>Liberalization, globalization and IT-led growth changed state competition for investment.</x:v>
      </x:c>
      <x:c r="L99" s="37" t="str">
        <x:v>Satellite television and family-linked media networks transformed campaign reach and intra-party power.</x:v>
      </x:c>
      <x:c r="M99" s="37" t="str">
        <x:v>Judicial review of Article 356 strengthened after Bommai; coalition bargaining widened federal influence.</x:v>
      </x:c>
      <x:c r="N99" s="37" t="str">
        <x:v>Gender norms affected access and representation but were rarely the sole driver.</x:v>
      </x:c>
      <x:c r="O99" s="37" t="str">
        <x:v>Language, caste, region and class were often more explicit axes of mobilization.</x:v>
      </x:c>
      <x:c r="P99" s="37" t="str">
        <x:v>Conditions stated in finding</x:v>
      </x:c>
      <x:c r="Q99" s="37" t="str">
        <x:v>Tamil Nadu chief ministers, regional-party leaders and opposition figures in the same period</x:v>
      </x:c>
      <x:c r="R99" s="37" t="str">
        <x:v>Assessment reconstructed from phase-specific records.</x:v>
      </x:c>
      <x:c r="S99" s="37" t="str">
        <x:v>Later scholarship evaluates institutional and distributional consequences.</x:v>
      </x:c>
      <x:c r="T99" s="37" t="str">
        <x:v>Use contemporaneous territorial names, feasible alternatives and institutional powers; context does not excuse rights violations or corruption.</x:v>
      </x:c>
      <x:c r="U99" s="37" t="str">
        <x:v>Digitization and source balance vary by phase.</x:v>
      </x:c>
      <x:c r="V99" s="37" t="str">
        <x:v>Analysis</x:v>
      </x:c>
      <x:c r="W99" s="37" t="str">
        <x:v>Multiple independent sources</x:v>
      </x:c>
      <x:c r="X99" s="37" t="str">
        <x:v>S04; S19; S22; S24; S25; S26</x:v>
      </x:c>
      <x:c r="Y99" s="37" t="str">
        <x:v>Broad phase synthesis; event-specific claims use narrower sources elsewhere.</x:v>
      </x:c>
    </x:row>
    <x:row r="100" ht="60" customHeight="1">
      <x:c r="A100" s="37" t="str">
        <x:v>X096</x:v>
      </x:c>
      <x:c r="B100" s="37" t="str">
        <x:v>Dismissal, reconstruction and coalition leverage</x:v>
      </x:c>
      <x:c r="C100" s="58" t="n">
        <x:v>33269</x:v>
      </x:c>
      <x:c r="D100" s="58" t="n">
        <x:v>38849</x:v>
      </x:c>
      <x:c r="E100" s="37" t="str">
        <x:v>Era</x:v>
      </x:c>
      <x:c r="F100" s="37" t="str">
        <x:v>Era 6: Media and campaign environment — Which media and campaign technologies structured politics?</x:v>
      </x:c>
      <x:c r="G100" s="37" t="str">
        <x:v>Material finding</x:v>
      </x:c>
      <x:c r="H100" s="37" t="str">
        <x:v>Satellite television and family-linked media networks transformed campaign reach and intra-party power.</x:v>
      </x:c>
      <x:c r="I100" s="37" t="str">
        <x:v>Communication technology and gatekeeping</x:v>
      </x:c>
      <x:c r="J100" s="37" t="str">
        <x:v>Bipolar DMK–AIADMK competition in Tamil Nadu and unstable coalition governments at the Union level increased regional-party leverage.</x:v>
      </x:c>
      <x:c r="K100" s="37" t="str">
        <x:v>Liberalization, globalization and IT-led growth changed state competition for investment.</x:v>
      </x:c>
      <x:c r="L100" s="37" t="str">
        <x:v>Satellite television and family-linked media networks transformed campaign reach and intra-party power.</x:v>
      </x:c>
      <x:c r="M100" s="37" t="str">
        <x:v>Judicial review of Article 356 strengthened after Bommai; coalition bargaining widened federal influence.</x:v>
      </x:c>
      <x:c r="N100" s="37" t="str">
        <x:v>Gender norms affected access and representation but were rarely the sole driver.</x:v>
      </x:c>
      <x:c r="O100" s="37" t="str">
        <x:v>Language, caste, region and class were often more explicit axes of mobilization.</x:v>
      </x:c>
      <x:c r="P100" s="37" t="str">
        <x:v>Conditions stated in finding</x:v>
      </x:c>
      <x:c r="Q100" s="37" t="str">
        <x:v>Tamil Nadu chief ministers, regional-party leaders and opposition figures in the same period</x:v>
      </x:c>
      <x:c r="R100" s="37" t="str">
        <x:v>Assessment reconstructed from phase-specific records.</x:v>
      </x:c>
      <x:c r="S100" s="37" t="str">
        <x:v>Later scholarship evaluates institutional and distributional consequences.</x:v>
      </x:c>
      <x:c r="T100" s="37" t="str">
        <x:v>Use contemporaneous territorial names, feasible alternatives and institutional powers; context does not excuse rights violations or corruption.</x:v>
      </x:c>
      <x:c r="U100" s="37" t="str">
        <x:v>Digitization and source balance vary by phase.</x:v>
      </x:c>
      <x:c r="V100" s="37" t="str">
        <x:v>Analysis</x:v>
      </x:c>
      <x:c r="W100" s="37" t="str">
        <x:v>Multiple independent sources</x:v>
      </x:c>
      <x:c r="X100" s="37" t="str">
        <x:v>S04; S19; S22; S24; S25; S26</x:v>
      </x:c>
      <x:c r="Y100" s="37" t="str">
        <x:v>Broad phase synthesis; event-specific claims use narrower sources elsewhere.</x:v>
      </x:c>
    </x:row>
    <x:row r="101" ht="60" customHeight="1">
      <x:c r="A101" s="37" t="str">
        <x:v>X097</x:v>
      </x:c>
      <x:c r="B101" s="37" t="str">
        <x:v>Dismissal, reconstruction and coalition leverage</x:v>
      </x:c>
      <x:c r="C101" s="58" t="n">
        <x:v>33269</x:v>
      </x:c>
      <x:c r="D101" s="58" t="n">
        <x:v>38849</x:v>
      </x:c>
      <x:c r="E101" s="37" t="str">
        <x:v>Era</x:v>
      </x:c>
      <x:c r="F101" s="37" t="str">
        <x:v>Era 7: Political organization — What organizational form carried power?</x:v>
      </x:c>
      <x:c r="G101" s="37" t="str">
        <x:v>Material finding</x:v>
      </x:c>
      <x:c r="H101" s="37" t="str">
        <x:v>Cadre organization combined with coalition brokerage and satellite-media networks; family-linked nodes grew more important.</x:v>
      </x:c>
      <x:c r="I101" s="37" t="str">
        <x:v>Organizational capacity</x:v>
      </x:c>
      <x:c r="J101" s="37" t="str">
        <x:v>Bipolar DMK–AIADMK competition in Tamil Nadu and unstable coalition governments at the Union level increased regional-party leverage.</x:v>
      </x:c>
      <x:c r="K101" s="37" t="str">
        <x:v>Liberalization, globalization and IT-led growth changed state competition for investment.</x:v>
      </x:c>
      <x:c r="L101" s="37" t="str">
        <x:v>Satellite television and family-linked media networks transformed campaign reach and intra-party power.</x:v>
      </x:c>
      <x:c r="M101" s="37" t="str">
        <x:v>Judicial review of Article 356 strengthened after Bommai; coalition bargaining widened federal influence.</x:v>
      </x:c>
      <x:c r="N101" s="37" t="str">
        <x:v>Gender norms affected access and representation but were rarely the sole driver.</x:v>
      </x:c>
      <x:c r="O101" s="37" t="str">
        <x:v>Language, caste, region and class were often more explicit axes of mobilization.</x:v>
      </x:c>
      <x:c r="P101" s="37" t="str">
        <x:v>Conditions stated in finding</x:v>
      </x:c>
      <x:c r="Q101" s="37" t="str">
        <x:v>Tamil Nadu chief ministers, regional-party leaders and opposition figures in the same period</x:v>
      </x:c>
      <x:c r="R101" s="37" t="str">
        <x:v>Assessment reconstructed from phase-specific records.</x:v>
      </x:c>
      <x:c r="S101" s="37" t="str">
        <x:v>Later scholarship evaluates institutional and distributional consequences.</x:v>
      </x:c>
      <x:c r="T101" s="37" t="str">
        <x:v>Use contemporaneous territorial names, feasible alternatives and institutional powers; context does not excuse rights violations or corruption.</x:v>
      </x:c>
      <x:c r="U101" s="37" t="str">
        <x:v>Digitization and source balance vary by phase.</x:v>
      </x:c>
      <x:c r="V101" s="37" t="str">
        <x:v>Analysis</x:v>
      </x:c>
      <x:c r="W101" s="37" t="str">
        <x:v>Multiple independent sources</x:v>
      </x:c>
      <x:c r="X101" s="37" t="str">
        <x:v>S04; S19; S22; S24; S25; S26</x:v>
      </x:c>
      <x:c r="Y101" s="37" t="str">
        <x:v>Broad phase synthesis; event-specific claims use narrower sources elsewhere.</x:v>
      </x:c>
    </x:row>
    <x:row r="102" ht="60" customHeight="1">
      <x:c r="A102" s="37" t="str">
        <x:v>X098</x:v>
      </x:c>
      <x:c r="B102" s="37" t="str">
        <x:v>Dismissal, reconstruction and coalition leverage</x:v>
      </x:c>
      <x:c r="C102" s="58" t="n">
        <x:v>33269</x:v>
      </x:c>
      <x:c r="D102" s="58" t="n">
        <x:v>38849</x:v>
      </x:c>
      <x:c r="E102" s="37" t="str">
        <x:v>Era</x:v>
      </x:c>
      <x:c r="F102" s="37" t="str">
        <x:v>Era 8: Social environment — Which caste, language, religion, class or gender conditions mattered?</x:v>
      </x:c>
      <x:c r="G102" s="37" t="str">
        <x:v>Material finding</x:v>
      </x:c>
      <x:c r="H102" s="37" t="str">
        <x:v>Liberalization, caste-based parties, urban growth, Dalit assertion and women's local representation complicated the broad Dravidian coalition.</x:v>
      </x:c>
      <x:c r="I102" s="37" t="str">
        <x:v>Social coalition and conflict</x:v>
      </x:c>
      <x:c r="J102" s="37" t="str">
        <x:v>Bipolar DMK–AIADMK competition in Tamil Nadu and unstable coalition governments at the Union level increased regional-party leverage.</x:v>
      </x:c>
      <x:c r="K102" s="37" t="str">
        <x:v>Liberalization, globalization and IT-led growth changed state competition for investment.</x:v>
      </x:c>
      <x:c r="L102" s="37" t="str">
        <x:v>Satellite television and family-linked media networks transformed campaign reach and intra-party power.</x:v>
      </x:c>
      <x:c r="M102" s="37" t="str">
        <x:v>Judicial review of Article 356 strengthened after Bommai; coalition bargaining widened federal influence.</x:v>
      </x:c>
      <x:c r="N102" s="37" t="str">
        <x:v>Gender norms affected access and representation but were rarely the sole driver.</x:v>
      </x:c>
      <x:c r="O102" s="37" t="str">
        <x:v>Language, caste, region and class were often more explicit axes of mobilization.</x:v>
      </x:c>
      <x:c r="P102" s="37" t="str">
        <x:v>Conditions stated in finding</x:v>
      </x:c>
      <x:c r="Q102" s="37" t="str">
        <x:v>Tamil Nadu chief ministers, regional-party leaders and opposition figures in the same period</x:v>
      </x:c>
      <x:c r="R102" s="37" t="str">
        <x:v>Assessment reconstructed from phase-specific records.</x:v>
      </x:c>
      <x:c r="S102" s="37" t="str">
        <x:v>Later scholarship evaluates institutional and distributional consequences.</x:v>
      </x:c>
      <x:c r="T102" s="37" t="str">
        <x:v>Use contemporaneous territorial names, feasible alternatives and institutional powers; context does not excuse rights violations or corruption.</x:v>
      </x:c>
      <x:c r="U102" s="37" t="str">
        <x:v>Digitization and source balance vary by phase.</x:v>
      </x:c>
      <x:c r="V102" s="37" t="str">
        <x:v>Analysis</x:v>
      </x:c>
      <x:c r="W102" s="37" t="str">
        <x:v>Multiple independent sources</x:v>
      </x:c>
      <x:c r="X102" s="37" t="str">
        <x:v>S04; S19; S22; S24; S25; S26</x:v>
      </x:c>
      <x:c r="Y102" s="37" t="str">
        <x:v>Broad phase synthesis; event-specific claims use narrower sources elsewhere.</x:v>
      </x:c>
    </x:row>
    <x:row r="103" ht="60" customHeight="1">
      <x:c r="A103" s="37" t="str">
        <x:v>X099</x:v>
      </x:c>
      <x:c r="B103" s="37" t="str">
        <x:v>Dismissal, reconstruction and coalition leverage</x:v>
      </x:c>
      <x:c r="C103" s="58" t="n">
        <x:v>33269</x:v>
      </x:c>
      <x:c r="D103" s="58" t="n">
        <x:v>38849</x:v>
      </x:c>
      <x:c r="E103" s="37" t="str">
        <x:v>Era</x:v>
      </x:c>
      <x:c r="F103" s="37" t="str">
        <x:v>Era 9: State structure and political geography — How did boundaries and Centre–State relations matter?</x:v>
      </x:c>
      <x:c r="G103" s="37" t="str">
        <x:v>Material finding</x:v>
      </x:c>
      <x:c r="H103" s="37" t="str">
        <x:v>Bommai-era judicial doctrine and coalition government strengthened state-party leverage without eliminating central powers.</x:v>
      </x:c>
      <x:c r="I103" s="37" t="str">
        <x:v>Territory and federal power</x:v>
      </x:c>
      <x:c r="J103" s="37" t="str">
        <x:v>Bipolar DMK–AIADMK competition in Tamil Nadu and unstable coalition governments at the Union level increased regional-party leverage.</x:v>
      </x:c>
      <x:c r="K103" s="37" t="str">
        <x:v>Liberalization, globalization and IT-led growth changed state competition for investment.</x:v>
      </x:c>
      <x:c r="L103" s="37" t="str">
        <x:v>Satellite television and family-linked media networks transformed campaign reach and intra-party power.</x:v>
      </x:c>
      <x:c r="M103" s="37" t="str">
        <x:v>Judicial review of Article 356 strengthened after Bommai; coalition bargaining widened federal influence.</x:v>
      </x:c>
      <x:c r="N103" s="37" t="str">
        <x:v>Gender norms affected access and representation but were rarely the sole driver.</x:v>
      </x:c>
      <x:c r="O103" s="37" t="str">
        <x:v>Language, caste, region and class were often more explicit axes of mobilization.</x:v>
      </x:c>
      <x:c r="P103" s="37" t="str">
        <x:v>Conditions stated in finding</x:v>
      </x:c>
      <x:c r="Q103" s="37" t="str">
        <x:v>Tamil Nadu chief ministers, regional-party leaders and opposition figures in the same period</x:v>
      </x:c>
      <x:c r="R103" s="37" t="str">
        <x:v>Assessment reconstructed from phase-specific records.</x:v>
      </x:c>
      <x:c r="S103" s="37" t="str">
        <x:v>Later scholarship evaluates institutional and distributional consequences.</x:v>
      </x:c>
      <x:c r="T103" s="37" t="str">
        <x:v>Use contemporaneous territorial names, feasible alternatives and institutional powers; context does not excuse rights violations or corruption.</x:v>
      </x:c>
      <x:c r="U103" s="37" t="str">
        <x:v>Digitization and source balance vary by phase.</x:v>
      </x:c>
      <x:c r="V103" s="37" t="str">
        <x:v>Analysis</x:v>
      </x:c>
      <x:c r="W103" s="37" t="str">
        <x:v>Multiple independent sources</x:v>
      </x:c>
      <x:c r="X103" s="37" t="str">
        <x:v>S04; S19; S22; S24; S25; S26</x:v>
      </x:c>
      <x:c r="Y103" s="37" t="str">
        <x:v>Broad phase synthesis; event-specific claims use narrower sources elsewhere.</x:v>
      </x:c>
    </x:row>
    <x:row r="104" ht="60" customHeight="1">
      <x:c r="A104" s="37" t="str">
        <x:v>X100</x:v>
      </x:c>
      <x:c r="B104" s="37" t="str">
        <x:v>Dismissal, reconstruction and coalition leverage</x:v>
      </x:c>
      <x:c r="C104" s="58" t="n">
        <x:v>33269</x:v>
      </x:c>
      <x:c r="D104" s="58" t="n">
        <x:v>38849</x:v>
      </x:c>
      <x:c r="E104" s="37" t="str">
        <x:v>Era</x:v>
      </x:c>
      <x:c r="F104" s="37" t="str">
        <x:v>Era 10: Evidence environment — What source limitations shape retrospective assessment?</x:v>
      </x:c>
      <x:c r="G104" s="37" t="str">
        <x:v>Research limitation</x:v>
      </x:c>
      <x:c r="H104" s="37" t="str">
        <x:v>National and regional journalism is richer, yet family-media concentration and polarized corruption reporting create source bias.</x:v>
      </x:c>
      <x:c r="I104" s="37" t="str">
        <x:v>Archival survival and source bias</x:v>
      </x:c>
      <x:c r="J104" s="37" t="str">
        <x:v>Bipolar DMK–AIADMK competition in Tamil Nadu and unstable coalition governments at the Union level increased regional-party leverage.</x:v>
      </x:c>
      <x:c r="K104" s="37" t="str">
        <x:v>Liberalization, globalization and IT-led growth changed state competition for investment.</x:v>
      </x:c>
      <x:c r="L104" s="37" t="str">
        <x:v>Satellite television and family-linked media networks transformed campaign reach and intra-party power.</x:v>
      </x:c>
      <x:c r="M104" s="37" t="str">
        <x:v>Judicial review of Article 356 strengthened after Bommai; coalition bargaining widened federal influence.</x:v>
      </x:c>
      <x:c r="N104" s="37" t="str">
        <x:v>Gender norms affected access and representation but were rarely the sole driver.</x:v>
      </x:c>
      <x:c r="O104" s="37" t="str">
        <x:v>Language, caste, region and class were often more explicit axes of mobilization.</x:v>
      </x:c>
      <x:c r="P104" s="37" t="str">
        <x:v>Conditions stated in finding</x:v>
      </x:c>
      <x:c r="Q104" s="37" t="str">
        <x:v>Tamil Nadu chief ministers, regional-party leaders and opposition figures in the same period</x:v>
      </x:c>
      <x:c r="R104" s="37" t="str">
        <x:v>Assessment reconstructed from phase-specific records.</x:v>
      </x:c>
      <x:c r="S104" s="37" t="str">
        <x:v>Later scholarship evaluates institutional and distributional consequences.</x:v>
      </x:c>
      <x:c r="T104" s="37" t="str">
        <x:v>Use contemporaneous territorial names, feasible alternatives and institutional powers; context does not excuse rights violations or corruption.</x:v>
      </x:c>
      <x:c r="U104" s="37" t="str">
        <x:v>National and regional journalism is richer, yet family-media concentration and polarized corruption reporting create source bias.</x:v>
      </x:c>
      <x:c r="V104" s="37" t="str">
        <x:v>Analysis</x:v>
      </x:c>
      <x:c r="W104" s="37" t="str">
        <x:v>Multiple independent sources</x:v>
      </x:c>
      <x:c r="X104" s="37" t="str">
        <x:v>S04; S19; S22; S24; S25; S26</x:v>
      </x:c>
      <x:c r="Y104" s="37" t="str">
        <x:v>Broad phase synthesis; event-specific claims use narrower sources elsewhere.</x:v>
      </x:c>
    </x:row>
    <x:row r="105" ht="60" customHeight="1">
      <x:c r="A105" s="37" t="str">
        <x:v>X101</x:v>
      </x:c>
      <x:c r="B105" s="37" t="str">
        <x:v>Minority government, succession and final years</x:v>
      </x:c>
      <x:c r="C105" s="58" t="n">
        <x:v>38850</x:v>
      </x:c>
      <x:c r="D105" s="58" t="n">
        <x:v>43319</x:v>
      </x:c>
      <x:c r="E105" s="37" t="str">
        <x:v>Gender</x:v>
      </x:c>
      <x:c r="F105" s="37" t="str">
        <x:v>Gender 1: Entry and advancement — Did gender affect recruitment, candidacy, nominations or advancement?</x:v>
      </x:c>
      <x:c r="G105" s="37" t="str">
        <x:v>Research limitation</x:v>
      </x:c>
      <x:c r="H105" s="37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I105" s="37" t="str">
        <x:v>Party and public-sphere access</x:v>
      </x:c>
      <x:c r="J105" s="37" t="str">
        <x:v>Competitive bipolar state politics operated within UPA-era coalition government, followed by BJP national dominance after 2014.</x:v>
      </x:c>
      <x:c r="K105" s="37" t="str">
        <x:v>High-growth globalization, welfare expansion, the 2008 crisis and early digital governance shaped policy choices.</x:v>
      </x:c>
      <x:c r="L105" s="37" t="str">
        <x:v>24-hour news, Sun Network power, mobile communication and emerging social media intensified scrutiny.</x:v>
      </x:c>
      <x:c r="M105" s="37" t="str">
        <x:v>A minority state government depended on legislative allies; courts, audit institutions and coalition partners constrained action.</x:v>
      </x:c>
      <x:c r="N105" s="37" t="str">
        <x:v>Karunanidhi entered and advanced in a male-dominated movement and party. Available sources do not isolate a specific male-gender advantage from his writing, caste location, mentorship and organization; women faced much narrower leadership pathways in the same institutions.</x:v>
      </x:c>
      <x:c r="O105" s="37" t="str">
        <x:v>Caste, language, class and family networks are assessed only where evidenced.</x:v>
      </x:c>
      <x:c r="P105" s="37" t="str">
        <x:v>Male-dominated party and electoral institutions</x:v>
      </x:c>
      <x:c r="Q105" s="37" t="str">
        <x:v>Comparable Tamil Nadu party leaders and office-holders in the same phase</x:v>
      </x:c>
      <x:c r="R105" s="37" t="str">
        <x:v>Contemporary coverage rarely isolated male privilege as an analytical category.</x:v>
      </x:c>
      <x:c r="S105" s="37" t="str">
        <x:v>Later gender analysis distinguishes concrete policy effects from male-dominated organization.</x:v>
      </x:c>
      <x:c r="T105" s="37" t="str">
        <x:v>Avoid projecting today's language of representation backward without losing the underlying inequality.</x:v>
      </x:c>
      <x:c r="U105" s="37" t="str">
        <x:v>Women-specific party records and gender-disaggregated leadership data are incomplete.</x:v>
      </x:c>
      <x:c r="V105" s="37" t="str">
        <x:v>Analysis</x:v>
      </x:c>
      <x:c r="W105" s="37" t="str">
        <x:v>Single credible source</x:v>
      </x:c>
      <x:c r="X105" s="37" t="str">
        <x:v>S04; S09; S20; S21; S22; S27; S10; S27</x:v>
      </x:c>
      <x:c r="Y105" s="37" t="str">
        <x:v>Disposition reflects reviewed evidence; absence of evidence is not proof of absence.</x:v>
      </x:c>
    </x:row>
    <x:row r="106" ht="60" customHeight="1">
      <x:c r="A106" s="37" t="str">
        <x:v>X102</x:v>
      </x:c>
      <x:c r="B106" s="37" t="str">
        <x:v>Minority government, succession and final years</x:v>
      </x:c>
      <x:c r="C106" s="58" t="n">
        <x:v>38850</x:v>
      </x:c>
      <x:c r="D106" s="58" t="n">
        <x:v>43319</x:v>
      </x:c>
      <x:c r="E106" s="37" t="str">
        <x:v>Gender</x:v>
      </x:c>
      <x:c r="F106" s="37" t="str">
        <x:v>Gender 2: Milestones — Were there gender-related firsts or representative milestones?</x:v>
      </x:c>
      <x:c r="G106" s="37" t="str">
        <x:v>Not materially relevant</x:v>
      </x:c>
      <x:c r="H106" s="37" t="str">
        <x:v>No gender-related first attached to Karunanidhi's own offices in this phase. The relevant milestone question concerns policies or the underrepresentation of women around him, not his descriptive representation.</x:v>
      </x:c>
      <x:c r="I106" s="37" t="str">
        <x:v>No personal milestone</x:v>
      </x:c>
      <x:c r="J106" s="37" t="str">
        <x:v>Competitive bipolar state politics operated within UPA-era coalition government, followed by BJP national dominance after 2014.</x:v>
      </x:c>
      <x:c r="K106" s="37" t="str">
        <x:v>High-growth globalization, welfare expansion, the 2008 crisis and early digital governance shaped policy choices.</x:v>
      </x:c>
      <x:c r="L106" s="37" t="str">
        <x:v>24-hour news, Sun Network power, mobile communication and emerging social media intensified scrutiny.</x:v>
      </x:c>
      <x:c r="M106" s="37" t="str">
        <x:v>A minority state government depended on legislative allies; courts, audit institutions and coalition partners constrained action.</x:v>
      </x:c>
      <x:c r="N106" s="37" t="str">
        <x:v>No gender-related first attached to Karunanidhi's own offices in this phase. The relevant milestone question concerns policies or the underrepresentation of women around him, not his descriptive representation.</x:v>
      </x:c>
      <x:c r="O106" s="37" t="str">
        <x:v>Caste, language, class and family networks are assessed only where evidenced.</x:v>
      </x:c>
      <x:c r="P106" s="37" t="str">
        <x:v>Male-dominated party and electoral institutions</x:v>
      </x:c>
      <x:c r="Q106" s="37" t="str">
        <x:v>Comparable Tamil Nadu party leaders and office-holders in the same phase</x:v>
      </x:c>
      <x:c r="R106" s="37" t="str">
        <x:v>Contemporary coverage rarely isolated male privilege as an analytical category.</x:v>
      </x:c>
      <x:c r="S106" s="37" t="str">
        <x:v>Later gender analysis distinguishes concrete policy effects from male-dominated organization.</x:v>
      </x:c>
      <x:c r="T106" s="37" t="str">
        <x:v>Avoid projecting today's language of representation backward without losing the underlying inequality.</x:v>
      </x:c>
      <x:c r="U106" s="37" t="str">
        <x:v>Women-specific party records and gender-disaggregated leadership data are incomplete.</x:v>
      </x:c>
      <x:c r="V106" s="37" t="str">
        <x:v>Analysis</x:v>
      </x:c>
      <x:c r="W106" s="37" t="str">
        <x:v>Multiple independent sources</x:v>
      </x:c>
      <x:c r="X106" s="37" t="str">
        <x:v>S04; S09; S20; S21; S22; S27; S10; S27</x:v>
      </x:c>
      <x:c r="Y106" s="37" t="str">
        <x:v>Disposition reflects reviewed evidence; absence of evidence is not proof of absence.</x:v>
      </x:c>
    </x:row>
    <x:row r="107" ht="60" customHeight="1">
      <x:c r="A107" s="37" t="str">
        <x:v>X103</x:v>
      </x:c>
      <x:c r="B107" s="37" t="str">
        <x:v>Minority government, succession and final years</x:v>
      </x:c>
      <x:c r="C107" s="58" t="n">
        <x:v>38850</x:v>
      </x:c>
      <x:c r="D107" s="58" t="n">
        <x:v>43319</x:v>
      </x:c>
      <x:c r="E107" s="37" t="str">
        <x:v>Gender</x:v>
      </x:c>
      <x:c r="F107" s="37" t="str">
        <x:v>Gender 3: Networks and pathways — Did family, patronage, marriage or mentorship operate through gendered pathways?</x:v>
      </x:c>
      <x:c r="G107" s="37" t="str">
        <x:v>Material finding</x:v>
      </x:c>
      <x:c r="H107" s="37" t="str">
        <x:v>Family networks increasingly structured party, media and succession roles. Sons were more directly positioned in territorial party organization, while Kanimozhi's route combined literary, media and parliamentary roles; the evidence supports a dynastic finding more strongly than a purely gender-causal one.</x:v>
      </x:c>
      <x:c r="I107" s="37" t="str">
        <x:v>Networks and succession</x:v>
      </x:c>
      <x:c r="J107" s="37" t="str">
        <x:v>Competitive bipolar state politics operated within UPA-era coalition government, followed by BJP national dominance after 2014.</x:v>
      </x:c>
      <x:c r="K107" s="37" t="str">
        <x:v>High-growth globalization, welfare expansion, the 2008 crisis and early digital governance shaped policy choices.</x:v>
      </x:c>
      <x:c r="L107" s="37" t="str">
        <x:v>24-hour news, Sun Network power, mobile communication and emerging social media intensified scrutiny.</x:v>
      </x:c>
      <x:c r="M107" s="37" t="str">
        <x:v>A minority state government depended on legislative allies; courts, audit institutions and coalition partners constrained action.</x:v>
      </x:c>
      <x:c r="N107" s="37" t="str">
        <x:v>Family networks increasingly structured party, media and succession roles. Sons were more directly positioned in territorial party organization, while Kanimozhi's route combined literary, media and parliamentary roles; the evidence supports a dynastic finding more strongly than a purely gender-causal one.</x:v>
      </x:c>
      <x:c r="O107" s="37" t="str">
        <x:v>Caste, language, class and family networks are assessed only where evidenced.</x:v>
      </x:c>
      <x:c r="P107" s="37" t="str">
        <x:v>Male-dominated party and electoral institutions</x:v>
      </x:c>
      <x:c r="Q107" s="37" t="str">
        <x:v>Comparable Tamil Nadu party leaders and office-holders in the same phase</x:v>
      </x:c>
      <x:c r="R107" s="37" t="str">
        <x:v>Contemporary coverage rarely isolated male privilege as an analytical category.</x:v>
      </x:c>
      <x:c r="S107" s="37" t="str">
        <x:v>Later gender analysis distinguishes concrete policy effects from male-dominated organization.</x:v>
      </x:c>
      <x:c r="T107" s="37" t="str">
        <x:v>Avoid projecting today's language of representation backward without losing the underlying inequality.</x:v>
      </x:c>
      <x:c r="U107" s="37" t="str">
        <x:v>Women-specific party records and gender-disaggregated leadership data are incomplete.</x:v>
      </x:c>
      <x:c r="V107" s="37" t="str">
        <x:v>Analysis</x:v>
      </x:c>
      <x:c r="W107" s="37" t="str">
        <x:v>Single credible source</x:v>
      </x:c>
      <x:c r="X107" s="37" t="str">
        <x:v>S04; S09; S20; S21; S22; S27; S10; S27</x:v>
      </x:c>
      <x:c r="Y107" s="37" t="str">
        <x:v>Disposition reflects reviewed evidence; absence of evidence is not proof of absence.</x:v>
      </x:c>
    </x:row>
    <x:row r="108" ht="60" customHeight="1">
      <x:c r="A108" s="37" t="str">
        <x:v>X104</x:v>
      </x:c>
      <x:c r="B108" s="37" t="str">
        <x:v>Minority government, succession and final years</x:v>
      </x:c>
      <x:c r="C108" s="58" t="n">
        <x:v>38850</x:v>
      </x:c>
      <x:c r="D108" s="58" t="n">
        <x:v>43319</x:v>
      </x:c>
      <x:c r="E108" s="37" t="str">
        <x:v>Gender</x:v>
      </x:c>
      <x:c r="F108" s="37" t="str">
        <x:v>Gender 4: Role and portfolio allocation — Did gender expectations affect offices or portfolios?</x:v>
      </x:c>
      <x:c r="G108" s="37" t="str">
        <x:v>Material finding</x:v>
      </x:c>
      <x:c r="H108" s="37" t="str">
        <x:v>The cabinets and DMK's highest organizational tier remained predominantly male. Karunanidhi himself held core executive and infrastructure authority; evidence for phase-specific portfolio allocation caused by his gender is indirect rather than event-specific.</x:v>
      </x:c>
      <x:c r="I108" s="37" t="str">
        <x:v>Leadership allocation</x:v>
      </x:c>
      <x:c r="J108" s="37" t="str">
        <x:v>Competitive bipolar state politics operated within UPA-era coalition government, followed by BJP national dominance after 2014.</x:v>
      </x:c>
      <x:c r="K108" s="37" t="str">
        <x:v>High-growth globalization, welfare expansion, the 2008 crisis and early digital governance shaped policy choices.</x:v>
      </x:c>
      <x:c r="L108" s="37" t="str">
        <x:v>24-hour news, Sun Network power, mobile communication and emerging social media intensified scrutiny.</x:v>
      </x:c>
      <x:c r="M108" s="37" t="str">
        <x:v>A minority state government depended on legislative allies; courts, audit institutions and coalition partners constrained action.</x:v>
      </x:c>
      <x:c r="N108" s="37" t="str">
        <x:v>The cabinets and DMK's highest organizational tier remained predominantly male. Karunanidhi himself held core executive and infrastructure authority; evidence for phase-specific portfolio allocation caused by his gender is indirect rather than event-specific.</x:v>
      </x:c>
      <x:c r="O108" s="37" t="str">
        <x:v>Caste, language, class and family networks are assessed only where evidenced.</x:v>
      </x:c>
      <x:c r="P108" s="37" t="str">
        <x:v>Male-dominated party and electoral institutions</x:v>
      </x:c>
      <x:c r="Q108" s="37" t="str">
        <x:v>Comparable Tamil Nadu party leaders and office-holders in the same phase</x:v>
      </x:c>
      <x:c r="R108" s="37" t="str">
        <x:v>Contemporary coverage rarely isolated male privilege as an analytical category.</x:v>
      </x:c>
      <x:c r="S108" s="37" t="str">
        <x:v>Later gender analysis distinguishes concrete policy effects from male-dominated organization.</x:v>
      </x:c>
      <x:c r="T108" s="37" t="str">
        <x:v>Avoid projecting today's language of representation backward without losing the underlying inequality.</x:v>
      </x:c>
      <x:c r="U108" s="37" t="str">
        <x:v>Women-specific party records and gender-disaggregated leadership data are incomplete.</x:v>
      </x:c>
      <x:c r="V108" s="37" t="str">
        <x:v>Analysis</x:v>
      </x:c>
      <x:c r="W108" s="37" t="str">
        <x:v>Single credible source</x:v>
      </x:c>
      <x:c r="X108" s="37" t="str">
        <x:v>S04; S09; S20; S21; S22; S27; S10; S27</x:v>
      </x:c>
      <x:c r="Y108" s="37" t="str">
        <x:v>Disposition reflects reviewed evidence; absence of evidence is not proof of absence.</x:v>
      </x:c>
    </x:row>
    <x:row r="109" ht="60" customHeight="1">
      <x:c r="A109" s="37" t="str">
        <x:v>X105</x:v>
      </x:c>
      <x:c r="B109" s="37" t="str">
        <x:v>Minority government, succession and final years</x:v>
      </x:c>
      <x:c r="C109" s="58" t="n">
        <x:v>38850</x:v>
      </x:c>
      <x:c r="D109" s="58" t="n">
        <x:v>43319</x:v>
      </x:c>
      <x:c r="E109" s="37" t="str">
        <x:v>Gender</x:v>
      </x:c>
      <x:c r="F109" s="37" t="str">
        <x:v>Gender 5: Campaign and media treatment — Was treatment materially gendered?</x:v>
      </x:c>
      <x:c r="G109" s="37" t="str">
        <x:v>Evidence not found</x:v>
      </x:c>
      <x:c r="H10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I109" s="37" t="str">
        <x:v>Media treatment</x:v>
      </x:c>
      <x:c r="J109" s="37" t="str">
        <x:v>Competitive bipolar state politics operated within UPA-era coalition government, followed by BJP national dominance after 2014.</x:v>
      </x:c>
      <x:c r="K109" s="37" t="str">
        <x:v>High-growth globalization, welfare expansion, the 2008 crisis and early digital governance shaped policy choices.</x:v>
      </x:c>
      <x:c r="L109" s="37" t="str">
        <x:v>24-hour news, Sun Network power, mobile communication and emerging social media intensified scrutiny.</x:v>
      </x:c>
      <x:c r="M109" s="37" t="str">
        <x:v>A minority state government depended on legislative allies; courts, audit institutions and coalition partners constrained action.</x:v>
      </x:c>
      <x:c r="N109" s="37" t="str">
        <x:v>The reviewed sources do not identify sustained gendered press framing of Karunanidhi comparable to the appearance, sexuality or family-role scrutiny directed at prominent women politicians. This is a research gap, not proof that no gendered framing occurred.</x:v>
      </x:c>
      <x:c r="O109" s="37" t="str">
        <x:v>Caste, language, class and family networks are assessed only where evidenced.</x:v>
      </x:c>
      <x:c r="P109" s="37" t="str">
        <x:v>Male-dominated party and electoral institutions</x:v>
      </x:c>
      <x:c r="Q109" s="37" t="str">
        <x:v>Comparable Tamil Nadu party leaders and office-holders in the same phase</x:v>
      </x:c>
      <x:c r="R109" s="37" t="str">
        <x:v>Contemporary coverage rarely isolated male privilege as an analytical category.</x:v>
      </x:c>
      <x:c r="S109" s="37" t="str">
        <x:v>Later gender analysis distinguishes concrete policy effects from male-dominated organization.</x:v>
      </x:c>
      <x:c r="T109" s="37" t="str">
        <x:v>Avoid projecting today's language of representation backward without losing the underlying inequality.</x:v>
      </x:c>
      <x:c r="U109" s="37" t="str">
        <x:v>Women-specific party records and gender-disaggregated leadership data are incomplete.</x:v>
      </x:c>
      <x:c r="V109" s="37" t="str">
        <x:v>Disputed/uncertain</x:v>
      </x:c>
      <x:c r="W109" s="37" t="str">
        <x:v>Single credible source</x:v>
      </x:c>
      <x:c r="X109" s="37" t="str">
        <x:v>S04; S09; S20; S21; S22; S27; S10; S27</x:v>
      </x:c>
      <x:c r="Y109" s="37" t="str">
        <x:v>Disposition reflects reviewed evidence; absence of evidence is not proof of absence.</x:v>
      </x:c>
    </x:row>
    <x:row r="110" ht="60" customHeight="1">
      <x:c r="A110" s="37" t="str">
        <x:v>X106</x:v>
      </x:c>
      <x:c r="B110" s="37" t="str">
        <x:v>Minority government, succession and final years</x:v>
      </x:c>
      <x:c r="C110" s="58" t="n">
        <x:v>38850</x:v>
      </x:c>
      <x:c r="D110" s="58" t="n">
        <x:v>43319</x:v>
      </x:c>
      <x:c r="E110" s="37" t="str">
        <x:v>Gender</x:v>
      </x:c>
      <x:c r="F110" s="37" t="str">
        <x:v>Gender 6: Threats and security — Were threats, violence or mobility constraints gender-specific?</x:v>
      </x:c>
      <x:c r="G110" s="37" t="str">
        <x:v>Not materially relevant</x:v>
      </x:c>
      <x:c r="H110" s="37" t="str">
        <x:v>Karunanidhi faced arrest, protest violence and security risks, but reviewed evidence treats them as partisan, state or ethnic-political risks rather than gender-specific threats.</x:v>
      </x:c>
      <x:c r="I110" s="37" t="str">
        <x:v>Threat mechanism not gender-specific</x:v>
      </x:c>
      <x:c r="J110" s="37" t="str">
        <x:v>Competitive bipolar state politics operated within UPA-era coalition government, followed by BJP national dominance after 2014.</x:v>
      </x:c>
      <x:c r="K110" s="37" t="str">
        <x:v>High-growth globalization, welfare expansion, the 2008 crisis and early digital governance shaped policy choices.</x:v>
      </x:c>
      <x:c r="L110" s="37" t="str">
        <x:v>24-hour news, Sun Network power, mobile communication and emerging social media intensified scrutiny.</x:v>
      </x:c>
      <x:c r="M110" s="37" t="str">
        <x:v>A minority state government depended on legislative allies; courts, audit institutions and coalition partners constrained action.</x:v>
      </x:c>
      <x:c r="N110" s="37" t="str">
        <x:v>Karunanidhi faced arrest, protest violence and security risks, but reviewed evidence treats them as partisan, state or ethnic-political risks rather than gender-specific threats.</x:v>
      </x:c>
      <x:c r="O110" s="37" t="str">
        <x:v>Caste, language, class and family networks are assessed only where evidenced.</x:v>
      </x:c>
      <x:c r="P110" s="37" t="str">
        <x:v>Male-dominated party and electoral institutions</x:v>
      </x:c>
      <x:c r="Q110" s="37" t="str">
        <x:v>Comparable Tamil Nadu party leaders and office-holders in the same phase</x:v>
      </x:c>
      <x:c r="R110" s="37" t="str">
        <x:v>Contemporary coverage rarely isolated male privilege as an analytical category.</x:v>
      </x:c>
      <x:c r="S110" s="37" t="str">
        <x:v>Later gender analysis distinguishes concrete policy effects from male-dominated organization.</x:v>
      </x:c>
      <x:c r="T110" s="37" t="str">
        <x:v>Avoid projecting today's language of representation backward without losing the underlying inequality.</x:v>
      </x:c>
      <x:c r="U110" s="37" t="str">
        <x:v>Women-specific party records and gender-disaggregated leadership data are incomplete.</x:v>
      </x:c>
      <x:c r="V110" s="37" t="str">
        <x:v>Analysis</x:v>
      </x:c>
      <x:c r="W110" s="37" t="str">
        <x:v>Multiple independent sources</x:v>
      </x:c>
      <x:c r="X110" s="37" t="str">
        <x:v>S04; S09; S20; S21; S22; S27; S10; S27</x:v>
      </x:c>
      <x:c r="Y110" s="37" t="str">
        <x:v>Disposition reflects reviewed evidence; absence of evidence is not proof of absence.</x:v>
      </x:c>
    </x:row>
    <x:row r="111" ht="60" customHeight="1">
      <x:c r="A111" s="37" t="str">
        <x:v>X107</x:v>
      </x:c>
      <x:c r="B111" s="37" t="str">
        <x:v>Minority government, succession and final years</x:v>
      </x:c>
      <x:c r="C111" s="58" t="n">
        <x:v>38850</x:v>
      </x:c>
      <x:c r="D111" s="58" t="n">
        <x:v>43319</x:v>
      </x:c>
      <x:c r="E111" s="37" t="str">
        <x:v>Gender</x:v>
      </x:c>
      <x:c r="F111" s="37" t="str">
        <x:v>Gender 7: Gender policy and organizations — What gender-related laws, policies or organizational links existed?</x:v>
      </x:c>
      <x:c r="G111" s="37" t="str">
        <x:v>Material finding</x:v>
      </x:c>
      <x:c r="H111" s="37" t="str">
        <x:v>Marriage assistance, self-help-group support and welfare measures addressed women, though program outcomes and party representation must be assessed separately.</x:v>
      </x:c>
      <x:c r="I111" s="37" t="str">
        <x:v>Law and policy</x:v>
      </x:c>
      <x:c r="J111" s="37" t="str">
        <x:v>Competitive bipolar state politics operated within UPA-era coalition government, followed by BJP national dominance after 2014.</x:v>
      </x:c>
      <x:c r="K111" s="37" t="str">
        <x:v>High-growth globalization, welfare expansion, the 2008 crisis and early digital governance shaped policy choices.</x:v>
      </x:c>
      <x:c r="L111" s="37" t="str">
        <x:v>24-hour news, Sun Network power, mobile communication and emerging social media intensified scrutiny.</x:v>
      </x:c>
      <x:c r="M111" s="37" t="str">
        <x:v>A minority state government depended on legislative allies; courts, audit institutions and coalition partners constrained action.</x:v>
      </x:c>
      <x:c r="N111" s="37" t="str">
        <x:v>Marriage assistance, self-help-group support and welfare measures addressed women, though program outcomes and party representation must be assessed separately.</x:v>
      </x:c>
      <x:c r="O111" s="37" t="str">
        <x:v>Caste, language, class and family networks are assessed only where evidenced.</x:v>
      </x:c>
      <x:c r="P111" s="37" t="str">
        <x:v>Male-dominated party and electoral institutions</x:v>
      </x:c>
      <x:c r="Q111" s="37" t="str">
        <x:v>Comparable Tamil Nadu party leaders and office-holders in the same phase</x:v>
      </x:c>
      <x:c r="R111" s="37" t="str">
        <x:v>Contemporary coverage rarely isolated male privilege as an analytical category.</x:v>
      </x:c>
      <x:c r="S111" s="37" t="str">
        <x:v>Later gender analysis distinguishes concrete policy effects from male-dominated organization.</x:v>
      </x:c>
      <x:c r="T111" s="37" t="str">
        <x:v>Avoid projecting today's language of representation backward without losing the underlying inequality.</x:v>
      </x:c>
      <x:c r="U111" s="37" t="str">
        <x:v>Women-specific party records and gender-disaggregated leadership data are incomplete.</x:v>
      </x:c>
      <x:c r="V111" s="37" t="str">
        <x:v>Analysis</x:v>
      </x:c>
      <x:c r="W111" s="37" t="str">
        <x:v>Single credible source</x:v>
      </x:c>
      <x:c r="X111" s="37" t="str">
        <x:v>S04; S09; S20; S21; S22; S27; S10; S27</x:v>
      </x:c>
      <x:c r="Y111" s="37" t="str">
        <x:v>Disposition reflects reviewed evidence; absence of evidence is not proof of absence.</x:v>
      </x:c>
    </x:row>
    <x:row r="112" ht="60" customHeight="1">
      <x:c r="A112" s="37" t="str">
        <x:v>X108</x:v>
      </x:c>
      <x:c r="B112" s="37" t="str">
        <x:v>Minority government, succession and final years</x:v>
      </x:c>
      <x:c r="C112" s="58" t="n">
        <x:v>38850</x:v>
      </x:c>
      <x:c r="D112" s="58" t="n">
        <x:v>43319</x:v>
      </x:c>
      <x:c r="E112" s="37" t="str">
        <x:v>Gender</x:v>
      </x:c>
      <x:c r="F112" s="37" t="str">
        <x:v>Gender 8: Political use of identity — Was masculinity or gender identity strategically mobilized?</x:v>
      </x:c>
      <x:c r="G112" s="37" t="str">
        <x:v>Research limitation</x:v>
      </x:c>
      <x:c r="H11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I112" s="37" t="str">
        <x:v>Implicit leadership norms</x:v>
      </x:c>
      <x:c r="J112" s="37" t="str">
        <x:v>Competitive bipolar state politics operated within UPA-era coalition government, followed by BJP national dominance after 2014.</x:v>
      </x:c>
      <x:c r="K112" s="37" t="str">
        <x:v>High-growth globalization, welfare expansion, the 2008 crisis and early digital governance shaped policy choices.</x:v>
      </x:c>
      <x:c r="L112" s="37" t="str">
        <x:v>24-hour news, Sun Network power, mobile communication and emerging social media intensified scrutiny.</x:v>
      </x:c>
      <x:c r="M112" s="37" t="str">
        <x:v>A minority state government depended on legislative allies; courts, audit institutions and coalition partners constrained action.</x:v>
      </x:c>
      <x:c r="N112" s="37" t="str">
        <x:v>He did not make male identity an explicit programmatic constituency in the reviewed record. Public leadership nonetheless operated through masculine-coded oratory, paternal party authority and patriarchal institutional norms; causal claims should remain cautious.</x:v>
      </x:c>
      <x:c r="O112" s="37" t="str">
        <x:v>Caste, language, class and family networks are assessed only where evidenced.</x:v>
      </x:c>
      <x:c r="P112" s="37" t="str">
        <x:v>Male-dominated party and electoral institutions</x:v>
      </x:c>
      <x:c r="Q112" s="37" t="str">
        <x:v>Comparable Tamil Nadu party leaders and office-holders in the same phase</x:v>
      </x:c>
      <x:c r="R112" s="37" t="str">
        <x:v>Contemporary coverage rarely isolated male privilege as an analytical category.</x:v>
      </x:c>
      <x:c r="S112" s="37" t="str">
        <x:v>Later gender analysis distinguishes concrete policy effects from male-dominated organization.</x:v>
      </x:c>
      <x:c r="T112" s="37" t="str">
        <x:v>Avoid projecting today's language of representation backward without losing the underlying inequality.</x:v>
      </x:c>
      <x:c r="U112" s="37" t="str">
        <x:v>Women-specific party records and gender-disaggregated leadership data are incomplete.</x:v>
      </x:c>
      <x:c r="V112" s="37" t="str">
        <x:v>Analysis</x:v>
      </x:c>
      <x:c r="W112" s="37" t="str">
        <x:v>Single credible source</x:v>
      </x:c>
      <x:c r="X112" s="37" t="str">
        <x:v>S04; S09; S20; S21; S22; S27; S10; S27</x:v>
      </x:c>
      <x:c r="Y112" s="37" t="str">
        <x:v>Disposition reflects reviewed evidence; absence of evidence is not proof of absence.</x:v>
      </x:c>
    </x:row>
    <x:row r="113" ht="60" customHeight="1">
      <x:c r="A113" s="37" t="str">
        <x:v>X109</x:v>
      </x:c>
      <x:c r="B113" s="37" t="str">
        <x:v>Minority government, succession and final years</x:v>
      </x:c>
      <x:c r="C113" s="58" t="n">
        <x:v>38850</x:v>
      </x:c>
      <x:c r="D113" s="58" t="n">
        <x:v>43319</x:v>
      </x:c>
      <x:c r="E113" s="37" t="str">
        <x:v>Gender</x:v>
      </x:c>
      <x:c r="F113" s="37" t="str">
        <x:v>Gender 9: Representation and effects — What symbolic, descriptive or substantive gender effects followed?</x:v>
      </x:c>
      <x:c r="G113" s="37" t="str">
        <x:v>Material finding</x:v>
      </x:c>
      <x:c r="H113" s="37" t="str">
        <x:v>His personal representation was descriptive of men, already dominant in politics. Substantive effects must be located in specific law, representation or welfare measures rather than inferred from symbolism.</x:v>
      </x:c>
      <x:c r="I113" s="37" t="str">
        <x:v>Separate descriptive and substantive effects</x:v>
      </x:c>
      <x:c r="J113" s="37" t="str">
        <x:v>Competitive bipolar state politics operated within UPA-era coalition government, followed by BJP national dominance after 2014.</x:v>
      </x:c>
      <x:c r="K113" s="37" t="str">
        <x:v>High-growth globalization, welfare expansion, the 2008 crisis and early digital governance shaped policy choices.</x:v>
      </x:c>
      <x:c r="L113" s="37" t="str">
        <x:v>24-hour news, Sun Network power, mobile communication and emerging social media intensified scrutiny.</x:v>
      </x:c>
      <x:c r="M113" s="37" t="str">
        <x:v>A minority state government depended on legislative allies; courts, audit institutions and coalition partners constrained action.</x:v>
      </x:c>
      <x:c r="N113" s="37" t="str">
        <x:v>His personal representation was descriptive of men, already dominant in politics. Substantive effects must be located in specific law, representation or welfare measures rather than inferred from symbolism.</x:v>
      </x:c>
      <x:c r="O113" s="37" t="str">
        <x:v>Caste, language, class and family networks are assessed only where evidenced.</x:v>
      </x:c>
      <x:c r="P113" s="37" t="str">
        <x:v>Male-dominated party and electoral institutions</x:v>
      </x:c>
      <x:c r="Q113" s="37" t="str">
        <x:v>Comparable Tamil Nadu party leaders and office-holders in the same phase</x:v>
      </x:c>
      <x:c r="R113" s="37" t="str">
        <x:v>Contemporary coverage rarely isolated male privilege as an analytical category.</x:v>
      </x:c>
      <x:c r="S113" s="37" t="str">
        <x:v>Later gender analysis distinguishes concrete policy effects from male-dominated organization.</x:v>
      </x:c>
      <x:c r="T113" s="37" t="str">
        <x:v>Avoid projecting today's language of representation backward without losing the underlying inequality.</x:v>
      </x:c>
      <x:c r="U113" s="37" t="str">
        <x:v>Women-specific party records and gender-disaggregated leadership data are incomplete.</x:v>
      </x:c>
      <x:c r="V113" s="37" t="str">
        <x:v>Analysis</x:v>
      </x:c>
      <x:c r="W113" s="37" t="str">
        <x:v>Single credible source</x:v>
      </x:c>
      <x:c r="X113" s="37" t="str">
        <x:v>S04; S09; S20; S21; S22; S27; S10; S27</x:v>
      </x:c>
      <x:c r="Y113" s="37" t="str">
        <x:v>Disposition reflects reviewed evidence; absence of evidence is not proof of absence.</x:v>
      </x:c>
    </x:row>
    <x:row r="114" ht="60" customHeight="1">
      <x:c r="A114" s="37" t="str">
        <x:v>X110</x:v>
      </x:c>
      <x:c r="B114" s="37" t="str">
        <x:v>Minority government, succession and final years</x:v>
      </x:c>
      <x:c r="C114" s="58" t="n">
        <x:v>38850</x:v>
      </x:c>
      <x:c r="D114" s="58" t="n">
        <x:v>43319</x:v>
      </x:c>
      <x:c r="E114" s="37" t="str">
        <x:v>Gender</x:v>
      </x:c>
      <x:c r="F114" s="37" t="str">
        <x:v>Gender 10: Assessment over time — How have gender assessments changed?</x:v>
      </x:c>
      <x:c r="G114" s="37" t="str">
        <x:v>Material finding</x:v>
      </x:c>
      <x:c r="H11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I114" s="37" t="str">
        <x:v>Retrospective reframing</x:v>
      </x:c>
      <x:c r="J114" s="37" t="str">
        <x:v>Competitive bipolar state politics operated within UPA-era coalition government, followed by BJP national dominance after 2014.</x:v>
      </x:c>
      <x:c r="K114" s="37" t="str">
        <x:v>High-growth globalization, welfare expansion, the 2008 crisis and early digital governance shaped policy choices.</x:v>
      </x:c>
      <x:c r="L114" s="37" t="str">
        <x:v>24-hour news, Sun Network power, mobile communication and emerging social media intensified scrutiny.</x:v>
      </x:c>
      <x:c r="M114" s="37" t="str">
        <x:v>A minority state government depended on legislative allies; courts, audit institutions and coalition partners constrained action.</x:v>
      </x:c>
      <x:c r="N114" s="37" t="str">
        <x:v>Contemporary accounts centered language, caste, charisma and party conflict. Later assessments more often credit women's property and representation measures while criticizing male-dominated party leadership and dynastic succession.</x:v>
      </x:c>
      <x:c r="O114" s="37" t="str">
        <x:v>Caste, language, class and family networks are assessed only where evidenced.</x:v>
      </x:c>
      <x:c r="P114" s="37" t="str">
        <x:v>Male-dominated party and electoral institutions</x:v>
      </x:c>
      <x:c r="Q114" s="37" t="str">
        <x:v>Comparable Tamil Nadu party leaders and office-holders in the same phase</x:v>
      </x:c>
      <x:c r="R114" s="37" t="str">
        <x:v>Contemporary coverage rarely isolated male privilege as an analytical category.</x:v>
      </x:c>
      <x:c r="S114" s="37" t="str">
        <x:v>Later gender analysis distinguishes concrete policy effects from male-dominated organization.</x:v>
      </x:c>
      <x:c r="T114" s="37" t="str">
        <x:v>Avoid projecting today's language of representation backward without losing the underlying inequality.</x:v>
      </x:c>
      <x:c r="U114" s="37" t="str">
        <x:v>Women-specific party records and gender-disaggregated leadership data are incomplete.</x:v>
      </x:c>
      <x:c r="V114" s="37" t="str">
        <x:v>Analysis</x:v>
      </x:c>
      <x:c r="W114" s="37" t="str">
        <x:v>Single credible source</x:v>
      </x:c>
      <x:c r="X114" s="37" t="str">
        <x:v>S04; S09; S20; S21; S22; S27; S10; S27</x:v>
      </x:c>
      <x:c r="Y114" s="37" t="str">
        <x:v>Disposition reflects reviewed evidence; absence of evidence is not proof of absence.</x:v>
      </x:c>
    </x:row>
    <x:row r="115" ht="60" customHeight="1">
      <x:c r="A115" s="37" t="str">
        <x:v>X111</x:v>
      </x:c>
      <x:c r="B115" s="37" t="str">
        <x:v>Minority government, succession and final years</x:v>
      </x:c>
      <x:c r="C115" s="58" t="n">
        <x:v>38850</x:v>
      </x:c>
      <x:c r="D115" s="58" t="n">
        <x:v>43319</x:v>
      </x:c>
      <x:c r="E115" s="37" t="str">
        <x:v>Era</x:v>
      </x:c>
      <x:c r="F115" s="37" t="str">
        <x:v>Era 1: Party system — What party system structured opportunity and constraint?</x:v>
      </x:c>
      <x:c r="G115" s="37" t="str">
        <x:v>Material finding</x:v>
      </x:c>
      <x:c r="H115" s="37" t="str">
        <x:v>Competitive bipolar state politics operated within UPA-era coalition government, followed by BJP national dominance after 2014.</x:v>
      </x:c>
      <x:c r="I115" s="37" t="str">
        <x:v>Party competition and alliance structure</x:v>
      </x:c>
      <x:c r="J115" s="37" t="str">
        <x:v>Competitive bipolar state politics operated within UPA-era coalition government, followed by BJP national dominance after 2014.</x:v>
      </x:c>
      <x:c r="K115" s="37" t="str">
        <x:v>High-growth globalization, welfare expansion, the 2008 crisis and early digital governance shaped policy choices.</x:v>
      </x:c>
      <x:c r="L115" s="37" t="str">
        <x:v>24-hour news, Sun Network power, mobile communication and emerging social media intensified scrutiny.</x:v>
      </x:c>
      <x:c r="M115" s="37" t="str">
        <x:v>A minority state government depended on legislative allies; courts, audit institutions and coalition partners constrained action.</x:v>
      </x:c>
      <x:c r="N115" s="37" t="str">
        <x:v>Gender norms affected access and representation but were rarely the sole driver.</x:v>
      </x:c>
      <x:c r="O115" s="37" t="str">
        <x:v>Language, caste, region and class were often more explicit axes of mobilization.</x:v>
      </x:c>
      <x:c r="P115" s="37" t="str">
        <x:v>Conditions stated in finding</x:v>
      </x:c>
      <x:c r="Q115" s="37" t="str">
        <x:v>Tamil Nadu chief ministers, regional-party leaders and opposition figures in the same period</x:v>
      </x:c>
      <x:c r="R115" s="37" t="str">
        <x:v>Assessment reconstructed from phase-specific records.</x:v>
      </x:c>
      <x:c r="S115" s="37" t="str">
        <x:v>Later scholarship evaluates institutional and distributional consequences.</x:v>
      </x:c>
      <x:c r="T115" s="37" t="str">
        <x:v>Use contemporaneous territorial names, feasible alternatives and institutional powers; context does not excuse rights violations or corruption.</x:v>
      </x:c>
      <x:c r="U115" s="37" t="str">
        <x:v>Digitization and source balance vary by phase.</x:v>
      </x:c>
      <x:c r="V115" s="37" t="str">
        <x:v>Analysis</x:v>
      </x:c>
      <x:c r="W115" s="37" t="str">
        <x:v>Multiple independent sources</x:v>
      </x:c>
      <x:c r="X115" s="37" t="str">
        <x:v>S04; S09; S20; S21; S22; S27</x:v>
      </x:c>
      <x:c r="Y115" s="37" t="str">
        <x:v>Broad phase synthesis; event-specific claims use narrower sources elsewhere.</x:v>
      </x:c>
    </x:row>
    <x:row r="116" ht="60" customHeight="1">
      <x:c r="A116" s="37" t="str">
        <x:v>X112</x:v>
      </x:c>
      <x:c r="B116" s="37" t="str">
        <x:v>Minority government, succession and final years</x:v>
      </x:c>
      <x:c r="C116" s="58" t="n">
        <x:v>38850</x:v>
      </x:c>
      <x:c r="D116" s="58" t="n">
        <x:v>43319</x:v>
      </x:c>
      <x:c r="E116" s="37" t="str">
        <x:v>Era</x:v>
      </x:c>
      <x:c r="F116" s="37" t="str">
        <x:v>Era 2: Constitutional and institutional environment — What was the executive, judicial, federal and civil-liberties setting?</x:v>
      </x:c>
      <x:c r="G116" s="37" t="str">
        <x:v>Material finding</x:v>
      </x:c>
      <x:c r="H116" s="37" t="str">
        <x:v>A minority state government depended on legislative allies; courts, audit institutions and coalition partners constrained action.</x:v>
      </x:c>
      <x:c r="I116" s="37" t="str">
        <x:v>Constitutional opportunity and constraint</x:v>
      </x:c>
      <x:c r="J116" s="37" t="str">
        <x:v>Competitive bipolar state politics operated within UPA-era coalition government, followed by BJP national dominance after 2014.</x:v>
      </x:c>
      <x:c r="K116" s="37" t="str">
        <x:v>High-growth globalization, welfare expansion, the 2008 crisis and early digital governance shaped policy choices.</x:v>
      </x:c>
      <x:c r="L116" s="37" t="str">
        <x:v>24-hour news, Sun Network power, mobile communication and emerging social media intensified scrutiny.</x:v>
      </x:c>
      <x:c r="M116" s="37" t="str">
        <x:v>A minority state government depended on legislative allies; courts, audit institutions and coalition partners constrained action.</x:v>
      </x:c>
      <x:c r="N116" s="37" t="str">
        <x:v>Gender norms affected access and representation but were rarely the sole driver.</x:v>
      </x:c>
      <x:c r="O116" s="37" t="str">
        <x:v>Language, caste, region and class were often more explicit axes of mobilization.</x:v>
      </x:c>
      <x:c r="P116" s="37" t="str">
        <x:v>Conditions stated in finding</x:v>
      </x:c>
      <x:c r="Q116" s="37" t="str">
        <x:v>Tamil Nadu chief ministers, regional-party leaders and opposition figures in the same period</x:v>
      </x:c>
      <x:c r="R116" s="37" t="str">
        <x:v>Assessment reconstructed from phase-specific records.</x:v>
      </x:c>
      <x:c r="S116" s="37" t="str">
        <x:v>Later scholarship evaluates institutional and distributional consequences.</x:v>
      </x:c>
      <x:c r="T116" s="37" t="str">
        <x:v>Use contemporaneous territorial names, feasible alternatives and institutional powers; context does not excuse rights violations or corruption.</x:v>
      </x:c>
      <x:c r="U116" s="37" t="str">
        <x:v>Digitization and source balance vary by phase.</x:v>
      </x:c>
      <x:c r="V116" s="37" t="str">
        <x:v>Analysis</x:v>
      </x:c>
      <x:c r="W116" s="37" t="str">
        <x:v>Multiple independent sources</x:v>
      </x:c>
      <x:c r="X116" s="37" t="str">
        <x:v>S04; S09; S20; S21; S22; S27</x:v>
      </x:c>
      <x:c r="Y116" s="37" t="str">
        <x:v>Broad phase synthesis; event-specific claims use narrower sources elsewhere.</x:v>
      </x:c>
    </x:row>
    <x:row r="117" ht="60" customHeight="1">
      <x:c r="A117" s="37" t="str">
        <x:v>X113</x:v>
      </x:c>
      <x:c r="B117" s="37" t="str">
        <x:v>Minority government, succession and final years</x:v>
      </x:c>
      <x:c r="C117" s="58" t="n">
        <x:v>38850</x:v>
      </x:c>
      <x:c r="D117" s="58" t="n">
        <x:v>43319</x:v>
      </x:c>
      <x:c r="E117" s="37" t="str">
        <x:v>Era</x:v>
      </x:c>
      <x:c r="F117" s="37" t="str">
        <x:v>Era 3: Electoral environment — What election rules, boundaries, practices and data conditions applied?</x:v>
      </x:c>
      <x:c r="G117" s="37" t="str">
        <x:v>Material finding</x:v>
      </x:c>
      <x:c r="H117" s="37" t="str">
        <x:v>Minority government, alliance arithmetic and post-2008 delimitation framed the 2006–2016 contests; candidate-level records are stronger than for early decades.</x:v>
      </x:c>
      <x:c r="I117" s="37" t="str">
        <x:v>Franchise, competition and electoral shocks</x:v>
      </x:c>
      <x:c r="J117" s="37" t="str">
        <x:v>Competitive bipolar state politics operated within UPA-era coalition government, followed by BJP national dominance after 2014.</x:v>
      </x:c>
      <x:c r="K117" s="37" t="str">
        <x:v>High-growth globalization, welfare expansion, the 2008 crisis and early digital governance shaped policy choices.</x:v>
      </x:c>
      <x:c r="L117" s="37" t="str">
        <x:v>24-hour news, Sun Network power, mobile communication and emerging social media intensified scrutiny.</x:v>
      </x:c>
      <x:c r="M117" s="37" t="str">
        <x:v>A minority state government depended on legislative allies; courts, audit institutions and coalition partners constrained action.</x:v>
      </x:c>
      <x:c r="N117" s="37" t="str">
        <x:v>Gender norms affected access and representation but were rarely the sole driver.</x:v>
      </x:c>
      <x:c r="O117" s="37" t="str">
        <x:v>Language, caste, region and class were often more explicit axes of mobilization.</x:v>
      </x:c>
      <x:c r="P117" s="37" t="str">
        <x:v>Conditions stated in finding</x:v>
      </x:c>
      <x:c r="Q117" s="37" t="str">
        <x:v>Tamil Nadu chief ministers, regional-party leaders and opposition figures in the same period</x:v>
      </x:c>
      <x:c r="R117" s="37" t="str">
        <x:v>Assessment reconstructed from phase-specific records.</x:v>
      </x:c>
      <x:c r="S117" s="37" t="str">
        <x:v>Later scholarship evaluates institutional and distributional consequences.</x:v>
      </x:c>
      <x:c r="T117" s="37" t="str">
        <x:v>Use contemporaneous territorial names, feasible alternatives and institutional powers; context does not excuse rights violations or corruption.</x:v>
      </x:c>
      <x:c r="U117" s="37" t="str">
        <x:v>Digitization and source balance vary by phase.</x:v>
      </x:c>
      <x:c r="V117" s="37" t="str">
        <x:v>Analysis</x:v>
      </x:c>
      <x:c r="W117" s="37" t="str">
        <x:v>Multiple independent sources</x:v>
      </x:c>
      <x:c r="X117" s="37" t="str">
        <x:v>S04; S09; S20; S21; S22; S27</x:v>
      </x:c>
      <x:c r="Y117" s="37" t="str">
        <x:v>Broad phase synthesis; event-specific claims use narrower sources elsewhere.</x:v>
      </x:c>
    </x:row>
    <x:row r="118" ht="60" customHeight="1">
      <x:c r="A118" s="37" t="str">
        <x:v>X114</x:v>
      </x:c>
      <x:c r="B118" s="37" t="str">
        <x:v>Minority government, succession and final years</x:v>
      </x:c>
      <x:c r="C118" s="58" t="n">
        <x:v>38850</x:v>
      </x:c>
      <x:c r="D118" s="58" t="n">
        <x:v>43319</x:v>
      </x:c>
      <x:c r="E118" s="37" t="str">
        <x:v>Era</x:v>
      </x:c>
      <x:c r="F118" s="37" t="str">
        <x:v>Era 4: Economic regime — What economic regime framed policy choices?</x:v>
      </x:c>
      <x:c r="G118" s="37" t="str">
        <x:v>Material finding</x:v>
      </x:c>
      <x:c r="H118" s="37" t="str">
        <x:v>High-growth globalization, welfare expansion, the 2008 crisis and early digital governance shaped policy choices.</x:v>
      </x:c>
      <x:c r="I118" s="37" t="str">
        <x:v>Economic regime and feasible policy set</x:v>
      </x:c>
      <x:c r="J118" s="37" t="str">
        <x:v>Competitive bipolar state politics operated within UPA-era coalition government, followed by BJP national dominance after 2014.</x:v>
      </x:c>
      <x:c r="K118" s="37" t="str">
        <x:v>High-growth globalization, welfare expansion, the 2008 crisis and early digital governance shaped policy choices.</x:v>
      </x:c>
      <x:c r="L118" s="37" t="str">
        <x:v>24-hour news, Sun Network power, mobile communication and emerging social media intensified scrutiny.</x:v>
      </x:c>
      <x:c r="M118" s="37" t="str">
        <x:v>A minority state government depended on legislative allies; courts, audit institutions and coalition partners constrained action.</x:v>
      </x:c>
      <x:c r="N118" s="37" t="str">
        <x:v>Gender norms affected access and representation but were rarely the sole driver.</x:v>
      </x:c>
      <x:c r="O118" s="37" t="str">
        <x:v>Language, caste, region and class were often more explicit axes of mobilization.</x:v>
      </x:c>
      <x:c r="P118" s="37" t="str">
        <x:v>Conditions stated in finding</x:v>
      </x:c>
      <x:c r="Q118" s="37" t="str">
        <x:v>Tamil Nadu chief ministers, regional-party leaders and opposition figures in the same period</x:v>
      </x:c>
      <x:c r="R118" s="37" t="str">
        <x:v>Assessment reconstructed from phase-specific records.</x:v>
      </x:c>
      <x:c r="S118" s="37" t="str">
        <x:v>Later scholarship evaluates institutional and distributional consequences.</x:v>
      </x:c>
      <x:c r="T118" s="37" t="str">
        <x:v>Use contemporaneous territorial names, feasible alternatives and institutional powers; context does not excuse rights violations or corruption.</x:v>
      </x:c>
      <x:c r="U118" s="37" t="str">
        <x:v>Digitization and source balance vary by phase.</x:v>
      </x:c>
      <x:c r="V118" s="37" t="str">
        <x:v>Analysis</x:v>
      </x:c>
      <x:c r="W118" s="37" t="str">
        <x:v>Multiple independent sources</x:v>
      </x:c>
      <x:c r="X118" s="37" t="str">
        <x:v>S04; S09; S20; S21; S22; S27</x:v>
      </x:c>
      <x:c r="Y118" s="37" t="str">
        <x:v>Broad phase synthesis; event-specific claims use narrower sources elsewhere.</x:v>
      </x:c>
    </x:row>
    <x:row r="119" ht="60" customHeight="1">
      <x:c r="A119" s="37" t="str">
        <x:v>X115</x:v>
      </x:c>
      <x:c r="B119" s="37" t="str">
        <x:v>Minority government, succession and final years</x:v>
      </x:c>
      <x:c r="C119" s="58" t="n">
        <x:v>38850</x:v>
      </x:c>
      <x:c r="D119" s="58" t="n">
        <x:v>43319</x:v>
      </x:c>
      <x:c r="E119" s="37" t="str">
        <x:v>Era</x:v>
      </x:c>
      <x:c r="F119" s="37" t="str">
        <x:v>Era 5: International system — What international conditions materially mattered?</x:v>
      </x:c>
      <x:c r="G119" s="37" t="str">
        <x:v>Material finding</x:v>
      </x:c>
      <x:c r="H119" s="37" t="str">
        <x:v>The Sri Lankan civil-war endgame, global financial crisis and transnational Tamil media made external events immediately salient.</x:v>
      </x:c>
      <x:c r="I119" s="37" t="str">
        <x:v>International events affecting state politics</x:v>
      </x:c>
      <x:c r="J119" s="37" t="str">
        <x:v>Competitive bipolar state politics operated within UPA-era coalition government, followed by BJP national dominance after 2014.</x:v>
      </x:c>
      <x:c r="K119" s="37" t="str">
        <x:v>High-growth globalization, welfare expansion, the 2008 crisis and early digital governance shaped policy choices.</x:v>
      </x:c>
      <x:c r="L119" s="37" t="str">
        <x:v>24-hour news, Sun Network power, mobile communication and emerging social media intensified scrutiny.</x:v>
      </x:c>
      <x:c r="M119" s="37" t="str">
        <x:v>A minority state government depended on legislative allies; courts, audit institutions and coalition partners constrained action.</x:v>
      </x:c>
      <x:c r="N119" s="37" t="str">
        <x:v>Gender norms affected access and representation but were rarely the sole driver.</x:v>
      </x:c>
      <x:c r="O119" s="37" t="str">
        <x:v>Language, caste, region and class were often more explicit axes of mobilization.</x:v>
      </x:c>
      <x:c r="P119" s="37" t="str">
        <x:v>Conditions stated in finding</x:v>
      </x:c>
      <x:c r="Q119" s="37" t="str">
        <x:v>Tamil Nadu chief ministers, regional-party leaders and opposition figures in the same period</x:v>
      </x:c>
      <x:c r="R119" s="37" t="str">
        <x:v>Assessment reconstructed from phase-specific records.</x:v>
      </x:c>
      <x:c r="S119" s="37" t="str">
        <x:v>Later scholarship evaluates institutional and distributional consequences.</x:v>
      </x:c>
      <x:c r="T119" s="37" t="str">
        <x:v>Use contemporaneous territorial names, feasible alternatives and institutional powers; context does not excuse rights violations or corruption.</x:v>
      </x:c>
      <x:c r="U119" s="37" t="str">
        <x:v>Digitization and source balance vary by phase.</x:v>
      </x:c>
      <x:c r="V119" s="37" t="str">
        <x:v>Analysis</x:v>
      </x:c>
      <x:c r="W119" s="37" t="str">
        <x:v>Multiple independent sources</x:v>
      </x:c>
      <x:c r="X119" s="37" t="str">
        <x:v>S04; S09; S20; S21; S22; S27</x:v>
      </x:c>
      <x:c r="Y119" s="37" t="str">
        <x:v>Broad phase synthesis; event-specific claims use narrower sources elsewhere.</x:v>
      </x:c>
    </x:row>
    <x:row r="120" ht="60" customHeight="1">
      <x:c r="A120" s="37" t="str">
        <x:v>X116</x:v>
      </x:c>
      <x:c r="B120" s="37" t="str">
        <x:v>Minority government, succession and final years</x:v>
      </x:c>
      <x:c r="C120" s="58" t="n">
        <x:v>38850</x:v>
      </x:c>
      <x:c r="D120" s="58" t="n">
        <x:v>43319</x:v>
      </x:c>
      <x:c r="E120" s="37" t="str">
        <x:v>Era</x:v>
      </x:c>
      <x:c r="F120" s="37" t="str">
        <x:v>Era 6: Media and campaign environment — Which media and campaign technologies structured politics?</x:v>
      </x:c>
      <x:c r="G120" s="37" t="str">
        <x:v>Material finding</x:v>
      </x:c>
      <x:c r="H120" s="37" t="str">
        <x:v>24-hour news, Sun Network power, mobile communication and emerging social media intensified scrutiny.</x:v>
      </x:c>
      <x:c r="I120" s="37" t="str">
        <x:v>Communication technology and gatekeeping</x:v>
      </x:c>
      <x:c r="J120" s="37" t="str">
        <x:v>Competitive bipolar state politics operated within UPA-era coalition government, followed by BJP national dominance after 2014.</x:v>
      </x:c>
      <x:c r="K120" s="37" t="str">
        <x:v>High-growth globalization, welfare expansion, the 2008 crisis and early digital governance shaped policy choices.</x:v>
      </x:c>
      <x:c r="L120" s="37" t="str">
        <x:v>24-hour news, Sun Network power, mobile communication and emerging social media intensified scrutiny.</x:v>
      </x:c>
      <x:c r="M120" s="37" t="str">
        <x:v>A minority state government depended on legislative allies; courts, audit institutions and coalition partners constrained action.</x:v>
      </x:c>
      <x:c r="N120" s="37" t="str">
        <x:v>Gender norms affected access and representation but were rarely the sole driver.</x:v>
      </x:c>
      <x:c r="O120" s="37" t="str">
        <x:v>Language, caste, region and class were often more explicit axes of mobilization.</x:v>
      </x:c>
      <x:c r="P120" s="37" t="str">
        <x:v>Conditions stated in finding</x:v>
      </x:c>
      <x:c r="Q120" s="37" t="str">
        <x:v>Tamil Nadu chief ministers, regional-party leaders and opposition figures in the same period</x:v>
      </x:c>
      <x:c r="R120" s="37" t="str">
        <x:v>Assessment reconstructed from phase-specific records.</x:v>
      </x:c>
      <x:c r="S120" s="37" t="str">
        <x:v>Later scholarship evaluates institutional and distributional consequences.</x:v>
      </x:c>
      <x:c r="T120" s="37" t="str">
        <x:v>Use contemporaneous territorial names, feasible alternatives and institutional powers; context does not excuse rights violations or corruption.</x:v>
      </x:c>
      <x:c r="U120" s="37" t="str">
        <x:v>Digitization and source balance vary by phase.</x:v>
      </x:c>
      <x:c r="V120" s="37" t="str">
        <x:v>Analysis</x:v>
      </x:c>
      <x:c r="W120" s="37" t="str">
        <x:v>Multiple independent sources</x:v>
      </x:c>
      <x:c r="X120" s="37" t="str">
        <x:v>S04; S09; S20; S21; S22; S27</x:v>
      </x:c>
      <x:c r="Y120" s="37" t="str">
        <x:v>Broad phase synthesis; event-specific claims use narrower sources elsewhere.</x:v>
      </x:c>
    </x:row>
    <x:row r="121" ht="60" customHeight="1">
      <x:c r="A121" s="37" t="str">
        <x:v>X117</x:v>
      </x:c>
      <x:c r="B121" s="37" t="str">
        <x:v>Minority government, succession and final years</x:v>
      </x:c>
      <x:c r="C121" s="58" t="n">
        <x:v>38850</x:v>
      </x:c>
      <x:c r="D121" s="58" t="n">
        <x:v>43319</x:v>
      </x:c>
      <x:c r="E121" s="37" t="str">
        <x:v>Era</x:v>
      </x:c>
      <x:c r="F121" s="37" t="str">
        <x:v>Era 7: Political organization — What organizational form carried power?</x:v>
      </x:c>
      <x:c r="G121" s="37" t="str">
        <x:v>Material finding</x:v>
      </x:c>
      <x:c r="H121" s="37" t="str">
        <x:v>Centralized leadership, family factions, welfare delivery, television and early digital mobilization coexisted during managed succession.</x:v>
      </x:c>
      <x:c r="I121" s="37" t="str">
        <x:v>Organizational capacity</x:v>
      </x:c>
      <x:c r="J121" s="37" t="str">
        <x:v>Competitive bipolar state politics operated within UPA-era coalition government, followed by BJP national dominance after 2014.</x:v>
      </x:c>
      <x:c r="K121" s="37" t="str">
        <x:v>High-growth globalization, welfare expansion, the 2008 crisis and early digital governance shaped policy choices.</x:v>
      </x:c>
      <x:c r="L121" s="37" t="str">
        <x:v>24-hour news, Sun Network power, mobile communication and emerging social media intensified scrutiny.</x:v>
      </x:c>
      <x:c r="M121" s="37" t="str">
        <x:v>A minority state government depended on legislative allies; courts, audit institutions and coalition partners constrained action.</x:v>
      </x:c>
      <x:c r="N121" s="37" t="str">
        <x:v>Gender norms affected access and representation but were rarely the sole driver.</x:v>
      </x:c>
      <x:c r="O121" s="37" t="str">
        <x:v>Language, caste, region and class were often more explicit axes of mobilization.</x:v>
      </x:c>
      <x:c r="P121" s="37" t="str">
        <x:v>Conditions stated in finding</x:v>
      </x:c>
      <x:c r="Q121" s="37" t="str">
        <x:v>Tamil Nadu chief ministers, regional-party leaders and opposition figures in the same period</x:v>
      </x:c>
      <x:c r="R121" s="37" t="str">
        <x:v>Assessment reconstructed from phase-specific records.</x:v>
      </x:c>
      <x:c r="S121" s="37" t="str">
        <x:v>Later scholarship evaluates institutional and distributional consequences.</x:v>
      </x:c>
      <x:c r="T121" s="37" t="str">
        <x:v>Use contemporaneous territorial names, feasible alternatives and institutional powers; context does not excuse rights violations or corruption.</x:v>
      </x:c>
      <x:c r="U121" s="37" t="str">
        <x:v>Digitization and source balance vary by phase.</x:v>
      </x:c>
      <x:c r="V121" s="37" t="str">
        <x:v>Analysis</x:v>
      </x:c>
      <x:c r="W121" s="37" t="str">
        <x:v>Multiple independent sources</x:v>
      </x:c>
      <x:c r="X121" s="37" t="str">
        <x:v>S04; S09; S20; S21; S22; S27</x:v>
      </x:c>
      <x:c r="Y121" s="37" t="str">
        <x:v>Broad phase synthesis; event-specific claims use narrower sources elsewhere.</x:v>
      </x:c>
    </x:row>
    <x:row r="122" ht="60" customHeight="1">
      <x:c r="A122" s="37" t="str">
        <x:v>X118</x:v>
      </x:c>
      <x:c r="B122" s="37" t="str">
        <x:v>Minority government, succession and final years</x:v>
      </x:c>
      <x:c r="C122" s="58" t="n">
        <x:v>38850</x:v>
      </x:c>
      <x:c r="D122" s="58" t="n">
        <x:v>43319</x:v>
      </x:c>
      <x:c r="E122" s="37" t="str">
        <x:v>Era</x:v>
      </x:c>
      <x:c r="F122" s="37" t="str">
        <x:v>Era 8: Social environment — Which caste, language, religion, class or gender conditions mattered?</x:v>
      </x:c>
      <x:c r="G122" s="37" t="str">
        <x:v>Material finding</x:v>
      </x:c>
      <x:c r="H122" s="37" t="str">
        <x:v>Consumer welfare, media polarization, caste sub-quotas, urban aspiration and the Sri Lankan Tamil crisis shaped the final phase.</x:v>
      </x:c>
      <x:c r="I122" s="37" t="str">
        <x:v>Social coalition and conflict</x:v>
      </x:c>
      <x:c r="J122" s="37" t="str">
        <x:v>Competitive bipolar state politics operated within UPA-era coalition government, followed by BJP national dominance after 2014.</x:v>
      </x:c>
      <x:c r="K122" s="37" t="str">
        <x:v>High-growth globalization, welfare expansion, the 2008 crisis and early digital governance shaped policy choices.</x:v>
      </x:c>
      <x:c r="L122" s="37" t="str">
        <x:v>24-hour news, Sun Network power, mobile communication and emerging social media intensified scrutiny.</x:v>
      </x:c>
      <x:c r="M122" s="37" t="str">
        <x:v>A minority state government depended on legislative allies; courts, audit institutions and coalition partners constrained action.</x:v>
      </x:c>
      <x:c r="N122" s="37" t="str">
        <x:v>Gender norms affected access and representation but were rarely the sole driver.</x:v>
      </x:c>
      <x:c r="O122" s="37" t="str">
        <x:v>Language, caste, region and class were often more explicit axes of mobilization.</x:v>
      </x:c>
      <x:c r="P122" s="37" t="str">
        <x:v>Conditions stated in finding</x:v>
      </x:c>
      <x:c r="Q122" s="37" t="str">
        <x:v>Tamil Nadu chief ministers, regional-party leaders and opposition figures in the same period</x:v>
      </x:c>
      <x:c r="R122" s="37" t="str">
        <x:v>Assessment reconstructed from phase-specific records.</x:v>
      </x:c>
      <x:c r="S122" s="37" t="str">
        <x:v>Later scholarship evaluates institutional and distributional consequences.</x:v>
      </x:c>
      <x:c r="T122" s="37" t="str">
        <x:v>Use contemporaneous territorial names, feasible alternatives and institutional powers; context does not excuse rights violations or corruption.</x:v>
      </x:c>
      <x:c r="U122" s="37" t="str">
        <x:v>Digitization and source balance vary by phase.</x:v>
      </x:c>
      <x:c r="V122" s="37" t="str">
        <x:v>Analysis</x:v>
      </x:c>
      <x:c r="W122" s="37" t="str">
        <x:v>Multiple independent sources</x:v>
      </x:c>
      <x:c r="X122" s="37" t="str">
        <x:v>S04; S09; S20; S21; S22; S27</x:v>
      </x:c>
      <x:c r="Y122" s="37" t="str">
        <x:v>Broad phase synthesis; event-specific claims use narrower sources elsewhere.</x:v>
      </x:c>
    </x:row>
    <x:row r="123" ht="60" customHeight="1">
      <x:c r="A123" s="37" t="str">
        <x:v>X119</x:v>
      </x:c>
      <x:c r="B123" s="37" t="str">
        <x:v>Minority government, succession and final years</x:v>
      </x:c>
      <x:c r="C123" s="58" t="n">
        <x:v>38850</x:v>
      </x:c>
      <x:c r="D123" s="58" t="n">
        <x:v>43319</x:v>
      </x:c>
      <x:c r="E123" s="37" t="str">
        <x:v>Era</x:v>
      </x:c>
      <x:c r="F123" s="37" t="str">
        <x:v>Era 9: State structure and political geography — How did boundaries and Centre–State relations matter?</x:v>
      </x:c>
      <x:c r="G123" s="37" t="str">
        <x:v>Material finding</x:v>
      </x:c>
      <x:c r="H123" s="37" t="str">
        <x:v>Coalition federalism initially increased leverage; after 2014 a stronger Union party system reduced it.</x:v>
      </x:c>
      <x:c r="I123" s="37" t="str">
        <x:v>Territory and federal power</x:v>
      </x:c>
      <x:c r="J123" s="37" t="str">
        <x:v>Competitive bipolar state politics operated within UPA-era coalition government, followed by BJP national dominance after 2014.</x:v>
      </x:c>
      <x:c r="K123" s="37" t="str">
        <x:v>High-growth globalization, welfare expansion, the 2008 crisis and early digital governance shaped policy choices.</x:v>
      </x:c>
      <x:c r="L123" s="37" t="str">
        <x:v>24-hour news, Sun Network power, mobile communication and emerging social media intensified scrutiny.</x:v>
      </x:c>
      <x:c r="M123" s="37" t="str">
        <x:v>A minority state government depended on legislative allies; courts, audit institutions and coalition partners constrained action.</x:v>
      </x:c>
      <x:c r="N123" s="37" t="str">
        <x:v>Gender norms affected access and representation but were rarely the sole driver.</x:v>
      </x:c>
      <x:c r="O123" s="37" t="str">
        <x:v>Language, caste, region and class were often more explicit axes of mobilization.</x:v>
      </x:c>
      <x:c r="P123" s="37" t="str">
        <x:v>Conditions stated in finding</x:v>
      </x:c>
      <x:c r="Q123" s="37" t="str">
        <x:v>Tamil Nadu chief ministers, regional-party leaders and opposition figures in the same period</x:v>
      </x:c>
      <x:c r="R123" s="37" t="str">
        <x:v>Assessment reconstructed from phase-specific records.</x:v>
      </x:c>
      <x:c r="S123" s="37" t="str">
        <x:v>Later scholarship evaluates institutional and distributional consequences.</x:v>
      </x:c>
      <x:c r="T123" s="37" t="str">
        <x:v>Use contemporaneous territorial names, feasible alternatives and institutional powers; context does not excuse rights violations or corruption.</x:v>
      </x:c>
      <x:c r="U123" s="37" t="str">
        <x:v>Digitization and source balance vary by phase.</x:v>
      </x:c>
      <x:c r="V123" s="37" t="str">
        <x:v>Analysis</x:v>
      </x:c>
      <x:c r="W123" s="37" t="str">
        <x:v>Multiple independent sources</x:v>
      </x:c>
      <x:c r="X123" s="37" t="str">
        <x:v>S04; S09; S20; S21; S22; S27</x:v>
      </x:c>
      <x:c r="Y123" s="37" t="str">
        <x:v>Broad phase synthesis; event-specific claims use narrower sources elsewhere.</x:v>
      </x:c>
    </x:row>
    <x:row r="124" ht="60" customHeight="1">
      <x:c r="A124" s="40" t="str">
        <x:v>X120</x:v>
      </x:c>
      <x:c r="B124" s="40" t="str">
        <x:v>Minority government, succession and final years</x:v>
      </x:c>
      <x:c r="C124" s="59" t="n">
        <x:v>38850</x:v>
      </x:c>
      <x:c r="D124" s="59" t="n">
        <x:v>43319</x:v>
      </x:c>
      <x:c r="E124" s="40" t="str">
        <x:v>Era</x:v>
      </x:c>
      <x:c r="F124" s="40" t="str">
        <x:v>Era 10: Evidence environment — What source limitations shape retrospective assessment?</x:v>
      </x:c>
      <x:c r="G124" s="40" t="str">
        <x:v>Research limitation</x:v>
      </x:c>
      <x:c r="H124" s="40" t="str">
        <x:v>Digital abundance improves chronology but amplifies partisan repetition; legal status must be checked against judgments and live appeals.</x:v>
      </x:c>
      <x:c r="I124" s="40" t="str">
        <x:v>Archival survival and source bias</x:v>
      </x:c>
      <x:c r="J124" s="40" t="str">
        <x:v>Competitive bipolar state politics operated within UPA-era coalition government, followed by BJP national dominance after 2014.</x:v>
      </x:c>
      <x:c r="K124" s="40" t="str">
        <x:v>High-growth globalization, welfare expansion, the 2008 crisis and early digital governance shaped policy choices.</x:v>
      </x:c>
      <x:c r="L124" s="40" t="str">
        <x:v>24-hour news, Sun Network power, mobile communication and emerging social media intensified scrutiny.</x:v>
      </x:c>
      <x:c r="M124" s="40" t="str">
        <x:v>A minority state government depended on legislative allies; courts, audit institutions and coalition partners constrained action.</x:v>
      </x:c>
      <x:c r="N124" s="40" t="str">
        <x:v>Gender norms affected access and representation but were rarely the sole driver.</x:v>
      </x:c>
      <x:c r="O124" s="40" t="str">
        <x:v>Language, caste, region and class were often more explicit axes of mobilization.</x:v>
      </x:c>
      <x:c r="P124" s="40" t="str">
        <x:v>Conditions stated in finding</x:v>
      </x:c>
      <x:c r="Q124" s="40" t="str">
        <x:v>Tamil Nadu chief ministers, regional-party leaders and opposition figures in the same period</x:v>
      </x:c>
      <x:c r="R124" s="40" t="str">
        <x:v>Assessment reconstructed from phase-specific records.</x:v>
      </x:c>
      <x:c r="S124" s="40" t="str">
        <x:v>Later scholarship evaluates institutional and distributional consequences.</x:v>
      </x:c>
      <x:c r="T124" s="40" t="str">
        <x:v>Use contemporaneous territorial names, feasible alternatives and institutional powers; context does not excuse rights violations or corruption.</x:v>
      </x:c>
      <x:c r="U124" s="40" t="str">
        <x:v>Digital abundance improves chronology but amplifies partisan repetition; legal status must be checked against judgments and live appeals.</x:v>
      </x:c>
      <x:c r="V124" s="40" t="str">
        <x:v>Analysis</x:v>
      </x:c>
      <x:c r="W124" s="40" t="str">
        <x:v>Multiple independent sources</x:v>
      </x:c>
      <x:c r="X124" s="40" t="str">
        <x:v>S04; S09; S20; S21; S22; S27</x:v>
      </x:c>
      <x:c r="Y124" s="40" t="str">
        <x:v>Broad phase synthesis; event-specific claims use narrower sources elsewhere.</x:v>
      </x:c>
    </x:row>
  </x:sheetData>
  <x:conditionalFormatting sqref="G5:G124">
    <x:cfRule type="containsText" dxfId="0" priority="1" operator="containsText" text="Evidence not found"/>
    <x:cfRule type="containsText" dxfId="1" priority="2" operator="containsText" text="Research limitation"/>
  </x:conditionalFormatting>
  <x:pageMargins left="0.7" right="0.7" top="0.75" bottom="0.75" header="0.3" footer="0.3"/>
  <x:tableParts count="1">
    <x:tablePart xmlns:r="http://schemas.openxmlformats.org/officeDocument/2006/relationships" r:id="Rae45526f6a45427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26" hidden="0" customWidth="1"/>
    <x:col min="6" max="6" width="20" hidden="0" customWidth="1"/>
    <x:col min="7" max="7" width="28" hidden="0" customWidth="1"/>
    <x:col min="8" max="8" width="22" hidden="0" customWidth="1"/>
    <x:col min="9" max="9" width="48" hidden="0" customWidth="1"/>
    <x:col min="10" max="10" width="45" hidden="0" customWidth="1"/>
    <x:col min="11" max="11" width="16" hidden="0" customWidth="1"/>
    <x:col min="12" max="12" width="22" hidden="0" customWidth="1"/>
    <x:col min="13" max="13" width="20" hidden="0" customWidth="1"/>
    <x:col min="14" max="14" width="30" hidden="0" customWidth="1"/>
    <x:col min="15" max="15" width="25" hidden="0" customWidth="1"/>
    <x:col min="16" max="16" width="12" hidden="0" customWidth="1"/>
  </x:cols>
  <x:sheetData>
    <x:row r="1" ht="24" customHeight="1">
      <x:c r="A1" s="28" t="str">
        <x:v>Career timeline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</x:row>
    <x:row r="2" ht="28" customHeight="1">
      <x:c r="A2" s="30" t="str">
        <x:v>One consequential event per row; dates reflect the stated precision.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</x:row>
    <x:row r="4" ht="36" customHeight="1">
      <x:c r="A4" s="53" t="str">
        <x:v>Timeline ID</x:v>
      </x:c>
      <x:c r="B4" s="54" t="str">
        <x:v>Start date</x:v>
      </x:c>
      <x:c r="C4" s="54" t="str">
        <x:v>End date</x:v>
      </x:c>
      <x:c r="D4" s="54" t="str">
        <x:v>Date precision</x:v>
      </x:c>
      <x:c r="E4" s="54" t="str">
        <x:v>Phase or event</x:v>
      </x:c>
      <x:c r="F4" s="54" t="str">
        <x:v>Event type</x:v>
      </x:c>
      <x:c r="G4" s="54" t="str">
        <x:v>Office, organization or institution</x:v>
      </x:c>
      <x:c r="H4" s="54" t="str">
        <x:v>Location or jurisdiction</x:v>
      </x:c>
      <x:c r="I4" s="54" t="str">
        <x:v>Description</x:v>
      </x:c>
      <x:c r="J4" s="54" t="str">
        <x:v>Significance</x:v>
      </x:c>
      <x:c r="K4" s="54" t="str">
        <x:v>Claim type</x:v>
      </x:c>
      <x:c r="L4" s="54" t="str">
        <x:v>Corroboration</x:v>
      </x:c>
      <x:c r="M4" s="54" t="str">
        <x:v>Source IDs</x:v>
      </x:c>
      <x:c r="N4" s="54" t="str">
        <x:v>Research note</x:v>
      </x:c>
      <x:c r="O4" s="54" t="str">
        <x:v>Career phase</x:v>
      </x:c>
      <x:c r="P4" s="55" t="str">
        <x:v>Context ID</x:v>
      </x:c>
    </x:row>
    <x:row r="5" ht="42" customHeight="1">
      <x:c r="A5" s="35" t="str">
        <x:v>T01</x:v>
      </x:c>
      <x:c r="B5" s="57" t="n">
        <x:v>8921</x:v>
      </x:c>
      <x:c r="C5" s="57"/>
      <x:c r="D5" s="35" t="str">
        <x:v>Day</x:v>
      </x:c>
      <x:c r="E5" s="35" t="str">
        <x:v>Birth</x:v>
      </x:c>
      <x:c r="F5" s="35" t="str">
        <x:v>Formative</x:v>
      </x:c>
      <x:c r="G5" s="35" t="str">
        <x:v>Thirukkuvalai</x:v>
      </x:c>
      <x:c r="H5" s="35" t="str">
        <x:v>Tanjore district, Madras Presidency</x:v>
      </x:c>
      <x:c r="I5" s="35" t="str">
        <x:v>Born Muthuvel Karunanidhi into an Isai Vellalar family.</x:v>
      </x:c>
      <x:c r="J5" s="35" t="str">
        <x:v>Rural, linguistic and caste experience later informed his political self-presentation.</x:v>
      </x:c>
      <x:c r="K5" s="35" t="str">
        <x:v>Recorded fact</x:v>
      </x:c>
      <x:c r="L5" s="35" t="str">
        <x:v>Multiple independent sources</x:v>
      </x:c>
      <x:c r="M5" s="35" t="str">
        <x:v>S06; S07; S08</x:v>
      </x:c>
      <x:c r="N5" s="35"/>
      <x:c r="O5" s="35" t="str">
        <x:v>P1</x:v>
      </x:c>
      <x:c r="P5" s="35" t="str">
        <x:v>P1</x:v>
      </x:c>
    </x:row>
    <x:row r="6" ht="42" customHeight="1">
      <x:c r="A6" s="37" t="str">
        <x:v>T02</x:v>
      </x:c>
      <x:c r="B6" s="58" t="n">
        <x:v>13881</x:v>
      </x:c>
      <x:c r="C6" s="58" t="n">
        <x:v>14610</x:v>
      </x:c>
      <x:c r="D6" s="37" t="str">
        <x:v>Year range</x:v>
      </x:c>
      <x:c r="E6" s="37" t="str">
        <x:v>Student anti-Hindi activism</x:v>
      </x:c>
      <x:c r="F6" s="37" t="str">
        <x:v>Movement</x:v>
      </x:c>
      <x:c r="G6" s="37" t="str">
        <x:v>Student organization</x:v>
      </x:c>
      <x:c r="H6" s="37" t="str">
        <x:v>Tiruvarur</x:v>
      </x:c>
      <x:c r="I6" s="37" t="str">
        <x:v>Organized students and wrote against compulsory Hindi during the late-colonial agitation.</x:v>
      </x:c>
      <x:c r="J6" s="37" t="str">
        <x:v>Early fusion of language politics, writing and organization.</x:v>
      </x:c>
      <x:c r="K6" s="37" t="str">
        <x:v>Recorded fact</x:v>
      </x:c>
      <x:c r="L6" s="37" t="str">
        <x:v>Multiple independent sources</x:v>
      </x:c>
      <x:c r="M6" s="37" t="str">
        <x:v>S06; S07</x:v>
      </x:c>
      <x:c r="N6" s="37"/>
      <x:c r="O6" s="37" t="str">
        <x:v>P1</x:v>
      </x:c>
      <x:c r="P6" s="37" t="str">
        <x:v>P1</x:v>
      </x:c>
    </x:row>
    <x:row r="7" ht="42" customHeight="1">
      <x:c r="A7" s="37" t="str">
        <x:v>T03</x:v>
      </x:c>
      <x:c r="B7" s="58" t="n">
        <x:v>15563</x:v>
      </x:c>
      <x:c r="C7" s="58"/>
      <x:c r="D7" s="37" t="str">
        <x:v>Year</x:v>
      </x:c>
      <x:c r="E7" s="37" t="str">
        <x:v>Launch of Murasoli</x:v>
      </x:c>
      <x:c r="F7" s="37" t="str">
        <x:v>Media</x:v>
      </x:c>
      <x:c r="G7" s="37" t="str">
        <x:v>Murasoli</x:v>
      </x:c>
      <x:c r="H7" s="37" t="str">
        <x:v>Tiruvarur</x:v>
      </x:c>
      <x:c r="I7" s="37" t="str">
        <x:v>Began Murasoli as a handwritten/printed publication that became the DMK organ.</x:v>
      </x:c>
      <x:c r="J7" s="37" t="str">
        <x:v>Built an enduring party communication institution.</x:v>
      </x:c>
      <x:c r="K7" s="37" t="str">
        <x:v>Recorded fact</x:v>
      </x:c>
      <x:c r="L7" s="37" t="str">
        <x:v>Multiple independent sources</x:v>
      </x:c>
      <x:c r="M7" s="37" t="str">
        <x:v>S06; S07</x:v>
      </x:c>
      <x:c r="N7" s="37"/>
      <x:c r="O7" s="37" t="str">
        <x:v>P1</x:v>
      </x:c>
      <x:c r="P7" s="37" t="str">
        <x:v>P1</x:v>
      </x:c>
    </x:row>
    <x:row r="8" ht="42" customHeight="1">
      <x:c r="A8" s="37" t="str">
        <x:v>T04</x:v>
      </x:c>
      <x:c r="B8" s="58" t="n">
        <x:v>18158</x:v>
      </x:c>
      <x:c r="C8" s="58"/>
      <x:c r="D8" s="37" t="str">
        <x:v>Day</x:v>
      </x:c>
      <x:c r="E8" s="37" t="str">
        <x:v>DMK founded</x:v>
      </x:c>
      <x:c r="F8" s="37" t="str">
        <x:v>Party formation</x:v>
      </x:c>
      <x:c r="G8" s="37" t="str">
        <x:v>DMK</x:v>
      </x:c>
      <x:c r="H8" s="37" t="str">
        <x:v>Madras</x:v>
      </x:c>
      <x:c r="I8" s="37" t="str">
        <x:v>Joined Annadurai and other dissidents in founding the electoral party.</x:v>
      </x:c>
      <x:c r="J8" s="37" t="str">
        <x:v>Shifted Dravidian politics toward electoral competition.</x:v>
      </x:c>
      <x:c r="K8" s="37" t="str">
        <x:v>Recorded fact</x:v>
      </x:c>
      <x:c r="L8" s="37" t="str">
        <x:v>Multiple independent sources</x:v>
      </x:c>
      <x:c r="M8" s="37" t="str">
        <x:v>S04; S05; S06</x:v>
      </x:c>
      <x:c r="N8" s="37"/>
      <x:c r="O8" s="37" t="str">
        <x:v>P2</x:v>
      </x:c>
      <x:c r="P8" s="37" t="str">
        <x:v>P2</x:v>
      </x:c>
    </x:row>
    <x:row r="9" ht="42" customHeight="1">
      <x:c r="A9" s="37" t="str">
        <x:v>T05</x:v>
      </x:c>
      <x:c r="B9" s="58" t="n">
        <x:v>19284</x:v>
      </x:c>
      <x:c r="C9" s="58"/>
      <x:c r="D9" s="37" t="str">
        <x:v>Year</x:v>
      </x:c>
      <x:c r="E9" s="37" t="str">
        <x:v>Parasakthi released</x:v>
      </x:c>
      <x:c r="F9" s="37" t="str">
        <x:v>Cultural politics</x:v>
      </x:c>
      <x:c r="G9" s="37" t="str">
        <x:v>Tamil cinema</x:v>
      </x:c>
      <x:c r="H9" s="37" t="str">
        <x:v>Madras State</x:v>
      </x:c>
      <x:c r="I9" s="37" t="str">
        <x:v>His screenplay used dramatic dialogue to popularize rationalist and social-reform themes.</x:v>
      </x:c>
      <x:c r="J9" s="37" t="str">
        <x:v>Demonstrated cinema's capacity as party-adjacent mass communication.</x:v>
      </x:c>
      <x:c r="K9" s="37" t="str">
        <x:v>Analysis</x:v>
      </x:c>
      <x:c r="L9" s="37" t="str">
        <x:v>Multiple independent sources</x:v>
      </x:c>
      <x:c r="M9" s="37" t="str">
        <x:v>S05; S06; S07</x:v>
      </x:c>
      <x:c r="N9" s="37" t="str">
        <x:v>Film effect cannot be isolated from stars, directors and wider movement.</x:v>
      </x:c>
      <x:c r="O9" s="37" t="str">
        <x:v>P2</x:v>
      </x:c>
      <x:c r="P9" s="37" t="str">
        <x:v>P2</x:v>
      </x:c>
    </x:row>
    <x:row r="10" ht="42" customHeight="1">
      <x:c r="A10" s="37" t="str">
        <x:v>T06</x:v>
      </x:c>
      <x:c r="B10" s="58" t="n">
        <x:v>19555</x:v>
      </x:c>
      <x:c r="C10" s="58"/>
      <x:c r="D10" s="37" t="str">
        <x:v>Approximate day</x:v>
      </x:c>
      <x:c r="E10" s="37" t="str">
        <x:v>Kallakudi agitation</x:v>
      </x:c>
      <x:c r="F10" s="37" t="str">
        <x:v>Movement</x:v>
      </x:c>
      <x:c r="G10" s="37" t="str">
        <x:v>DMK</x:v>
      </x:c>
      <x:c r="H10" s="37" t="str">
        <x:v>Kallakudi</x:v>
      </x:c>
      <x:c r="I10" s="37" t="str">
        <x:v>Participated in railway-track protest against the name Dalmiapuram and was imprisoned.</x:v>
      </x:c>
      <x:c r="J10" s="37" t="str">
        <x:v>Raised his standing as a direct-action organizer.</x:v>
      </x:c>
      <x:c r="K10" s="37" t="str">
        <x:v>Recorded fact</x:v>
      </x:c>
      <x:c r="L10" s="37" t="str">
        <x:v>Multiple independent sources</x:v>
      </x:c>
      <x:c r="M10" s="37" t="str">
        <x:v>S06; S07</x:v>
      </x:c>
      <x:c r="N10" s="37"/>
      <x:c r="O10" s="37" t="str">
        <x:v>P2</x:v>
      </x:c>
      <x:c r="P10" s="37" t="str">
        <x:v>P2</x:v>
      </x:c>
    </x:row>
    <x:row r="11" ht="42" customHeight="1">
      <x:c r="A11" s="37" t="str">
        <x:v>T07</x:v>
      </x:c>
      <x:c r="B11" s="58" t="n">
        <x:v>20880</x:v>
      </x:c>
      <x:c r="C11" s="58"/>
      <x:c r="D11" s="37" t="str">
        <x:v>Month</x:v>
      </x:c>
      <x:c r="E11" s="37" t="str">
        <x:v>First elected MLA</x:v>
      </x:c>
      <x:c r="F11" s="37" t="str">
        <x:v>Election</x:v>
      </x:c>
      <x:c r="G11" s="37" t="str">
        <x:v>Madras Legislative Assembly</x:v>
      </x:c>
      <x:c r="H11" s="37" t="str">
        <x:v>Kulithalai</x:v>
      </x:c>
      <x:c r="I11" s="37" t="str">
        <x:v>Won his first Assembly election.</x:v>
      </x:c>
      <x:c r="J11" s="37" t="str">
        <x:v>Began an unbroken record of victory in every Assembly contest he entered.</x:v>
      </x:c>
      <x:c r="K11" s="37" t="str">
        <x:v>Recorded fact</x:v>
      </x:c>
      <x:c r="L11" s="37" t="str">
        <x:v>Primary record plus corroboration</x:v>
      </x:c>
      <x:c r="M11" s="37" t="str">
        <x:v>S01; S02</x:v>
      </x:c>
      <x:c r="N11" s="37"/>
      <x:c r="O11" s="37" t="str">
        <x:v>P2</x:v>
      </x:c>
      <x:c r="P11" s="37" t="str">
        <x:v>P2</x:v>
      </x:c>
    </x:row>
    <x:row r="12" ht="42" customHeight="1">
      <x:c r="A12" s="37" t="str">
        <x:v>T08</x:v>
      </x:c>
      <x:c r="B12" s="58" t="n">
        <x:v>24537</x:v>
      </x:c>
      <x:c r="C12" s="58"/>
      <x:c r="D12" s="37" t="str">
        <x:v>Day</x:v>
      </x:c>
      <x:c r="E12" s="37" t="str">
        <x:v>DMK enters government</x:v>
      </x:c>
      <x:c r="F12" s="37" t="str">
        <x:v>Government</x:v>
      </x:c>
      <x:c r="G12" s="37" t="str">
        <x:v>Annadurai ministry</x:v>
      </x:c>
      <x:c r="H12" s="37" t="str">
        <x:v>Tamil Nadu</x:v>
      </x:c>
      <x:c r="I12" s="37" t="str">
        <x:v>Became Public Works Minister after the DMK displaced Congress.</x:v>
      </x:c>
      <x:c r="J12" s="37" t="str">
        <x:v>Transition from movement communicator to state administrator.</x:v>
      </x:c>
      <x:c r="K12" s="37" t="str">
        <x:v>Recorded fact</x:v>
      </x:c>
      <x:c r="L12" s="37" t="str">
        <x:v>Multiple independent sources</x:v>
      </x:c>
      <x:c r="M12" s="37" t="str">
        <x:v>S04; S06</x:v>
      </x:c>
      <x:c r="N12" s="37"/>
      <x:c r="O12" s="37" t="str">
        <x:v>P2</x:v>
      </x:c>
      <x:c r="P12" s="37" t="str">
        <x:v>P2</x:v>
      </x:c>
    </x:row>
    <x:row r="13" ht="42" customHeight="1">
      <x:c r="A13" s="37" t="str">
        <x:v>T09</x:v>
      </x:c>
      <x:c r="B13" s="58" t="n">
        <x:v>25244</x:v>
      </x:c>
      <x:c r="C13" s="58"/>
      <x:c r="D13" s="37" t="str">
        <x:v>Day</x:v>
      </x:c>
      <x:c r="E13" s="37" t="str">
        <x:v>First became chief minister</x:v>
      </x:c>
      <x:c r="F13" s="37" t="str">
        <x:v>Executive</x:v>
      </x:c>
      <x:c r="G13" s="37" t="str">
        <x:v>Government of Tamil Nadu</x:v>
      </x:c>
      <x:c r="H13" s="37" t="str">
        <x:v>Tamil Nadu</x:v>
      </x:c>
      <x:c r="I13" s="37" t="str">
        <x:v>Chosen after Annadurai's death and sworn in as chief minister.</x:v>
      </x:c>
      <x:c r="J13" s="37" t="str">
        <x:v>Began five non-consecutive chief-ministerial terms.</x:v>
      </x:c>
      <x:c r="K13" s="37" t="str">
        <x:v>Recorded fact</x:v>
      </x:c>
      <x:c r="L13" s="37" t="str">
        <x:v>Multiple independent sources</x:v>
      </x:c>
      <x:c r="M13" s="37" t="str">
        <x:v>S04; S06</x:v>
      </x:c>
      <x:c r="N13" s="37"/>
      <x:c r="O13" s="37" t="str">
        <x:v>P3</x:v>
      </x:c>
      <x:c r="P13" s="37" t="str">
        <x:v>P3</x:v>
      </x:c>
    </x:row>
    <x:row r="14" ht="42" customHeight="1">
      <x:c r="A14" s="37" t="str">
        <x:v>T10</x:v>
      </x:c>
      <x:c r="B14" s="58" t="n">
        <x:v>25468</x:v>
      </x:c>
      <x:c r="C14" s="58"/>
      <x:c r="D14" s="37" t="str">
        <x:v>Year</x:v>
      </x:c>
      <x:c r="E14" s="37" t="str">
        <x:v>Rajamannar Committee appointed</x:v>
      </x:c>
      <x:c r="F14" s="37" t="str">
        <x:v>Federalism</x:v>
      </x:c>
      <x:c r="G14" s="37" t="str">
        <x:v>Government of Tamil Nadu</x:v>
      </x:c>
      <x:c r="H14" s="37" t="str">
        <x:v>Tamil Nadu</x:v>
      </x:c>
      <x:c r="I14" s="37" t="str">
        <x:v>Appointed a committee to examine Centre–State relations and state autonomy.</x:v>
      </x:c>
      <x:c r="J14" s="37" t="str">
        <x:v>Created an early institutional statement of regional federal claims.</x:v>
      </x:c>
      <x:c r="K14" s="37" t="str">
        <x:v>Recorded fact</x:v>
      </x:c>
      <x:c r="L14" s="37" t="str">
        <x:v>Multiple independent sources</x:v>
      </x:c>
      <x:c r="M14" s="37" t="str">
        <x:v>S15; S04</x:v>
      </x:c>
      <x:c r="N14" s="37"/>
      <x:c r="O14" s="37" t="str">
        <x:v>P3</x:v>
      </x:c>
      <x:c r="P14" s="37" t="str">
        <x:v>P3</x:v>
      </x:c>
    </x:row>
    <x:row r="15" ht="42" customHeight="1">
      <x:c r="A15" s="37" t="str">
        <x:v>T11</x:v>
      </x:c>
      <x:c r="B15" s="58" t="n">
        <x:v>26589</x:v>
      </x:c>
      <x:c r="C15" s="58"/>
      <x:c r="D15" s="37" t="str">
        <x:v>Day</x:v>
      </x:c>
      <x:c r="E15" s="37" t="str">
        <x:v>MGR expelled; AIADMK formed</x:v>
      </x:c>
      <x:c r="F15" s="37" t="str">
        <x:v>Party split</x:v>
      </x:c>
      <x:c r="G15" s="37" t="str">
        <x:v>DMK / AIADMK</x:v>
      </x:c>
      <x:c r="H15" s="37" t="str">
        <x:v>Tamil Nadu</x:v>
      </x:c>
      <x:c r="I15" s="37" t="str">
        <x:v>Karunanidhi-led DMK expelled M. G. Ramachandran amid an internal rupture; MGR founded AIADMK.</x:v>
      </x:c>
      <x:c r="J15" s="37" t="str">
        <x:v>Established the durable bipolar structure of Tamil Nadu politics.</x:v>
      </x:c>
      <x:c r="K15" s="37" t="str">
        <x:v>Recorded fact</x:v>
      </x:c>
      <x:c r="L15" s="37" t="str">
        <x:v>Multiple independent sources</x:v>
      </x:c>
      <x:c r="M15" s="37" t="str">
        <x:v>S04; S06; S07</x:v>
      </x:c>
      <x:c r="N15" s="37"/>
      <x:c r="O15" s="37" t="str">
        <x:v>P3</x:v>
      </x:c>
      <x:c r="P15" s="37" t="str">
        <x:v>P3</x:v>
      </x:c>
    </x:row>
    <x:row r="16" ht="42" customHeight="1">
      <x:c r="A16" s="37" t="str">
        <x:v>T12</x:v>
      </x:c>
      <x:c r="B16" s="58" t="n">
        <x:v>27790</x:v>
      </x:c>
      <x:c r="C16" s="58"/>
      <x:c r="D16" s="37" t="str">
        <x:v>Day</x:v>
      </x:c>
      <x:c r="E16" s="37" t="str">
        <x:v>Government dismissed</x:v>
      </x:c>
      <x:c r="F16" s="37" t="str">
        <x:v>Constitutional crisis</x:v>
      </x:c>
      <x:c r="G16" s="37" t="str">
        <x:v>Union and Tamil Nadu governments</x:v>
      </x:c>
      <x:c r="H16" s="37" t="str">
        <x:v>Tamil Nadu</x:v>
      </x:c>
      <x:c r="I16" s="37" t="str">
        <x:v>Union government dismissed the DMK ministry under Article 356 during the Emergency.</x:v>
      </x:c>
      <x:c r="J16" s="37" t="str">
        <x:v>Central episode in Karunanidhi's democratic and federal legacy; corruption allegations were separately investigated.</x:v>
      </x:c>
      <x:c r="K16" s="37" t="str">
        <x:v>Recorded fact</x:v>
      </x:c>
      <x:c r="L16" s="37" t="str">
        <x:v>Multiple independent sources</x:v>
      </x:c>
      <x:c r="M16" s="37" t="str">
        <x:v>S16; S17; S18</x:v>
      </x:c>
      <x:c r="N16" s="37"/>
      <x:c r="O16" s="37" t="str">
        <x:v>P3</x:v>
      </x:c>
      <x:c r="P16" s="37" t="str">
        <x:v>P3</x:v>
      </x:c>
    </x:row>
    <x:row r="17" ht="42" customHeight="1">
      <x:c r="A17" s="37" t="str">
        <x:v>T13</x:v>
      </x:c>
      <x:c r="B17" s="58" t="n">
        <x:v>30538</x:v>
      </x:c>
      <x:c r="C17" s="58"/>
      <x:c r="D17" s="37" t="str">
        <x:v>Year</x:v>
      </x:c>
      <x:c r="E17" s="37" t="str">
        <x:v>Resigned Assembly seat over Sri Lankan Tamil issue</x:v>
      </x:c>
      <x:c r="F17" s="37" t="str">
        <x:v>Movement / legislature</x:v>
      </x:c>
      <x:c r="G17" s="37" t="str">
        <x:v>DMK</x:v>
      </x:c>
      <x:c r="H17" s="37" t="str">
        <x:v>Tamil Nadu</x:v>
      </x:c>
      <x:c r="I17" s="37" t="str">
        <x:v>Karunanidhi and K. Anbazhagan resigned their seats after anti-Tamil violence in Sri Lanka.</x:v>
      </x:c>
      <x:c r="J17" s="37" t="str">
        <x:v>Made Sri Lankan Tamil politics a sustained party issue.</x:v>
      </x:c>
      <x:c r="K17" s="37" t="str">
        <x:v>Recorded fact</x:v>
      </x:c>
      <x:c r="L17" s="37" t="str">
        <x:v>Multiple independent sources</x:v>
      </x:c>
      <x:c r="M17" s="37" t="str">
        <x:v>S06; S07</x:v>
      </x:c>
      <x:c r="N17" s="37"/>
      <x:c r="O17" s="37" t="str">
        <x:v>P4</x:v>
      </x:c>
      <x:c r="P17" s="37" t="str">
        <x:v>P4</x:v>
      </x:c>
    </x:row>
    <x:row r="18" ht="42" customHeight="1">
      <x:c r="A18" s="37" t="str">
        <x:v>T14</x:v>
      </x:c>
      <x:c r="B18" s="58" t="n">
        <x:v>32430</x:v>
      </x:c>
      <x:c r="C18" s="58"/>
      <x:c r="D18" s="37" t="str">
        <x:v>Month</x:v>
      </x:c>
      <x:c r="E18" s="37" t="str">
        <x:v>National Front launch in Madras</x:v>
      </x:c>
      <x:c r="F18" s="37" t="str">
        <x:v>Coalition</x:v>
      </x:c>
      <x:c r="G18" s="37" t="str">
        <x:v>National Front</x:v>
      </x:c>
      <x:c r="H18" s="37" t="str">
        <x:v>Madras</x:v>
      </x:c>
      <x:c r="I18" s="37" t="str">
        <x:v>Helped convene opposition leaders and backed a federal coalition alternative.</x:v>
      </x:c>
      <x:c r="J18" s="37" t="str">
        <x:v>Prefigured regional-party leverage in Union governments.</x:v>
      </x:c>
      <x:c r="K18" s="37" t="str">
        <x:v>Recorded fact</x:v>
      </x:c>
      <x:c r="L18" s="37" t="str">
        <x:v>Multiple independent sources</x:v>
      </x:c>
      <x:c r="M18" s="37" t="str">
        <x:v>S04; S26</x:v>
      </x:c>
      <x:c r="N18" s="37"/>
      <x:c r="O18" s="37" t="str">
        <x:v>P4</x:v>
      </x:c>
      <x:c r="P18" s="37" t="str">
        <x:v>P4</x:v>
      </x:c>
    </x:row>
    <x:row r="19" ht="42" customHeight="1">
      <x:c r="A19" s="37" t="str">
        <x:v>T15</x:v>
      </x:c>
      <x:c r="B19" s="58" t="n">
        <x:v>32535</x:v>
      </x:c>
      <x:c r="C19" s="58"/>
      <x:c r="D19" s="37" t="str">
        <x:v>Day</x:v>
      </x:c>
      <x:c r="E19" s="37" t="str">
        <x:v>Returned as chief minister</x:v>
      </x:c>
      <x:c r="F19" s="37" t="str">
        <x:v>Executive</x:v>
      </x:c>
      <x:c r="G19" s="37" t="str">
        <x:v>Government of Tamil Nadu</x:v>
      </x:c>
      <x:c r="H19" s="37" t="str">
        <x:v>Tamil Nadu</x:v>
      </x:c>
      <x:c r="I19" s="37" t="str">
        <x:v>DMK returned after MGR's death and AIADMK division.</x:v>
      </x:c>
      <x:c r="J19" s="37" t="str">
        <x:v>Restored the party to government after thirteen years.</x:v>
      </x:c>
      <x:c r="K19" s="37" t="str">
        <x:v>Recorded fact</x:v>
      </x:c>
      <x:c r="L19" s="37" t="str">
        <x:v>Multiple independent sources</x:v>
      </x:c>
      <x:c r="M19" s="37" t="str">
        <x:v>S04; S30</x:v>
      </x:c>
      <x:c r="N19" s="37"/>
      <x:c r="O19" s="37" t="str">
        <x:v>P4</x:v>
      </x:c>
      <x:c r="P19" s="37" t="str">
        <x:v>P4</x:v>
      </x:c>
    </x:row>
    <x:row r="20" ht="42" customHeight="1">
      <x:c r="A20" s="37" t="str">
        <x:v>T16</x:v>
      </x:c>
      <x:c r="B20" s="58" t="n">
        <x:v>32634</x:v>
      </x:c>
      <x:c r="C20" s="58"/>
      <x:c r="D20" s="37" t="str">
        <x:v>Day</x:v>
      </x:c>
      <x:c r="E20" s="37" t="str">
        <x:v>Daughters' coparcenary rights amendment passed</x:v>
      </x:c>
      <x:c r="F20" s="37" t="str">
        <x:v>Gender policy</x:v>
      </x:c>
      <x:c r="G20" s="37" t="str">
        <x:v>Tamil Nadu Legislature</x:v>
      </x:c>
      <x:c r="H20" s="37" t="str">
        <x:v>Tamil Nadu</x:v>
      </x:c>
      <x:c r="I20" s="37" t="str">
        <x:v>State amendment extended coparcenary rights to qualifying daughters before the 2005 national reform.</x:v>
      </x:c>
      <x:c r="J20" s="37" t="str">
        <x:v>Significant substantive gender-law reform, though eligibility limits and implementation matter.</x:v>
      </x:c>
      <x:c r="K20" s="37" t="str">
        <x:v>Recorded fact</x:v>
      </x:c>
      <x:c r="L20" s="37" t="str">
        <x:v>Official record plus analysis</x:v>
      </x:c>
      <x:c r="M20" s="37" t="str">
        <x:v>S10; S06</x:v>
      </x:c>
      <x:c r="N20" s="37"/>
      <x:c r="O20" s="37" t="str">
        <x:v>P4</x:v>
      </x:c>
      <x:c r="P20" s="37" t="str">
        <x:v>P4</x:v>
      </x:c>
    </x:row>
    <x:row r="21" ht="42" customHeight="1">
      <x:c r="A21" s="37" t="str">
        <x:v>T17</x:v>
      </x:c>
      <x:c r="B21" s="58" t="n">
        <x:v>33268</x:v>
      </x:c>
      <x:c r="C21" s="58"/>
      <x:c r="D21" s="37" t="str">
        <x:v>Day</x:v>
      </x:c>
      <x:c r="E21" s="37" t="str">
        <x:v>Government dismissed</x:v>
      </x:c>
      <x:c r="F21" s="37" t="str">
        <x:v>Constitutional crisis</x:v>
      </x:c>
      <x:c r="G21" s="37" t="str">
        <x:v>Union and Tamil Nadu governments</x:v>
      </x:c>
      <x:c r="H21" s="37" t="str">
        <x:v>Tamil Nadu</x:v>
      </x:c>
      <x:c r="I21" s="37" t="str">
        <x:v>Union dismissed the DMK ministry, citing breakdown of constitutional machinery and alleged failure regarding militant activity.</x:v>
      </x:c>
      <x:c r="J21" s="37" t="str">
        <x:v>Later federal doctrine makes the episode central to debates over Article 356; no simple personal legal finding follows from dismissal.</x:v>
      </x:c>
      <x:c r="K21" s="37" t="str">
        <x:v>Recorded fact</x:v>
      </x:c>
      <x:c r="L21" s="37" t="str">
        <x:v>Multiple independent sources</x:v>
      </x:c>
      <x:c r="M21" s="37" t="str">
        <x:v>S19; S30; S04</x:v>
      </x:c>
      <x:c r="N21" s="37"/>
      <x:c r="O21" s="37" t="str">
        <x:v>P5</x:v>
      </x:c>
      <x:c r="P21" s="37" t="str">
        <x:v>P5</x:v>
      </x:c>
    </x:row>
    <x:row r="22" ht="42" customHeight="1">
      <x:c r="A22" s="37" t="str">
        <x:v>T18</x:v>
      </x:c>
      <x:c r="B22" s="58" t="n">
        <x:v>35198</x:v>
      </x:c>
      <x:c r="C22" s="58"/>
      <x:c r="D22" s="37" t="str">
        <x:v>Day</x:v>
      </x:c>
      <x:c r="E22" s="37" t="str">
        <x:v>Fourth term began</x:v>
      </x:c>
      <x:c r="F22" s="37" t="str">
        <x:v>Executive</x:v>
      </x:c>
      <x:c r="G22" s="37" t="str">
        <x:v>Government of Tamil Nadu</x:v>
      </x:c>
      <x:c r="H22" s="37" t="str">
        <x:v>Tamil Nadu</x:v>
      </x:c>
      <x:c r="I22" s="37" t="str">
        <x:v>DMK–TMC alliance won a landslide and Karunanidhi returned as chief minister.</x:v>
      </x:c>
      <x:c r="J22" s="37" t="str">
        <x:v>Opened a major governance and liberalization-era phase.</x:v>
      </x:c>
      <x:c r="K22" s="37" t="str">
        <x:v>Recorded fact</x:v>
      </x:c>
      <x:c r="L22" s="37" t="str">
        <x:v>Multiple independent sources</x:v>
      </x:c>
      <x:c r="M22" s="37" t="str">
        <x:v>S04; S24</x:v>
      </x:c>
      <x:c r="N22" s="37"/>
      <x:c r="O22" s="37" t="str">
        <x:v>P5</x:v>
      </x:c>
      <x:c r="P22" s="37" t="str">
        <x:v>P5</x:v>
      </x:c>
    </x:row>
    <x:row r="23" ht="42" customHeight="1">
      <x:c r="A23" s="37" t="str">
        <x:v>T19</x:v>
      </x:c>
      <x:c r="B23" s="58" t="n">
        <x:v>35431</x:v>
      </x:c>
      <x:c r="C23" s="58"/>
      <x:c r="D23" s="37" t="str">
        <x:v>Year</x:v>
      </x:c>
      <x:c r="E23" s="37" t="str">
        <x:v>Samathuvapuram launched</x:v>
      </x:c>
      <x:c r="F23" s="37" t="str">
        <x:v>Social policy</x:v>
      </x:c>
      <x:c r="G23" s="37" t="str">
        <x:v>Government of Tamil Nadu</x:v>
      </x:c>
      <x:c r="H23" s="37" t="str">
        <x:v>Tamil Nadu</x:v>
      </x:c>
      <x:c r="I23" s="37" t="str">
        <x:v>Introduced mixed-caste housing settlements with quota-based allocation.</x:v>
      </x:c>
      <x:c r="J23" s="37" t="str">
        <x:v>Attempted spatial intervention against caste segregation; outcomes were mixed and locally contingent.</x:v>
      </x:c>
      <x:c r="K23" s="37" t="str">
        <x:v>Recorded fact</x:v>
      </x:c>
      <x:c r="L23" s="37" t="str">
        <x:v>Primary record plus scholarship</x:v>
      </x:c>
      <x:c r="M23" s="37" t="str">
        <x:v>S12; S13</x:v>
      </x:c>
      <x:c r="N23" s="37"/>
      <x:c r="O23" s="37" t="str">
        <x:v>P5</x:v>
      </x:c>
      <x:c r="P23" s="37" t="str">
        <x:v>P5</x:v>
      </x:c>
    </x:row>
    <x:row r="24" ht="42" customHeight="1">
      <x:c r="A24" s="37" t="str">
        <x:v>T20</x:v>
      </x:c>
      <x:c r="B24" s="58" t="n">
        <x:v>36161</x:v>
      </x:c>
      <x:c r="C24" s="58"/>
      <x:c r="D24" s="37" t="str">
        <x:v>Year</x:v>
      </x:c>
      <x:c r="E24" s="37" t="str">
        <x:v>Uzhavar Sandhai launched</x:v>
      </x:c>
      <x:c r="F24" s="37" t="str">
        <x:v>Agriculture</x:v>
      </x:c>
      <x:c r="G24" s="37" t="str">
        <x:v>Government of Tamil Nadu</x:v>
      </x:c>
      <x:c r="H24" s="37" t="str">
        <x:v>Tamil Nadu</x:v>
      </x:c>
      <x:c r="I24" s="37" t="str">
        <x:v>Established farmers' markets intended to connect producers directly with consumers.</x:v>
      </x:c>
      <x:c r="J24" s="37" t="str">
        <x:v>Became a recognizable Karunanidhi-era institution; later governments varied in support.</x:v>
      </x:c>
      <x:c r="K24" s="37" t="str">
        <x:v>Recorded fact</x:v>
      </x:c>
      <x:c r="L24" s="37" t="str">
        <x:v>Independent source</x:v>
      </x:c>
      <x:c r="M24" s="37" t="str">
        <x:v>S14</x:v>
      </x:c>
      <x:c r="N24" s="37"/>
      <x:c r="O24" s="37" t="str">
        <x:v>P5</x:v>
      </x:c>
      <x:c r="P24" s="37" t="str">
        <x:v>P5</x:v>
      </x:c>
    </x:row>
    <x:row r="25" ht="42" customHeight="1">
      <x:c r="A25" s="37" t="str">
        <x:v>T21</x:v>
      </x:c>
      <x:c r="B25" s="58" t="n">
        <x:v>36404</x:v>
      </x:c>
      <x:c r="C25" s="58"/>
      <x:c r="D25" s="37" t="str">
        <x:v>Month</x:v>
      </x:c>
      <x:c r="E25" s="37" t="str">
        <x:v>DMK joins BJP-led NDA</x:v>
      </x:c>
      <x:c r="F25" s="37" t="str">
        <x:v>Coalition</x:v>
      </x:c>
      <x:c r="G25" s="37" t="str">
        <x:v>National Democratic Alliance</x:v>
      </x:c>
      <x:c r="H25" s="37" t="str">
        <x:v>India</x:v>
      </x:c>
      <x:c r="I25" s="37" t="str">
        <x:v>Allied with the BJP-led coalition after AIADMK withdrawal from the prior Vajpayee government.</x:v>
      </x:c>
      <x:c r="J25" s="37" t="str">
        <x:v>Displayed pragmatic coalition strategy and created tension with secular-Dravidian positioning.</x:v>
      </x:c>
      <x:c r="K25" s="37" t="str">
        <x:v>Recorded fact</x:v>
      </x:c>
      <x:c r="L25" s="37" t="str">
        <x:v>Multiple independent sources</x:v>
      </x:c>
      <x:c r="M25" s="37" t="str">
        <x:v>S04; S22; S26</x:v>
      </x:c>
      <x:c r="N25" s="37"/>
      <x:c r="O25" s="37" t="str">
        <x:v>P5</x:v>
      </x:c>
      <x:c r="P25" s="37" t="str">
        <x:v>P5</x:v>
      </x:c>
    </x:row>
    <x:row r="26" ht="42" customHeight="1">
      <x:c r="A26" s="37" t="str">
        <x:v>T22</x:v>
      </x:c>
      <x:c r="B26" s="58" t="n">
        <x:v>38129</x:v>
      </x:c>
      <x:c r="C26" s="58"/>
      <x:c r="D26" s="37" t="str">
        <x:v>Month</x:v>
      </x:c>
      <x:c r="E26" s="37" t="str">
        <x:v>DMK joins UPA government</x:v>
      </x:c>
      <x:c r="F26" s="37" t="str">
        <x:v>Coalition</x:v>
      </x:c>
      <x:c r="G26" s="37" t="str">
        <x:v>United Progressive Alliance</x:v>
      </x:c>
      <x:c r="H26" s="37" t="str">
        <x:v>India</x:v>
      </x:c>
      <x:c r="I26" s="37" t="str">
        <x:v>Switched to the Congress-led alliance; DMK ministers held influential Union portfolios.</x:v>
      </x:c>
      <x:c r="J26" s="37" t="str">
        <x:v>Extended state-party leverage at the Union level and aided Tamil language demands.</x:v>
      </x:c>
      <x:c r="K26" s="37" t="str">
        <x:v>Recorded fact</x:v>
      </x:c>
      <x:c r="L26" s="37" t="str">
        <x:v>Multiple independent sources</x:v>
      </x:c>
      <x:c r="M26" s="37" t="str">
        <x:v>S04; S25; S26</x:v>
      </x:c>
      <x:c r="N26" s="37"/>
      <x:c r="O26" s="37" t="str">
        <x:v>P5</x:v>
      </x:c>
      <x:c r="P26" s="37" t="str">
        <x:v>P5</x:v>
      </x:c>
    </x:row>
    <x:row r="27" ht="42" customHeight="1">
      <x:c r="A27" s="37" t="str">
        <x:v>T23</x:v>
      </x:c>
      <x:c r="B27" s="58" t="n">
        <x:v>38850</x:v>
      </x:c>
      <x:c r="C27" s="58"/>
      <x:c r="D27" s="37" t="str">
        <x:v>Day</x:v>
      </x:c>
      <x:c r="E27" s="37" t="str">
        <x:v>Fifth term began</x:v>
      </x:c>
      <x:c r="F27" s="37" t="str">
        <x:v>Executive</x:v>
      </x:c>
      <x:c r="G27" s="37" t="str">
        <x:v>Government of Tamil Nadu</x:v>
      </x:c>
      <x:c r="H27" s="37" t="str">
        <x:v>Tamil Nadu</x:v>
      </x:c>
      <x:c r="I27" s="37" t="str">
        <x:v>Formed a minority government supported by allies.</x:v>
      </x:c>
      <x:c r="J27" s="37" t="str">
        <x:v>Required continuous coalition management within the state legislature.</x:v>
      </x:c>
      <x:c r="K27" s="37" t="str">
        <x:v>Recorded fact</x:v>
      </x:c>
      <x:c r="L27" s="37" t="str">
        <x:v>Multiple independent sources</x:v>
      </x:c>
      <x:c r="M27" s="37" t="str">
        <x:v>S04; S09</x:v>
      </x:c>
      <x:c r="N27" s="37"/>
      <x:c r="O27" s="37" t="str">
        <x:v>P6</x:v>
      </x:c>
      <x:c r="P27" s="37" t="str">
        <x:v>P6</x:v>
      </x:c>
    </x:row>
    <x:row r="28" ht="42" customHeight="1">
      <x:c r="A28" s="37" t="str">
        <x:v>T24</x:v>
      </x:c>
      <x:c r="B28" s="58" t="n">
        <x:v>39211</x:v>
      </x:c>
      <x:c r="C28" s="58"/>
      <x:c r="D28" s="37" t="str">
        <x:v>Day</x:v>
      </x:c>
      <x:c r="E28" s="37" t="str">
        <x:v>Dinakaran office attack</x:v>
      </x:c>
      <x:c r="F28" s="37" t="str">
        <x:v>Political violence / media</x:v>
      </x:c>
      <x:c r="G28" s="37" t="str">
        <x:v>Dinakaran</x:v>
      </x:c>
      <x:c r="H28" s="37" t="str">
        <x:v>Madurai</x:v>
      </x:c>
      <x:c r="I28" s="37" t="str">
        <x:v>Three employees died in an attack after a succession-preference poll angered supporters associated with M. K. Alagiri.</x:v>
      </x:c>
      <x:c r="J28" s="37" t="str">
        <x:v>Exposed risks created by dynastic competition, factional power and concentrated media ownership; no personal culpability finding against Karunanidhi is established here.</x:v>
      </x:c>
      <x:c r="K28" s="37" t="str">
        <x:v>Recorded fact</x:v>
      </x:c>
      <x:c r="L28" s="37" t="str">
        <x:v>Multiple independent sources</x:v>
      </x:c>
      <x:c r="M28" s="37" t="str">
        <x:v>S21; S29</x:v>
      </x:c>
      <x:c r="N28" s="37"/>
      <x:c r="O28" s="37" t="str">
        <x:v>P6</x:v>
      </x:c>
      <x:c r="P28" s="37" t="str">
        <x:v>P6</x:v>
      </x:c>
    </x:row>
    <x:row r="29" ht="42" customHeight="1">
      <x:c r="A29" s="37" t="str">
        <x:v>T25</x:v>
      </x:c>
      <x:c r="B29" s="58" t="n">
        <x:v>40017</x:v>
      </x:c>
      <x:c r="C29" s="58"/>
      <x:c r="D29" s="37" t="str">
        <x:v>Year</x:v>
      </x:c>
      <x:c r="E29" s="37" t="str">
        <x:v>Kalaignar health insurance launched</x:v>
      </x:c>
      <x:c r="F29" s="37" t="str">
        <x:v>Health policy</x:v>
      </x:c>
      <x:c r="G29" s="37" t="str">
        <x:v>Government of Tamil Nadu</x:v>
      </x:c>
      <x:c r="H29" s="37" t="str">
        <x:v>Tamil Nadu</x:v>
      </x:c>
      <x:c r="I29" s="37" t="str">
        <x:v>Introduced publicly financed insurance for specified high-cost treatments for eligible families.</x:v>
      </x:c>
      <x:c r="J29" s="37" t="str">
        <x:v>Expanded financial protection but also raised design and private-provider questions.</x:v>
      </x:c>
      <x:c r="K29" s="37" t="str">
        <x:v>Recorded fact</x:v>
      </x:c>
      <x:c r="L29" s="37" t="str">
        <x:v>Multiple independent sources</x:v>
      </x:c>
      <x:c r="M29" s="37" t="str">
        <x:v>S09; S27</x:v>
      </x:c>
      <x:c r="N29" s="37"/>
      <x:c r="O29" s="37" t="str">
        <x:v>P6</x:v>
      </x:c>
      <x:c r="P29" s="37" t="str">
        <x:v>P6</x:v>
      </x:c>
    </x:row>
    <x:row r="30" ht="42" customHeight="1">
      <x:c r="A30" s="37" t="str">
        <x:v>T26</x:v>
      </x:c>
      <x:c r="B30" s="58" t="n">
        <x:v>42509</x:v>
      </x:c>
      <x:c r="C30" s="58"/>
      <x:c r="D30" s="37" t="str">
        <x:v>Day</x:v>
      </x:c>
      <x:c r="E30" s="37" t="str">
        <x:v>Thirteenth Assembly victory</x:v>
      </x:c>
      <x:c r="F30" s="37" t="str">
        <x:v>Election</x:v>
      </x:c>
      <x:c r="G30" s="37" t="str">
        <x:v>Tamil Nadu Legislative Assembly</x:v>
      </x:c>
      <x:c r="H30" s="37" t="str">
        <x:v>Tiruvarur</x:v>
      </x:c>
      <x:c r="I30" s="37" t="str">
        <x:v>Won Tiruvarur by 68,366 votes at age 91.</x:v>
      </x:c>
      <x:c r="J30" s="37" t="str">
        <x:v>Completed an undefeated record across thirteen Assembly contests.</x:v>
      </x:c>
      <x:c r="K30" s="37" t="str">
        <x:v>Recorded fact</x:v>
      </x:c>
      <x:c r="L30" s="37" t="str">
        <x:v>Primary record plus corroboration</x:v>
      </x:c>
      <x:c r="M30" s="37" t="str">
        <x:v>S01; S02</x:v>
      </x:c>
      <x:c r="N30" s="37"/>
      <x:c r="O30" s="37" t="str">
        <x:v>P6</x:v>
      </x:c>
      <x:c r="P30" s="37" t="str">
        <x:v>P6</x:v>
      </x:c>
    </x:row>
    <x:row r="31" ht="42" customHeight="1">
      <x:c r="A31" s="40" t="str">
        <x:v>T27</x:v>
      </x:c>
      <x:c r="B31" s="59" t="n">
        <x:v>43319</x:v>
      </x:c>
      <x:c r="C31" s="59"/>
      <x:c r="D31" s="40" t="str">
        <x:v>Day</x:v>
      </x:c>
      <x:c r="E31" s="40" t="str">
        <x:v>Death</x:v>
      </x:c>
      <x:c r="F31" s="40" t="str">
        <x:v>Life event</x:v>
      </x:c>
      <x:c r="G31" s="40" t="str">
        <x:v>DMK</x:v>
      </x:c>
      <x:c r="H31" s="40" t="str">
        <x:v>Chennai</x:v>
      </x:c>
      <x:c r="I31" s="40" t="str">
        <x:v>Died at age 94 after a prolonged age-related illness.</x:v>
      </x:c>
      <x:c r="J31" s="40" t="str">
        <x:v>Ended nearly half a century as DMK president and triggered formal succession under M. K. Stalin.</x:v>
      </x:c>
      <x:c r="K31" s="40" t="str">
        <x:v>Recorded fact</x:v>
      </x:c>
      <x:c r="L31" s="40" t="str">
        <x:v>Multiple independent sources</x:v>
      </x:c>
      <x:c r="M31" s="40" t="str">
        <x:v>S04; S08</x:v>
      </x:c>
      <x:c r="N31" s="40"/>
      <x:c r="O31" s="40" t="str">
        <x:v>P6</x:v>
      </x:c>
      <x:c r="P31" s="40" t="str">
        <x:v>P6</x:v>
      </x:c>
    </x:row>
  </x:sheetData>
  <x:pageMargins left="0.7" right="0.7" top="0.75" bottom="0.75" header="0.3" footer="0.3"/>
  <x:tableParts count="1">
    <x:tablePart xmlns:r="http://schemas.openxmlformats.org/officeDocument/2006/relationships" r:id="R3782bf649f7e495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14" hidden="0" customWidth="1"/>
    <x:col min="5" max="5" width="18" hidden="0" customWidth="1"/>
    <x:col min="6" max="6" width="24" hidden="0" customWidth="1"/>
    <x:col min="7" max="7" width="28" hidden="0" customWidth="1"/>
    <x:col min="8" max="8" width="12" hidden="0" customWidth="1"/>
    <x:col min="9" max="9" width="16" hidden="0" customWidth="1"/>
    <x:col min="10" max="10" width="10" hidden="0" customWidth="1"/>
    <x:col min="11" max="11" width="12" hidden="0" customWidth="1"/>
    <x:col min="12" max="12" width="12" hidden="0" customWidth="1"/>
    <x:col min="13" max="13" width="24" hidden="0" customWidth="1"/>
    <x:col min="14" max="14" width="24" hidden="0" customWidth="1"/>
    <x:col min="15" max="15" width="14" hidden="0" customWidth="1"/>
    <x:col min="16" max="16" width="12" hidden="0" customWidth="1"/>
    <x:col min="17" max="17" width="12" hidden="0" customWidth="1"/>
    <x:col min="18" max="18" width="42" hidden="0" customWidth="1"/>
    <x:col min="19" max="19" width="18" hidden="0" customWidth="1"/>
    <x:col min="20" max="20" width="28" hidden="0" customWidth="1"/>
    <x:col min="21" max="21" width="24" hidden="0" customWidth="1"/>
  </x:cols>
  <x:sheetData>
    <x:row r="1" ht="24" customHeight="1">
      <x:c r="A1" s="28" t="str">
        <x:v>Assembly elections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</x:row>
    <x:row r="2" ht="28" customHeight="1">
      <x:c r="A2" s="30" t="str">
        <x:v>Personal election results only. Party-wide victories and defeats are described separately in the post-election role column.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</x:row>
    <x:row r="4" ht="36" customHeight="1">
      <x:c r="A4" s="53" t="str">
        <x:v>Election ID</x:v>
      </x:c>
      <x:c r="B4" s="54" t="str">
        <x:v>Election year</x:v>
      </x:c>
      <x:c r="C4" s="54" t="str">
        <x:v>Election type and house</x:v>
      </x:c>
      <x:c r="D4" s="54" t="str">
        <x:v>Direct or indirect</x:v>
      </x:c>
      <x:c r="E4" s="54" t="str">
        <x:v>State or jurisdiction</x:v>
      </x:c>
      <x:c r="F4" s="54" t="str">
        <x:v>Constituency as named at the time</x:v>
      </x:c>
      <x:c r="G4" s="54" t="str">
        <x:v>Constituency notes</x:v>
      </x:c>
      <x:c r="H4" s="54" t="str">
        <x:v>Party</x:v>
      </x:c>
      <x:c r="I4" s="54" t="str">
        <x:v>Candidate status</x:v>
      </x:c>
      <x:c r="J4" s="54" t="str">
        <x:v>Result</x:v>
      </x:c>
      <x:c r="K4" s="54" t="str">
        <x:v>Votes</x:v>
      </x:c>
      <x:c r="L4" s="54" t="str">
        <x:v>Vote share</x:v>
      </x:c>
      <x:c r="M4" s="54" t="str">
        <x:v>Principal opponent</x:v>
      </x:c>
      <x:c r="N4" s="54" t="str">
        <x:v>Opponent party</x:v>
      </x:c>
      <x:c r="O4" s="54" t="str">
        <x:v>Opponent votes</x:v>
      </x:c>
      <x:c r="P4" s="54" t="str">
        <x:v>Margin</x:v>
      </x:c>
      <x:c r="Q4" s="54" t="str">
        <x:v>Margin unit</x:v>
      </x:c>
      <x:c r="R4" s="54" t="str">
        <x:v>Government-formation result or post-election role</x:v>
      </x:c>
      <x:c r="S4" s="54" t="str">
        <x:v>Source IDs</x:v>
      </x:c>
      <x:c r="T4" s="54" t="str">
        <x:v>Research note</x:v>
      </x:c>
      <x:c r="U4" s="55" t="str">
        <x:v>Career phase</x:v>
      </x:c>
    </x:row>
    <x:row r="5" ht="42" customHeight="1">
      <x:c r="A5" s="35" t="str">
        <x:v>E01</x:v>
      </x:c>
      <x:c r="B5" s="35" t="n">
        <x:v>1957</x:v>
      </x:c>
      <x:c r="C5" s="35" t="str">
        <x:v>Madras Legislative Assembly</x:v>
      </x:c>
      <x:c r="D5" s="35" t="str">
        <x:v>Direct</x:v>
      </x:c>
      <x:c r="E5" s="35" t="str">
        <x:v>Madras State</x:v>
      </x:c>
      <x:c r="F5" s="35" t="str">
        <x:v>Kulithalai</x:v>
      </x:c>
      <x:c r="G5" s="35" t="str">
        <x:v>Pre-delimitation constituency name</x:v>
      </x:c>
      <x:c r="H5" s="35" t="str">
        <x:v>DMK</x:v>
      </x:c>
      <x:c r="I5" s="35" t="str">
        <x:v>Contestant</x:v>
      </x:c>
      <x:c r="J5" s="35" t="str">
        <x:v>Won</x:v>
      </x:c>
      <x:c r="K5" s="60" t="n">
        <x:v>22785</x:v>
      </x:c>
      <x:c r="L5" s="63" t="n">
        <x:v>0.4732</x:v>
      </x:c>
      <x:c r="M5" s="35" t="str">
        <x:v>K. A. Dharmalingam</x:v>
      </x:c>
      <x:c r="N5" s="35" t="str">
        <x:v>Indian National Congress</x:v>
      </x:c>
      <x:c r="O5" s="60" t="n">
        <x:v>14489</x:v>
      </x:c>
      <x:c r="P5" s="60" t="n">
        <x:v>8296</x:v>
      </x:c>
      <x:c r="Q5" s="35" t="str">
        <x:v>votes</x:v>
      </x:c>
      <x:c r="R5" s="35" t="str">
        <x:v>First election; one of 15 DMK MLAs.</x:v>
      </x:c>
      <x:c r="S5" s="35" t="str">
        <x:v>S01; S02</x:v>
      </x:c>
      <x:c r="T5" s="35"/>
      <x:c r="U5" s="35" t="str">
        <x:v>P2</x:v>
      </x:c>
    </x:row>
    <x:row r="6" ht="42" customHeight="1">
      <x:c r="A6" s="37" t="str">
        <x:v>E02</x:v>
      </x:c>
      <x:c r="B6" s="37" t="n">
        <x:v>1962</x:v>
      </x:c>
      <x:c r="C6" s="37" t="str">
        <x:v>Madras Legislative Assembly</x:v>
      </x:c>
      <x:c r="D6" s="37" t="str">
        <x:v>Direct</x:v>
      </x:c>
      <x:c r="E6" s="37" t="str">
        <x:v>Madras State</x:v>
      </x:c>
      <x:c r="F6" s="37" t="str">
        <x:v>Thanjavur</x:v>
      </x:c>
      <x:c r="G6" s="37" t="str">
        <x:v>Historical constituency boundaries</x:v>
      </x:c>
      <x:c r="H6" s="37" t="str">
        <x:v>DMK</x:v>
      </x:c>
      <x:c r="I6" s="37" t="str">
        <x:v>Contestant</x:v>
      </x:c>
      <x:c r="J6" s="37" t="str">
        <x:v>Won</x:v>
      </x:c>
      <x:c r="K6" s="61" t="n">
        <x:v>32145</x:v>
      </x:c>
      <x:c r="L6" s="64" t="n">
        <x:v>0.5089</x:v>
      </x:c>
      <x:c r="M6" s="37" t="str">
        <x:v>A. Y. S. Parisutha Nadar</x:v>
      </x:c>
      <x:c r="N6" s="37" t="str">
        <x:v>Indian National Congress</x:v>
      </x:c>
      <x:c r="O6" s="61" t="n">
        <x:v>30217</x:v>
      </x:c>
      <x:c r="P6" s="61" t="n">
        <x:v>1928</x:v>
      </x:c>
      <x:c r="Q6" s="37" t="str">
        <x:v>votes</x:v>
      </x:c>
      <x:c r="R6" s="37" t="str">
        <x:v>Returned for second term.</x:v>
      </x:c>
      <x:c r="S6" s="37" t="str">
        <x:v>S01; S02</x:v>
      </x:c>
      <x:c r="T6" s="37"/>
      <x:c r="U6" s="37" t="str">
        <x:v>P2</x:v>
      </x:c>
    </x:row>
    <x:row r="7" ht="42" customHeight="1">
      <x:c r="A7" s="37" t="str">
        <x:v>E03</x:v>
      </x:c>
      <x:c r="B7" s="37" t="n">
        <x:v>1967</x:v>
      </x:c>
      <x:c r="C7" s="37" t="str">
        <x:v>Madras Legislative Assembly</x:v>
      </x:c>
      <x:c r="D7" s="37" t="str">
        <x:v>Direct</x:v>
      </x:c>
      <x:c r="E7" s="37" t="str">
        <x:v>Madras State</x:v>
      </x:c>
      <x:c r="F7" s="37" t="str">
        <x:v>Saidapet</x:v>
      </x:c>
      <x:c r="G7" s="37" t="str">
        <x:v>State renamed Tamil Nadu in 1969</x:v>
      </x:c>
      <x:c r="H7" s="37" t="str">
        <x:v>DMK</x:v>
      </x:c>
      <x:c r="I7" s="37" t="str">
        <x:v>Contestant</x:v>
      </x:c>
      <x:c r="J7" s="37" t="str">
        <x:v>Won</x:v>
      </x:c>
      <x:c r="K7" s="61" t="n">
        <x:v>53401</x:v>
      </x:c>
      <x:c r="L7" s="64" t="n">
        <x:v>0.6096</x:v>
      </x:c>
      <x:c r="M7" s="37" t="str">
        <x:v>S. G. Vinayagamurthy</x:v>
      </x:c>
      <x:c r="N7" s="37" t="str">
        <x:v>Indian National Congress</x:v>
      </x:c>
      <x:c r="O7" s="61" t="n">
        <x:v>32919</x:v>
      </x:c>
      <x:c r="P7" s="61" t="n">
        <x:v>20482</x:v>
      </x:c>
      <x:c r="Q7" s="37" t="str">
        <x:v>votes</x:v>
      </x:c>
      <x:c r="R7" s="37" t="str">
        <x:v>Became Public Works Minister in Annadurai ministry.</x:v>
      </x:c>
      <x:c r="S7" s="37" t="str">
        <x:v>S01; S04</x:v>
      </x:c>
      <x:c r="T7" s="37"/>
      <x:c r="U7" s="37" t="str">
        <x:v>P2</x:v>
      </x:c>
    </x:row>
    <x:row r="8" ht="42" customHeight="1">
      <x:c r="A8" s="37" t="str">
        <x:v>E04</x:v>
      </x:c>
      <x:c r="B8" s="37" t="n">
        <x:v>1971</x:v>
      </x:c>
      <x:c r="C8" s="37" t="str">
        <x:v>Tamil Nadu Legislative Assembly</x:v>
      </x:c>
      <x:c r="D8" s="37" t="str">
        <x:v>Direct</x:v>
      </x:c>
      <x:c r="E8" s="37" t="str">
        <x:v>Tamil Nadu</x:v>
      </x:c>
      <x:c r="F8" s="37" t="str">
        <x:v>Saidapet</x:v>
      </x:c>
      <x:c r="G8" s="37" t="str">
        <x:v>Same name; historical boundaries</x:v>
      </x:c>
      <x:c r="H8" s="37" t="str">
        <x:v>DMK</x:v>
      </x:c>
      <x:c r="I8" s="37" t="str">
        <x:v>Contestant</x:v>
      </x:c>
      <x:c r="J8" s="37" t="str">
        <x:v>Won</x:v>
      </x:c>
      <x:c r="K8" s="61" t="n">
        <x:v>63334</x:v>
      </x:c>
      <x:c r="L8" s="64" t="n">
        <x:v>0.5446</x:v>
      </x:c>
      <x:c r="M8" s="37" t="str">
        <x:v>Kudanthai Ramalingam</x:v>
      </x:c>
      <x:c r="N8" s="37" t="str">
        <x:v>Indian National Congress (O)</x:v>
      </x:c>
      <x:c r="O8" s="61" t="n">
        <x:v>50823</x:v>
      </x:c>
      <x:c r="P8" s="61" t="n">
        <x:v>12511</x:v>
      </x:c>
      <x:c r="Q8" s="37" t="str">
        <x:v>votes</x:v>
      </x:c>
      <x:c r="R8" s="37" t="str">
        <x:v>Returned as chief minister after a fresh mandate.</x:v>
      </x:c>
      <x:c r="S8" s="37" t="str">
        <x:v>S01; S02</x:v>
      </x:c>
      <x:c r="T8" s="37"/>
      <x:c r="U8" s="37" t="str">
        <x:v>P3</x:v>
      </x:c>
    </x:row>
    <x:row r="9" ht="42" customHeight="1">
      <x:c r="A9" s="37" t="str">
        <x:v>E05</x:v>
      </x:c>
      <x:c r="B9" s="37" t="n">
        <x:v>1977</x:v>
      </x:c>
      <x:c r="C9" s="37" t="str">
        <x:v>Tamil Nadu Legislative Assembly</x:v>
      </x:c>
      <x:c r="D9" s="37" t="str">
        <x:v>Direct</x:v>
      </x:c>
      <x:c r="E9" s="37" t="str">
        <x:v>Tamil Nadu</x:v>
      </x:c>
      <x:c r="F9" s="37" t="str">
        <x:v>Anna Nagar</x:v>
      </x:c>
      <x:c r="G9" s="37" t="str">
        <x:v>Post-Emergency election</x:v>
      </x:c>
      <x:c r="H9" s="37" t="str">
        <x:v>DMK</x:v>
      </x:c>
      <x:c r="I9" s="37" t="str">
        <x:v>Contestant</x:v>
      </x:c>
      <x:c r="J9" s="37" t="str">
        <x:v>Won</x:v>
      </x:c>
      <x:c r="K9" s="61" t="n">
        <x:v>43076</x:v>
      </x:c>
      <x:c r="L9" s="64" t="n">
        <x:v>0.501</x:v>
      </x:c>
      <x:c r="M9" s="37" t="str">
        <x:v>G. Krishnamurthy</x:v>
      </x:c>
      <x:c r="N9" s="37" t="str">
        <x:v>Janata Party</x:v>
      </x:c>
      <x:c r="O9" s="61" t="n">
        <x:v>26638</x:v>
      </x:c>
      <x:c r="P9" s="61" t="n">
        <x:v>16438</x:v>
      </x:c>
      <x:c r="Q9" s="37" t="str">
        <x:v>votes</x:v>
      </x:c>
      <x:c r="R9" s="37" t="str">
        <x:v>DMK lost government; he became opposition leader.</x:v>
      </x:c>
      <x:c r="S9" s="37" t="str">
        <x:v>S01; S02</x:v>
      </x:c>
      <x:c r="T9" s="37"/>
      <x:c r="U9" s="37" t="str">
        <x:v>P4</x:v>
      </x:c>
    </x:row>
    <x:row r="10" ht="42" customHeight="1">
      <x:c r="A10" s="37" t="str">
        <x:v>E06</x:v>
      </x:c>
      <x:c r="B10" s="37" t="n">
        <x:v>1980</x:v>
      </x:c>
      <x:c r="C10" s="37" t="str">
        <x:v>Tamil Nadu Legislative Assembly</x:v>
      </x:c>
      <x:c r="D10" s="37" t="str">
        <x:v>Direct</x:v>
      </x:c>
      <x:c r="E10" s="37" t="str">
        <x:v>Tamil Nadu</x:v>
      </x:c>
      <x:c r="F10" s="37" t="str">
        <x:v>Anna Nagar</x:v>
      </x:c>
      <x:c r="G10" s="37" t="str">
        <x:v>Historical boundaries</x:v>
      </x:c>
      <x:c r="H10" s="37" t="str">
        <x:v>DMK</x:v>
      </x:c>
      <x:c r="I10" s="37" t="str">
        <x:v>Contestant</x:v>
      </x:c>
      <x:c r="J10" s="37" t="str">
        <x:v>Won</x:v>
      </x:c>
      <x:c r="K10" s="61" t="n">
        <x:v>51290</x:v>
      </x:c>
      <x:c r="L10" s="64" t="n">
        <x:v>0.4897</x:v>
      </x:c>
      <x:c r="M10" s="37" t="str">
        <x:v>H. V. Hande</x:v>
      </x:c>
      <x:c r="N10" s="37" t="str">
        <x:v>AIADMK</x:v>
      </x:c>
      <x:c r="O10" s="61" t="n">
        <x:v>50591</x:v>
      </x:c>
      <x:c r="P10" s="61" t="n">
        <x:v>699</x:v>
      </x:c>
      <x:c r="Q10" s="37" t="str">
        <x:v>votes</x:v>
      </x:c>
      <x:c r="R10" s="37" t="str">
        <x:v>Narrow personal victory during MGR dominance.</x:v>
      </x:c>
      <x:c r="S10" s="37" t="str">
        <x:v>S01; S02</x:v>
      </x:c>
      <x:c r="T10" s="37"/>
      <x:c r="U10" s="37" t="str">
        <x:v>P4</x:v>
      </x:c>
    </x:row>
    <x:row r="11" ht="42" customHeight="1">
      <x:c r="A11" s="37" t="str">
        <x:v>E07</x:v>
      </x:c>
      <x:c r="B11" s="37" t="n">
        <x:v>1989</x:v>
      </x:c>
      <x:c r="C11" s="37" t="str">
        <x:v>Tamil Nadu Legislative Assembly</x:v>
      </x:c>
      <x:c r="D11" s="37" t="str">
        <x:v>Direct</x:v>
      </x:c>
      <x:c r="E11" s="37" t="str">
        <x:v>Tamil Nadu</x:v>
      </x:c>
      <x:c r="F11" s="37" t="str">
        <x:v>Harbour</x:v>
      </x:c>
      <x:c r="G11" s="37" t="str">
        <x:v>Post-MGR realignment</x:v>
      </x:c>
      <x:c r="H11" s="37" t="str">
        <x:v>DMK</x:v>
      </x:c>
      <x:c r="I11" s="37" t="str">
        <x:v>Contestant</x:v>
      </x:c>
      <x:c r="J11" s="37" t="str">
        <x:v>Won</x:v>
      </x:c>
      <x:c r="K11" s="61" t="n">
        <x:v>41632</x:v>
      </x:c>
      <x:c r="L11" s="64" t="n">
        <x:v>0.5976</x:v>
      </x:c>
      <x:c r="M11" s="37" t="str">
        <x:v>K. A. Wahab</x:v>
      </x:c>
      <x:c r="N11" s="37" t="str">
        <x:v>Indian Union Muslim League</x:v>
      </x:c>
      <x:c r="O11" s="61" t="n">
        <x:v>9641</x:v>
      </x:c>
      <x:c r="P11" s="61" t="n">
        <x:v>31991</x:v>
      </x:c>
      <x:c r="Q11" s="37" t="str">
        <x:v>votes</x:v>
      </x:c>
      <x:c r="R11" s="37" t="str">
        <x:v>DMK formed government; third chief-ministerial tenure.</x:v>
      </x:c>
      <x:c r="S11" s="37" t="str">
        <x:v>S01; S02</x:v>
      </x:c>
      <x:c r="T11" s="37"/>
      <x:c r="U11" s="37" t="str">
        <x:v>P4</x:v>
      </x:c>
    </x:row>
    <x:row r="12" ht="42" customHeight="1">
      <x:c r="A12" s="37" t="str">
        <x:v>E08</x:v>
      </x:c>
      <x:c r="B12" s="37" t="n">
        <x:v>1991</x:v>
      </x:c>
      <x:c r="C12" s="37" t="str">
        <x:v>Tamil Nadu Legislative Assembly</x:v>
      </x:c>
      <x:c r="D12" s="37" t="str">
        <x:v>Direct</x:v>
      </x:c>
      <x:c r="E12" s="37" t="str">
        <x:v>Tamil Nadu</x:v>
      </x:c>
      <x:c r="F12" s="37" t="str">
        <x:v>Harbour</x:v>
      </x:c>
      <x:c r="G12" s="37" t="str">
        <x:v>Election followed dismissal and Rajiv Gandhi assassination</x:v>
      </x:c>
      <x:c r="H12" s="37" t="str">
        <x:v>DMK</x:v>
      </x:c>
      <x:c r="I12" s="37" t="str">
        <x:v>Contestant</x:v>
      </x:c>
      <x:c r="J12" s="37" t="str">
        <x:v>Won</x:v>
      </x:c>
      <x:c r="K12" s="61" t="n">
        <x:v>30932</x:v>
      </x:c>
      <x:c r="L12" s="64" t="n">
        <x:v>0.4866</x:v>
      </x:c>
      <x:c r="M12" s="37" t="str">
        <x:v>K. Suppu</x:v>
      </x:c>
      <x:c r="N12" s="37" t="str">
        <x:v>Indian National Congress</x:v>
      </x:c>
      <x:c r="O12" s="61" t="n">
        <x:v>30042</x:v>
      </x:c>
      <x:c r="P12" s="61" t="n">
        <x:v>890</x:v>
      </x:c>
      <x:c r="Q12" s="37" t="str">
        <x:v>votes</x:v>
      </x:c>
      <x:c r="R12" s="37" t="str">
        <x:v>One of only two DMK winners; he resigned the seat soon after.</x:v>
      </x:c>
      <x:c r="S12" s="37" t="str">
        <x:v>S01; S30</x:v>
      </x:c>
      <x:c r="T12" s="37"/>
      <x:c r="U12" s="37" t="str">
        <x:v>P5</x:v>
      </x:c>
    </x:row>
    <x:row r="13" ht="42" customHeight="1">
      <x:c r="A13" s="37" t="str">
        <x:v>E09</x:v>
      </x:c>
      <x:c r="B13" s="37" t="n">
        <x:v>1996</x:v>
      </x:c>
      <x:c r="C13" s="37" t="str">
        <x:v>Tamil Nadu Legislative Assembly</x:v>
      </x:c>
      <x:c r="D13" s="37" t="str">
        <x:v>Direct</x:v>
      </x:c>
      <x:c r="E13" s="37" t="str">
        <x:v>Tamil Nadu</x:v>
      </x:c>
      <x:c r="F13" s="37" t="str">
        <x:v>Chepauk</x:v>
      </x:c>
      <x:c r="G13" s="37" t="str">
        <x:v>TMC–DMK alliance landslide</x:v>
      </x:c>
      <x:c r="H13" s="37" t="str">
        <x:v>DMK</x:v>
      </x:c>
      <x:c r="I13" s="37" t="str">
        <x:v>Contestant</x:v>
      </x:c>
      <x:c r="J13" s="37" t="str">
        <x:v>Won</x:v>
      </x:c>
      <x:c r="K13" s="61" t="n">
        <x:v>46097</x:v>
      </x:c>
      <x:c r="L13" s="64" t="n">
        <x:v>0.7705</x:v>
      </x:c>
      <x:c r="M13" s="37" t="str">
        <x:v>Nellai Kannan</x:v>
      </x:c>
      <x:c r="N13" s="37" t="str">
        <x:v>Indian National Congress</x:v>
      </x:c>
      <x:c r="O13" s="61" t="n">
        <x:v>10313</x:v>
      </x:c>
      <x:c r="P13" s="61" t="n">
        <x:v>35784</x:v>
      </x:c>
      <x:c r="Q13" s="37" t="str">
        <x:v>votes</x:v>
      </x:c>
      <x:c r="R13" s="37" t="str">
        <x:v>Fourth chief-ministerial tenure.</x:v>
      </x:c>
      <x:c r="S13" s="37" t="str">
        <x:v>S01; S04</x:v>
      </x:c>
      <x:c r="T13" s="37"/>
      <x:c r="U13" s="37" t="str">
        <x:v>P5</x:v>
      </x:c>
    </x:row>
    <x:row r="14" ht="42" customHeight="1">
      <x:c r="A14" s="37" t="str">
        <x:v>E10</x:v>
      </x:c>
      <x:c r="B14" s="37" t="n">
        <x:v>2001</x:v>
      </x:c>
      <x:c r="C14" s="37" t="str">
        <x:v>Tamil Nadu Legislative Assembly</x:v>
      </x:c>
      <x:c r="D14" s="37" t="str">
        <x:v>Direct</x:v>
      </x:c>
      <x:c r="E14" s="37" t="str">
        <x:v>Tamil Nadu</x:v>
      </x:c>
      <x:c r="F14" s="37" t="str">
        <x:v>Chepauk</x:v>
      </x:c>
      <x:c r="G14" s="37" t="str">
        <x:v>Bipolar state contest</x:v>
      </x:c>
      <x:c r="H14" s="37" t="str">
        <x:v>DMK</x:v>
      </x:c>
      <x:c r="I14" s="37" t="str">
        <x:v>Contestant</x:v>
      </x:c>
      <x:c r="J14" s="37" t="str">
        <x:v>Won</x:v>
      </x:c>
      <x:c r="K14" s="61" t="n">
        <x:v>29836</x:v>
      </x:c>
      <x:c r="L14" s="64" t="n">
        <x:v>0.5191</x:v>
      </x:c>
      <x:c r="M14" s="37" t="str">
        <x:v>R. Damodharan</x:v>
      </x:c>
      <x:c r="N14" s="37" t="str">
        <x:v>Indian National Congress</x:v>
      </x:c>
      <x:c r="O14" s="61" t="n">
        <x:v>25002</x:v>
      </x:c>
      <x:c r="P14" s="61" t="n">
        <x:v>4834</x:v>
      </x:c>
      <x:c r="Q14" s="37" t="str">
        <x:v>votes</x:v>
      </x:c>
      <x:c r="R14" s="37" t="str">
        <x:v>Retained seat while AIADMK returned to power.</x:v>
      </x:c>
      <x:c r="S14" s="37" t="str">
        <x:v>S01; S02</x:v>
      </x:c>
      <x:c r="T14" s="37"/>
      <x:c r="U14" s="37" t="str">
        <x:v>P5</x:v>
      </x:c>
    </x:row>
    <x:row r="15" ht="42" customHeight="1">
      <x:c r="A15" s="37" t="str">
        <x:v>E11</x:v>
      </x:c>
      <x:c r="B15" s="37" t="n">
        <x:v>2006</x:v>
      </x:c>
      <x:c r="C15" s="37" t="str">
        <x:v>Tamil Nadu Legislative Assembly</x:v>
      </x:c>
      <x:c r="D15" s="37" t="str">
        <x:v>Direct</x:v>
      </x:c>
      <x:c r="E15" s="37" t="str">
        <x:v>Tamil Nadu</x:v>
      </x:c>
      <x:c r="F15" s="37" t="str">
        <x:v>Chepauk</x:v>
      </x:c>
      <x:c r="G15" s="37" t="str">
        <x:v>DMK formed first minority government in the state since 1952</x:v>
      </x:c>
      <x:c r="H15" s="37" t="str">
        <x:v>DMK</x:v>
      </x:c>
      <x:c r="I15" s="37" t="str">
        <x:v>Contestant</x:v>
      </x:c>
      <x:c r="J15" s="37" t="str">
        <x:v>Won</x:v>
      </x:c>
      <x:c r="K15" s="61" t="n">
        <x:v>34188</x:v>
      </x:c>
      <x:c r="L15" s="64" t="n">
        <x:v>0.5096</x:v>
      </x:c>
      <x:c r="M15" s="37" t="str">
        <x:v>Dawood Miah Khan</x:v>
      </x:c>
      <x:c r="N15" s="37" t="str">
        <x:v>Independent / alliance-supported</x:v>
      </x:c>
      <x:c r="O15" s="61" t="n">
        <x:v>25662</x:v>
      </x:c>
      <x:c r="P15" s="61" t="n">
        <x:v>8526</x:v>
      </x:c>
      <x:c r="Q15" s="37" t="str">
        <x:v>votes</x:v>
      </x:c>
      <x:c r="R15" s="37" t="str">
        <x:v>Became chief minister for fifth time.</x:v>
      </x:c>
      <x:c r="S15" s="37" t="str">
        <x:v>S01; S04</x:v>
      </x:c>
      <x:c r="T15" s="37"/>
      <x:c r="U15" s="37" t="str">
        <x:v>P6</x:v>
      </x:c>
    </x:row>
    <x:row r="16" ht="42" customHeight="1">
      <x:c r="A16" s="37" t="str">
        <x:v>E12</x:v>
      </x:c>
      <x:c r="B16" s="37" t="n">
        <x:v>2011</x:v>
      </x:c>
      <x:c r="C16" s="37" t="str">
        <x:v>Tamil Nadu Legislative Assembly</x:v>
      </x:c>
      <x:c r="D16" s="37" t="str">
        <x:v>Direct</x:v>
      </x:c>
      <x:c r="E16" s="37" t="str">
        <x:v>Tamil Nadu</x:v>
      </x:c>
      <x:c r="F16" s="37" t="str">
        <x:v>Tiruvarur</x:v>
      </x:c>
      <x:c r="G16" s="37" t="str">
        <x:v>Post-2008 delimitation constituency</x:v>
      </x:c>
      <x:c r="H16" s="37" t="str">
        <x:v>DMK</x:v>
      </x:c>
      <x:c r="I16" s="37" t="str">
        <x:v>Contestant</x:v>
      </x:c>
      <x:c r="J16" s="37" t="str">
        <x:v>Won</x:v>
      </x:c>
      <x:c r="K16" s="61" t="n">
        <x:v>109014</x:v>
      </x:c>
      <x:c r="L16" s="64" t="n">
        <x:v>0.6296</x:v>
      </x:c>
      <x:c r="M16" s="37" t="str">
        <x:v>M. Rajendran</x:v>
      </x:c>
      <x:c r="N16" s="37" t="str">
        <x:v>AIADMK</x:v>
      </x:c>
      <x:c r="O16" s="61" t="n">
        <x:v>58765</x:v>
      </x:c>
      <x:c r="P16" s="61" t="n">
        <x:v>50249</x:v>
      </x:c>
      <x:c r="Q16" s="37" t="str">
        <x:v>votes</x:v>
      </x:c>
      <x:c r="R16" s="37" t="str">
        <x:v>Personal win amid alliance defeat.</x:v>
      </x:c>
      <x:c r="S16" s="37" t="str">
        <x:v>S01; S02</x:v>
      </x:c>
      <x:c r="T16" s="37"/>
      <x:c r="U16" s="37" t="str">
        <x:v>P6</x:v>
      </x:c>
    </x:row>
    <x:row r="17" ht="42" customHeight="1">
      <x:c r="A17" s="40" t="str">
        <x:v>E13</x:v>
      </x:c>
      <x:c r="B17" s="40" t="n">
        <x:v>2016</x:v>
      </x:c>
      <x:c r="C17" s="40" t="str">
        <x:v>Tamil Nadu Legislative Assembly</x:v>
      </x:c>
      <x:c r="D17" s="40" t="str">
        <x:v>Direct</x:v>
      </x:c>
      <x:c r="E17" s="40" t="str">
        <x:v>Tamil Nadu</x:v>
      </x:c>
      <x:c r="F17" s="40" t="str">
        <x:v>Tiruvarur</x:v>
      </x:c>
      <x:c r="G17" s="40" t="str">
        <x:v>Post-2008 delimitation constituency</x:v>
      </x:c>
      <x:c r="H17" s="40" t="str">
        <x:v>DMK</x:v>
      </x:c>
      <x:c r="I17" s="40" t="str">
        <x:v>Contestant</x:v>
      </x:c>
      <x:c r="J17" s="40" t="str">
        <x:v>Won</x:v>
      </x:c>
      <x:c r="K17" s="62" t="n">
        <x:v>121473</x:v>
      </x:c>
      <x:c r="L17" s="65" t="n">
        <x:v>0.6173</x:v>
      </x:c>
      <x:c r="M17" s="40" t="str">
        <x:v>R. Panneerselvam</x:v>
      </x:c>
      <x:c r="N17" s="40" t="str">
        <x:v>AIADMK</x:v>
      </x:c>
      <x:c r="O17" s="62" t="n">
        <x:v>53107</x:v>
      </x:c>
      <x:c r="P17" s="62" t="n">
        <x:v>68366</x:v>
      </x:c>
      <x:c r="Q17" s="40" t="str">
        <x:v>votes</x:v>
      </x:c>
      <x:c r="R17" s="40" t="str">
        <x:v>Thirteenth straight personal victory; DMK became principal opposition.</x:v>
      </x:c>
      <x:c r="S17" s="40" t="str">
        <x:v>S01; S02</x:v>
      </x:c>
      <x:c r="T17" s="40"/>
      <x:c r="U17" s="40" t="str">
        <x:v>P6</x:v>
      </x:c>
    </x:row>
  </x:sheetData>
  <x:pageMargins left="0.7" right="0.7" top="0.75" bottom="0.75" header="0.3" footer="0.3"/>
  <x:tableParts count="1">
    <x:tablePart xmlns:r="http://schemas.openxmlformats.org/officeDocument/2006/relationships" r:id="Re6d7bf68075c41d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16" hidden="0" customWidth="1"/>
    <x:col min="3" max="3" width="25" hidden="0" customWidth="1"/>
    <x:col min="4" max="4" width="28" hidden="0" customWidth="1"/>
    <x:col min="5" max="5" width="18" hidden="0" customWidth="1"/>
    <x:col min="6" max="6" width="12" hidden="0" customWidth="1"/>
    <x:col min="7" max="7" width="12" hidden="0" customWidth="1"/>
    <x:col min="8" max="8" width="28" hidden="0" customWidth="1"/>
    <x:col min="9" max="9" width="25" hidden="0" customWidth="1"/>
    <x:col min="10" max="10" width="25" hidden="0" customWidth="1"/>
    <x:col min="11" max="11" width="25" hidden="0" customWidth="1"/>
    <x:col min="12" max="12" width="30" hidden="0" customWidth="1"/>
    <x:col min="13" max="13" width="40" hidden="0" customWidth="1"/>
    <x:col min="14" max="14" width="35" hidden="0" customWidth="1"/>
    <x:col min="15" max="15" width="18" hidden="0" customWidth="1"/>
    <x:col min="16" max="16" width="28" hidden="0" customWidth="1"/>
    <x:col min="17" max="17" width="22" hidden="0" customWidth="1"/>
  </x:cols>
  <x:sheetData>
    <x:row r="1" ht="24" customHeight="1">
      <x:c r="A1" s="28" t="str">
        <x:v>Offices and party roles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</x:row>
    <x:row r="2" ht="28" customHeight="1">
      <x:c r="A2" s="30" t="str">
        <x:v>Interrupted and non-consecutive chief-ministerial tenures are kept as separate records.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</x:row>
    <x:row r="4" ht="36" customHeight="1">
      <x:c r="A4" s="53" t="str">
        <x:v>Position ID</x:v>
      </x:c>
      <x:c r="B4" s="54" t="str">
        <x:v>Position category</x:v>
      </x:c>
      <x:c r="C4" s="54" t="str">
        <x:v>Exact title</x:v>
      </x:c>
      <x:c r="D4" s="54" t="str">
        <x:v>Institution or organization</x:v>
      </x:c>
      <x:c r="E4" s="54" t="str">
        <x:v>Jurisdiction</x:v>
      </x:c>
      <x:c r="F4" s="54" t="str">
        <x:v>Start date</x:v>
      </x:c>
      <x:c r="G4" s="54" t="str">
        <x:v>End date</x:v>
      </x:c>
      <x:c r="H4" s="54" t="str">
        <x:v>Selection route</x:v>
      </x:c>
      <x:c r="I4" s="54" t="str">
        <x:v>Predecessor</x:v>
      </x:c>
      <x:c r="J4" s="54" t="str">
        <x:v>Successor</x:v>
      </x:c>
      <x:c r="K4" s="54" t="str">
        <x:v>Party or alliance during tenure</x:v>
      </x:c>
      <x:c r="L4" s="54" t="str">
        <x:v>Concurrent positions</x:v>
      </x:c>
      <x:c r="M4" s="54" t="str">
        <x:v>Main responsibilities or political function</x:v>
      </x:c>
      <x:c r="N4" s="54" t="str">
        <x:v>Exit reason</x:v>
      </x:c>
      <x:c r="O4" s="54" t="str">
        <x:v>Source IDs</x:v>
      </x:c>
      <x:c r="P4" s="54" t="str">
        <x:v>Research note</x:v>
      </x:c>
      <x:c r="Q4" s="55" t="str">
        <x:v>Career phase</x:v>
      </x:c>
    </x:row>
    <x:row r="5" ht="42" customHeight="1">
      <x:c r="A5" s="35" t="str">
        <x:v>O01</x:v>
      </x:c>
      <x:c r="B5" s="35" t="str">
        <x:v>Movement</x:v>
      </x:c>
      <x:c r="C5" s="35" t="str">
        <x:v>Student activist and organizer</x:v>
      </x:c>
      <x:c r="D5" s="35" t="str">
        <x:v>Anti-Hindi / Self-Respect movement</x:v>
      </x:c>
      <x:c r="E5" s="35" t="str">
        <x:v>Madras Presidency</x:v>
      </x:c>
      <x:c r="F5" s="57" t="n">
        <x:v>13881</x:v>
      </x:c>
      <x:c r="G5" s="57" t="n">
        <x:v>18157</x:v>
      </x:c>
      <x:c r="H5" s="35" t="str">
        <x:v>Movement participation</x:v>
      </x:c>
      <x:c r="I5" s="35"/>
      <x:c r="J5" s="35"/>
      <x:c r="K5" s="35" t="str">
        <x:v>Justice Party / Dravidar Kazhagam</x:v>
      </x:c>
      <x:c r="L5" s="35" t="str">
        <x:v>Writer and organizer</x:v>
      </x:c>
      <x:c r="M5" s="35" t="str">
        <x:v>Mobilization through student groups and print</x:v>
      </x:c>
      <x:c r="N5" s="35" t="str">
        <x:v>Joined electoral DMK formation</x:v>
      </x:c>
      <x:c r="O5" s="35" t="str">
        <x:v>S06; S07</x:v>
      </x:c>
      <x:c r="P5" s="35" t="str">
        <x:v>Exact start year is reconstructed from biographies.</x:v>
      </x:c>
      <x:c r="Q5" s="35" t="str">
        <x:v>P1</x:v>
      </x:c>
    </x:row>
    <x:row r="6" ht="42" customHeight="1">
      <x:c r="A6" s="37" t="str">
        <x:v>O02</x:v>
      </x:c>
      <x:c r="B6" s="37" t="str">
        <x:v>Party</x:v>
      </x:c>
      <x:c r="C6" s="37" t="str">
        <x:v>Founding organizer; later senior leader</x:v>
      </x:c>
      <x:c r="D6" s="37" t="str">
        <x:v>Dravida Munnetra Kazhagam</x:v>
      </x:c>
      <x:c r="E6" s="37" t="str">
        <x:v>Madras State / Tamil Nadu</x:v>
      </x:c>
      <x:c r="F6" s="58" t="n">
        <x:v>18158</x:v>
      </x:c>
      <x:c r="G6" s="58" t="n">
        <x:v>25243</x:v>
      </x:c>
      <x:c r="H6" s="37" t="str">
        <x:v>Party formation and internal advancement</x:v>
      </x:c>
      <x:c r="I6" s="37" t="str">
        <x:v>C. N. Annadurai era</x:v>
      </x:c>
      <x:c r="J6" s="37"/>
      <x:c r="K6" s="37" t="str">
        <x:v>DMK</x:v>
      </x:c>
      <x:c r="L6" s="37" t="str">
        <x:v>Legislator from 1957; treasurer from 1961</x:v>
      </x:c>
      <x:c r="M6" s="37" t="str">
        <x:v>Organization, propaganda, fundraising and elections</x:v>
      </x:c>
      <x:c r="N6" s="37" t="str">
        <x:v>Selected legislative leader after Annadurai's death</x:v>
      </x:c>
      <x:c r="O6" s="37" t="str">
        <x:v>S04; S06; S07</x:v>
      </x:c>
      <x:c r="P6" s="37"/>
      <x:c r="Q6" s="37" t="str">
        <x:v>P2</x:v>
      </x:c>
    </x:row>
    <x:row r="7" ht="42" customHeight="1">
      <x:c r="A7" s="37" t="str">
        <x:v>O03</x:v>
      </x:c>
      <x:c r="B7" s="37" t="str">
        <x:v>Party</x:v>
      </x:c>
      <x:c r="C7" s="37" t="str">
        <x:v>Treasurer</x:v>
      </x:c>
      <x:c r="D7" s="37" t="str">
        <x:v>Dravida Munnetra Kazhagam</x:v>
      </x:c>
      <x:c r="E7" s="37" t="str">
        <x:v>Tamil Nadu</x:v>
      </x:c>
      <x:c r="F7" s="58" t="n">
        <x:v>22282</x:v>
      </x:c>
      <x:c r="G7" s="58" t="n">
        <x:v>25243</x:v>
      </x:c>
      <x:c r="H7" s="37" t="str">
        <x:v>Party appointment</x:v>
      </x:c>
      <x:c r="I7" s="37"/>
      <x:c r="J7" s="37"/>
      <x:c r="K7" s="37" t="str">
        <x:v>DMK</x:v>
      </x:c>
      <x:c r="L7" s="37" t="str">
        <x:v>MLA and film writer</x:v>
      </x:c>
      <x:c r="M7" s="37" t="str">
        <x:v>Finance and organization</x:v>
      </x:c>
      <x:c r="N7" s="37" t="str">
        <x:v>Became party leader</x:v>
      </x:c>
      <x:c r="O7" s="37" t="str">
        <x:v>S06; S07</x:v>
      </x:c>
      <x:c r="P7" s="37" t="str">
        <x:v>Month varies in secondary accounts.</x:v>
      </x:c>
      <x:c r="Q7" s="37" t="str">
        <x:v>P2</x:v>
      </x:c>
    </x:row>
    <x:row r="8" ht="42" customHeight="1">
      <x:c r="A8" s="37" t="str">
        <x:v>O04</x:v>
      </x:c>
      <x:c r="B8" s="37" t="str">
        <x:v>Ministerial</x:v>
      </x:c>
      <x:c r="C8" s="37" t="str">
        <x:v>Minister for Public Works</x:v>
      </x:c>
      <x:c r="D8" s="37" t="str">
        <x:v>Government of Tamil Nadu</x:v>
      </x:c>
      <x:c r="E8" s="37" t="str">
        <x:v>Tamil Nadu</x:v>
      </x:c>
      <x:c r="F8" s="58" t="n">
        <x:v>24537</x:v>
      </x:c>
      <x:c r="G8" s="58" t="n">
        <x:v>25243</x:v>
      </x:c>
      <x:c r="H8" s="37" t="str">
        <x:v>Appointed by chief minister</x:v>
      </x:c>
      <x:c r="I8" s="37" t="str">
        <x:v>Office newly held in DMK ministry</x:v>
      </x:c>
      <x:c r="J8" s="37"/>
      <x:c r="K8" s="37" t="str">
        <x:v>DMK</x:v>
      </x:c>
      <x:c r="L8" s="37" t="str">
        <x:v>MLA for Saidapet</x:v>
      </x:c>
      <x:c r="M8" s="37" t="str">
        <x:v>Public works and infrastructure</x:v>
      </x:c>
      <x:c r="N8" s="37" t="str">
        <x:v>Selected chief minister</x:v>
      </x:c>
      <x:c r="O8" s="37" t="str">
        <x:v>S04; S06</x:v>
      </x:c>
      <x:c r="P8" s="37"/>
      <x:c r="Q8" s="37" t="str">
        <x:v>P2</x:v>
      </x:c>
    </x:row>
    <x:row r="9" ht="42" customHeight="1">
      <x:c r="A9" s="37" t="str">
        <x:v>O05</x:v>
      </x:c>
      <x:c r="B9" s="37" t="str">
        <x:v>Executive</x:v>
      </x:c>
      <x:c r="C9" s="37" t="str">
        <x:v>Chief Minister</x:v>
      </x:c>
      <x:c r="D9" s="37" t="str">
        <x:v>Government of Tamil Nadu</x:v>
      </x:c>
      <x:c r="E9" s="37" t="str">
        <x:v>Tamil Nadu</x:v>
      </x:c>
      <x:c r="F9" s="58" t="n">
        <x:v>25244</x:v>
      </x:c>
      <x:c r="G9" s="58" t="n">
        <x:v>26006</x:v>
      </x:c>
      <x:c r="H9" s="37" t="str">
        <x:v>Chosen by DMK legislators; appointed by Governor</x:v>
      </x:c>
      <x:c r="I9" s="37" t="str">
        <x:v>C. N. Annadurai / V. R. Nedunchezhiyan (acting)</x:v>
      </x:c>
      <x:c r="J9" s="37" t="str">
        <x:v>M. Karunanidhi</x:v>
      </x:c>
      <x:c r="K9" s="37" t="str">
        <x:v>DMK</x:v>
      </x:c>
      <x:c r="L9" s="37" t="str">
        <x:v>DMK president</x:v>
      </x:c>
      <x:c r="M9" s="37" t="str">
        <x:v>Head of government</x:v>
      </x:c>
      <x:c r="N9" s="37" t="str">
        <x:v>Fresh election and renewed mandate</x:v>
      </x:c>
      <x:c r="O9" s="37" t="str">
        <x:v>S04; S06</x:v>
      </x:c>
      <x:c r="P9" s="37"/>
      <x:c r="Q9" s="37" t="str">
        <x:v>P3</x:v>
      </x:c>
    </x:row>
    <x:row r="10" ht="42" customHeight="1">
      <x:c r="A10" s="37" t="str">
        <x:v>O06</x:v>
      </x:c>
      <x:c r="B10" s="37" t="str">
        <x:v>Executive</x:v>
      </x:c>
      <x:c r="C10" s="37" t="str">
        <x:v>Chief Minister</x:v>
      </x:c>
      <x:c r="D10" s="37" t="str">
        <x:v>Government of Tamil Nadu</x:v>
      </x:c>
      <x:c r="E10" s="37" t="str">
        <x:v>Tamil Nadu</x:v>
      </x:c>
      <x:c r="F10" s="58" t="n">
        <x:v>26007</x:v>
      </x:c>
      <x:c r="G10" s="58" t="n">
        <x:v>27790</x:v>
      </x:c>
      <x:c r="H10" s="37" t="str">
        <x:v>Assembly majority; appointed by Governor</x:v>
      </x:c>
      <x:c r="I10" s="37" t="str">
        <x:v>M. Karunanidhi</x:v>
      </x:c>
      <x:c r="J10" s="37" t="str">
        <x:v>President's Rule</x:v>
      </x:c>
      <x:c r="K10" s="37" t="str">
        <x:v>DMK</x:v>
      </x:c>
      <x:c r="L10" s="37" t="str">
        <x:v>DMK president</x:v>
      </x:c>
      <x:c r="M10" s="37" t="str">
        <x:v>Head of government</x:v>
      </x:c>
      <x:c r="N10" s="37" t="str">
        <x:v>Government dismissed under Article 356 during Emergency</x:v>
      </x:c>
      <x:c r="O10" s="37" t="str">
        <x:v>S16; S18</x:v>
      </x:c>
      <x:c r="P10" s="37"/>
      <x:c r="Q10" s="37" t="str">
        <x:v>P3</x:v>
      </x:c>
    </x:row>
    <x:row r="11" ht="42" customHeight="1">
      <x:c r="A11" s="37" t="str">
        <x:v>O07</x:v>
      </x:c>
      <x:c r="B11" s="37" t="str">
        <x:v>Party</x:v>
      </x:c>
      <x:c r="C11" s="37" t="str">
        <x:v>President</x:v>
      </x:c>
      <x:c r="D11" s="37" t="str">
        <x:v>Dravida Munnetra Kazhagam</x:v>
      </x:c>
      <x:c r="E11" s="37" t="str">
        <x:v>Tamil Nadu / India</x:v>
      </x:c>
      <x:c r="F11" s="58" t="n">
        <x:v>25411</x:v>
      </x:c>
      <x:c r="G11" s="58" t="n">
        <x:v>43319</x:v>
      </x:c>
      <x:c r="H11" s="37" t="str">
        <x:v>Party election and repeated re-election</x:v>
      </x:c>
      <x:c r="I11" s="37" t="str">
        <x:v>Office left vacant under Annadurai</x:v>
      </x:c>
      <x:c r="J11" s="37" t="str">
        <x:v>M. K. Stalin</x:v>
      </x:c>
      <x:c r="K11" s="37" t="str">
        <x:v>DMK</x:v>
      </x:c>
      <x:c r="L11" s="37" t="str">
        <x:v>CM, opposition leader or legislator at different times</x:v>
      </x:c>
      <x:c r="M11" s="37" t="str">
        <x:v>Party strategy, alliances, organization and succession</x:v>
      </x:c>
      <x:c r="N11" s="37" t="str">
        <x:v>Death</x:v>
      </x:c>
      <x:c r="O11" s="37" t="str">
        <x:v>S04; S06; S22</x:v>
      </x:c>
      <x:c r="P11" s="37"/>
      <x:c r="Q11" s="37" t="str">
        <x:v>P3–P6</x:v>
      </x:c>
    </x:row>
    <x:row r="12" ht="42" customHeight="1">
      <x:c r="A12" s="37" t="str">
        <x:v>O08</x:v>
      </x:c>
      <x:c r="B12" s="37" t="str">
        <x:v>Legislative</x:v>
      </x:c>
      <x:c r="C12" s="37" t="str">
        <x:v>Leader of the Opposition</x:v>
      </x:c>
      <x:c r="D12" s="37" t="str">
        <x:v>Tamil Nadu Legislative Assembly</x:v>
      </x:c>
      <x:c r="E12" s="37" t="str">
        <x:v>Tamil Nadu</x:v>
      </x:c>
      <x:c r="F12" s="58" t="n">
        <x:v>28331</x:v>
      </x:c>
      <x:c r="G12" s="58" t="n">
        <x:v>30546</x:v>
      </x:c>
      <x:c r="H12" s="37" t="str">
        <x:v>Leader of largest opposition party</x:v>
      </x:c>
      <x:c r="I12" s="37" t="str">
        <x:v>P. G. Karuthiruman</x:v>
      </x:c>
      <x:c r="J12" s="37" t="str">
        <x:v>Haja Shareef</x:v>
      </x:c>
      <x:c r="K12" s="37" t="str">
        <x:v>DMK</x:v>
      </x:c>
      <x:c r="L12" s="37" t="str">
        <x:v>DMK president and MLA</x:v>
      </x:c>
      <x:c r="M12" s="37" t="str">
        <x:v>Legislative opposition to MGR government</x:v>
      </x:c>
      <x:c r="N12" s="37" t="str">
        <x:v>Transition within legislature</x:v>
      </x:c>
      <x:c r="O12" s="37" t="str">
        <x:v>S04; S06</x:v>
      </x:c>
      <x:c r="P12" s="37"/>
      <x:c r="Q12" s="37" t="str">
        <x:v>P4</x:v>
      </x:c>
    </x:row>
    <x:row r="13" ht="42" customHeight="1">
      <x:c r="A13" s="37" t="str">
        <x:v>O09</x:v>
      </x:c>
      <x:c r="B13" s="37" t="str">
        <x:v>Legislative</x:v>
      </x:c>
      <x:c r="C13" s="37" t="str">
        <x:v>Member of Legislative Council</x:v>
      </x:c>
      <x:c r="D13" s="37" t="str">
        <x:v>Tamil Nadu Legislative Council</x:v>
      </x:c>
      <x:c r="E13" s="37" t="str">
        <x:v>Tamil Nadu</x:v>
      </x:c>
      <x:c r="F13" s="58" t="n">
        <x:v>30773</x:v>
      </x:c>
      <x:c r="G13" s="58" t="n">
        <x:v>31717</x:v>
      </x:c>
      <x:c r="H13" s="37" t="str">
        <x:v>Indirect election / party nomination</x:v>
      </x:c>
      <x:c r="I13" s="37"/>
      <x:c r="J13" s="37" t="str">
        <x:v>Council abolished</x:v>
      </x:c>
      <x:c r="K13" s="37" t="str">
        <x:v>DMK</x:v>
      </x:c>
      <x:c r="L13" s="37" t="str">
        <x:v>DMK president</x:v>
      </x:c>
      <x:c r="M13" s="37" t="str">
        <x:v>Opposition platform after skipping 1984 Assembly election</x:v>
      </x:c>
      <x:c r="N13" s="37" t="str">
        <x:v>Legislative Council abolished</x:v>
      </x:c>
      <x:c r="O13" s="37" t="str">
        <x:v>S03; S06</x:v>
      </x:c>
      <x:c r="P13" s="37" t="str">
        <x:v>Exact dates require archival verification.</x:v>
      </x:c>
      <x:c r="Q13" s="37" t="str">
        <x:v>P4</x:v>
      </x:c>
    </x:row>
    <x:row r="14" ht="42" customHeight="1">
      <x:c r="A14" s="37" t="str">
        <x:v>O10</x:v>
      </x:c>
      <x:c r="B14" s="37" t="str">
        <x:v>Executive</x:v>
      </x:c>
      <x:c r="C14" s="37" t="str">
        <x:v>Chief Minister</x:v>
      </x:c>
      <x:c r="D14" s="37" t="str">
        <x:v>Government of Tamil Nadu</x:v>
      </x:c>
      <x:c r="E14" s="37" t="str">
        <x:v>Tamil Nadu</x:v>
      </x:c>
      <x:c r="F14" s="58" t="n">
        <x:v>32535</x:v>
      </x:c>
      <x:c r="G14" s="58" t="n">
        <x:v>33268</x:v>
      </x:c>
      <x:c r="H14" s="37" t="str">
        <x:v>Assembly majority; appointed by Governor</x:v>
      </x:c>
      <x:c r="I14" s="37" t="str">
        <x:v>President's Rule / V. N. Janaki</x:v>
      </x:c>
      <x:c r="J14" s="37" t="str">
        <x:v>President's Rule</x:v>
      </x:c>
      <x:c r="K14" s="37" t="str">
        <x:v>DMK</x:v>
      </x:c>
      <x:c r="L14" s="37" t="str">
        <x:v>DMK president and Harbour MLA</x:v>
      </x:c>
      <x:c r="M14" s="37" t="str">
        <x:v>Head of government</x:v>
      </x:c>
      <x:c r="N14" s="37" t="str">
        <x:v>Dismissed under Article 356</x:v>
      </x:c>
      <x:c r="O14" s="37" t="str">
        <x:v>S04; S19; S30</x:v>
      </x:c>
      <x:c r="P14" s="37"/>
      <x:c r="Q14" s="37" t="str">
        <x:v>P4</x:v>
      </x:c>
    </x:row>
    <x:row r="15" ht="42" customHeight="1">
      <x:c r="A15" s="37" t="str">
        <x:v>O11</x:v>
      </x:c>
      <x:c r="B15" s="37" t="str">
        <x:v>Executive</x:v>
      </x:c>
      <x:c r="C15" s="37" t="str">
        <x:v>Chief Minister</x:v>
      </x:c>
      <x:c r="D15" s="37" t="str">
        <x:v>Government of Tamil Nadu</x:v>
      </x:c>
      <x:c r="E15" s="37" t="str">
        <x:v>Tamil Nadu</x:v>
      </x:c>
      <x:c r="F15" s="58" t="n">
        <x:v>35198</x:v>
      </x:c>
      <x:c r="G15" s="58" t="n">
        <x:v>37024</x:v>
      </x:c>
      <x:c r="H15" s="37" t="str">
        <x:v>Assembly majority; appointed by Governor</x:v>
      </x:c>
      <x:c r="I15" s="37" t="str">
        <x:v>J. Jayalalithaa</x:v>
      </x:c>
      <x:c r="J15" s="37" t="str">
        <x:v>J. Jayalalithaa</x:v>
      </x:c>
      <x:c r="K15" s="37" t="str">
        <x:v>DMK–TMC alliance</x:v>
      </x:c>
      <x:c r="L15" s="37" t="str">
        <x:v>DMK president and Chepauk MLA</x:v>
      </x:c>
      <x:c r="M15" s="37" t="str">
        <x:v>Head of government</x:v>
      </x:c>
      <x:c r="N15" s="37" t="str">
        <x:v>Alliance lost 2001 election</x:v>
      </x:c>
      <x:c r="O15" s="37" t="str">
        <x:v>S04; S24</x:v>
      </x:c>
      <x:c r="P15" s="37"/>
      <x:c r="Q15" s="37" t="str">
        <x:v>P5</x:v>
      </x:c>
    </x:row>
    <x:row r="16" ht="42" customHeight="1">
      <x:c r="A16" s="40" t="str">
        <x:v>O12</x:v>
      </x:c>
      <x:c r="B16" s="40" t="str">
        <x:v>Executive</x:v>
      </x:c>
      <x:c r="C16" s="40" t="str">
        <x:v>Chief Minister</x:v>
      </x:c>
      <x:c r="D16" s="40" t="str">
        <x:v>Government of Tamil Nadu</x:v>
      </x:c>
      <x:c r="E16" s="40" t="str">
        <x:v>Tamil Nadu</x:v>
      </x:c>
      <x:c r="F16" s="59" t="n">
        <x:v>38850</x:v>
      </x:c>
      <x:c r="G16" s="59" t="n">
        <x:v>40678</x:v>
      </x:c>
      <x:c r="H16" s="40" t="str">
        <x:v>Minority government supported by allies</x:v>
      </x:c>
      <x:c r="I16" s="40" t="str">
        <x:v>J. Jayalalithaa</x:v>
      </x:c>
      <x:c r="J16" s="40" t="str">
        <x:v>J. Jayalalithaa</x:v>
      </x:c>
      <x:c r="K16" s="40" t="str">
        <x:v>DMK-led alliance</x:v>
      </x:c>
      <x:c r="L16" s="40" t="str">
        <x:v>DMK president and Chepauk MLA; M. K. Stalin deputy CM from 2009</x:v>
      </x:c>
      <x:c r="M16" s="40" t="str">
        <x:v>Head of government</x:v>
      </x:c>
      <x:c r="N16" s="40" t="str">
        <x:v>Alliance lost 2011 election</x:v>
      </x:c>
      <x:c r="O16" s="40" t="str">
        <x:v>S04; S09</x:v>
      </x:c>
      <x:c r="P16" s="40"/>
      <x:c r="Q16" s="40" t="str">
        <x:v>P6</x:v>
      </x:c>
    </x:row>
  </x:sheetData>
  <x:pageMargins left="0.7" right="0.7" top="0.75" bottom="0.75" header="0.3" footer="0.3"/>
  <x:tableParts count="1">
    <x:tablePart xmlns:r="http://schemas.openxmlformats.org/officeDocument/2006/relationships" r:id="R35827b2a4ac3418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8" hidden="0" customWidth="1"/>
    <x:col min="3" max="3" width="35" hidden="0" customWidth="1"/>
    <x:col min="4" max="4" width="18" hidden="0" customWidth="1"/>
    <x:col min="5" max="5" width="16" hidden="0" customWidth="1"/>
    <x:col min="6" max="6" width="32" hidden="0" customWidth="1"/>
    <x:col min="7" max="7" width="14" hidden="0" customWidth="1"/>
    <x:col min="8" max="8" width="38" hidden="0" customWidth="1"/>
    <x:col min="9" max="9" width="35" hidden="0" customWidth="1"/>
    <x:col min="10" max="10" width="18" hidden="0" customWidth="1"/>
    <x:col min="11" max="11" width="35" hidden="0" customWidth="1"/>
    <x:col min="12" max="12" width="45" hidden="0" customWidth="1"/>
    <x:col min="13" max="13" width="26" hidden="0" customWidth="1"/>
    <x:col min="14" max="14" width="40" hidden="0" customWidth="1"/>
    <x:col min="15" max="15" width="30" hidden="0" customWidth="1"/>
    <x:col min="16" max="16" width="42" hidden="0" customWidth="1"/>
    <x:col min="17" max="17" width="28" hidden="0" customWidth="1"/>
    <x:col min="18" max="18" width="16" hidden="0" customWidth="1"/>
    <x:col min="19" max="19" width="22" hidden="0" customWidth="1"/>
    <x:col min="20" max="20" width="18" hidden="0" customWidth="1"/>
    <x:col min="21" max="21" width="30" hidden="0" customWidth="1"/>
    <x:col min="22" max="22" width="24" hidden="0" customWidth="1"/>
  </x:cols>
  <x:sheetData>
    <x:row r="1" ht="24" customHeight="1">
      <x:c r="A1" s="28" t="str">
        <x:v>Policy and governance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  <x:c r="T1" s="34"/>
      <x:c r="U1" s="34"/>
      <x:c r="V1" s="34"/>
    </x:row>
    <x:row r="2" ht="28" customHeight="1">
      <x:c r="A2" s="30" t="str">
        <x:v>Initiative, implementation, output, outcome and attribution are separated to avoid tenure-only credit.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</x:row>
    <x:row r="4" ht="36" customHeight="1">
      <x:c r="A4" s="53" t="str">
        <x:v>Record ID</x:v>
      </x:c>
      <x:c r="B4" s="54" t="str">
        <x:v>Policy domain</x:v>
      </x:c>
      <x:c r="C4" s="54" t="str">
        <x:v>Initiative, decision, law or institution</x:v>
      </x:c>
      <x:c r="D4" s="54" t="str">
        <x:v>Jurisdiction</x:v>
      </x:c>
      <x:c r="E4" s="54" t="str">
        <x:v>Period</x:v>
      </x:c>
      <x:c r="F4" s="54" t="str">
        <x:v>Figure's documented role</x:v>
      </x:c>
      <x:c r="G4" s="54" t="str">
        <x:v>Role strength</x:v>
      </x:c>
      <x:c r="H4" s="54" t="str">
        <x:v>Stated objective</x:v>
      </x:c>
      <x:c r="I4" s="54" t="str">
        <x:v>Mechanism or intervention</x:v>
      </x:c>
      <x:c r="J4" s="54" t="str">
        <x:v>Adoption status</x:v>
      </x:c>
      <x:c r="K4" s="54" t="str">
        <x:v>Implementation evidence / outputs</x:v>
      </x:c>
      <x:c r="L4" s="54" t="str">
        <x:v>Outcomes and indicators</x:v>
      </x:c>
      <x:c r="M4" s="54" t="str">
        <x:v>Indicator geography and period</x:v>
      </x:c>
      <x:c r="N4" s="54" t="str">
        <x:v>Attribution assessment</x:v>
      </x:c>
      <x:c r="O4" s="54" t="str">
        <x:v>Beneficiaries or affected groups</x:v>
      </x:c>
      <x:c r="P4" s="54" t="str">
        <x:v>Criticism, trade-offs or unintended effects</x:v>
      </x:c>
      <x:c r="Q4" s="54" t="str">
        <x:v>Current or final status</x:v>
      </x:c>
      <x:c r="R4" s="54" t="str">
        <x:v>Claim type</x:v>
      </x:c>
      <x:c r="S4" s="54" t="str">
        <x:v>Corroboration</x:v>
      </x:c>
      <x:c r="T4" s="54" t="str">
        <x:v>Source IDs</x:v>
      </x:c>
      <x:c r="U4" s="54" t="str">
        <x:v>Research note</x:v>
      </x:c>
      <x:c r="V4" s="55" t="str">
        <x:v>Career phase</x:v>
      </x:c>
    </x:row>
    <x:row r="5" ht="42" customHeight="1">
      <x:c r="A5" s="35" t="str">
        <x:v>G01</x:v>
      </x:c>
      <x:c r="B5" s="35" t="str">
        <x:v>Federalism</x:v>
      </x:c>
      <x:c r="C5" s="35" t="str">
        <x:v>Rajamannar Committee on Centre–State relations</x:v>
      </x:c>
      <x:c r="D5" s="35" t="str">
        <x:v>Tamil Nadu</x:v>
      </x:c>
      <x:c r="E5" s="35" t="str">
        <x:v>1969–1971</x:v>
      </x:c>
      <x:c r="F5" s="35" t="str">
        <x:v>Appointed committee and advanced its report politically</x:v>
      </x:c>
      <x:c r="G5" s="35" t="str">
        <x:v>Initiated</x:v>
      </x:c>
      <x:c r="H5" s="35" t="str">
        <x:v>Examine constitutional imbalance and propose greater state autonomy</x:v>
      </x:c>
      <x:c r="I5" s="35" t="str">
        <x:v>Expert committee and later Assembly resolution</x:v>
      </x:c>
      <x:c r="J5" s="35" t="str">
        <x:v>Report submitted; recommendations largely not enacted nationally</x:v>
      </x:c>
      <x:c r="K5" s="35" t="str">
        <x:v>Committee, report and sustained federal vocabulary</x:v>
      </x:c>
      <x:c r="L5" s="35" t="str">
        <x:v>Influenced later debate more than immediate constitutional change</x:v>
      </x:c>
      <x:c r="M5" s="35" t="str">
        <x:v>Tamil Nadu / 1969 onward</x:v>
      </x:c>
      <x:c r="N5" s="35" t="str">
        <x:v>Strong for agenda-setting; weak for direct constitutional implementation</x:v>
      </x:c>
      <x:c r="O5" s="35" t="str">
        <x:v>States and regional parties</x:v>
      </x:c>
      <x:c r="P5" s="35" t="str">
        <x:v>Critics treated proposals as excessive decentralization; supporters saw a federal corrective</x:v>
      </x:c>
      <x:c r="Q5" s="35" t="str">
        <x:v>Enduring reference point</x:v>
      </x:c>
      <x:c r="R5" s="35" t="str">
        <x:v>Analysis</x:v>
      </x:c>
      <x:c r="S5" s="35" t="str">
        <x:v>Multiple independent sources</x:v>
      </x:c>
      <x:c r="T5" s="35" t="str">
        <x:v>S15; S04</x:v>
      </x:c>
      <x:c r="U5" s="35" t="str">
        <x:v>Do not equate recommendation with enactment.</x:v>
      </x:c>
      <x:c r="V5" s="35" t="str">
        <x:v>P3</x:v>
      </x:c>
    </x:row>
    <x:row r="6" ht="42" customHeight="1">
      <x:c r="A6" s="37" t="str">
        <x:v>G02</x:v>
      </x:c>
      <x:c r="B6" s="37" t="str">
        <x:v>Urban housing</x:v>
      </x:c>
      <x:c r="C6" s="37" t="str">
        <x:v>Tamil Nadu Slum Clearance Board</x:v>
      </x:c>
      <x:c r="D6" s="37" t="str">
        <x:v>Tamil Nadu</x:v>
      </x:c>
      <x:c r="E6" s="37" t="str">
        <x:v>1970 onward</x:v>
      </x:c>
      <x:c r="F6" s="37" t="str">
        <x:v>Government established a specialized statutory institution</x:v>
      </x:c>
      <x:c r="G6" s="37" t="str">
        <x:v>Led</x:v>
      </x:c>
      <x:c r="H6" s="37" t="str">
        <x:v>Improve housing and services for urban slum residents</x:v>
      </x:c>
      <x:c r="I6" s="37" t="str">
        <x:v>Statutory board, clearance and tenement programs</x:v>
      </x:c>
      <x:c r="J6" s="37" t="str">
        <x:v>Board institutionalized</x:v>
      </x:c>
      <x:c r="K6" s="37" t="str">
        <x:v>Long-running housing program and administrative capacity</x:v>
      </x:c>
      <x:c r="L6" s="37" t="str">
        <x:v>Mixed: expanded state capacity but clearance/tenement models have displacement and maintenance trade-offs</x:v>
      </x:c>
      <x:c r="M6" s="37" t="str">
        <x:v>Tamil Nadu cities / multi-decade</x:v>
      </x:c>
      <x:c r="N6" s="37" t="str">
        <x:v>Shared across governments and administrators</x:v>
      </x:c>
      <x:c r="O6" s="37" t="str">
        <x:v>Urban poor</x:v>
      </x:c>
      <x:c r="P6" s="37" t="str">
        <x:v>Relocation and top-down planning could disrupt livelihoods</x:v>
      </x:c>
      <x:c r="Q6" s="37" t="str">
        <x:v>Institution continues under renamed housing board structures</x:v>
      </x:c>
      <x:c r="R6" s="37" t="str">
        <x:v>Analysis</x:v>
      </x:c>
      <x:c r="S6" s="37" t="str">
        <x:v>Primary record plus scholarship</x:v>
      </x:c>
      <x:c r="T6" s="37" t="str">
        <x:v>S09; S27</x:v>
      </x:c>
      <x:c r="U6" s="37" t="str">
        <x:v>Institutional creation is clear; long-run outcomes are multi-causal.</x:v>
      </x:c>
      <x:c r="V6" s="37" t="str">
        <x:v>P3</x:v>
      </x:c>
    </x:row>
    <x:row r="7" ht="42" customHeight="1">
      <x:c r="A7" s="37" t="str">
        <x:v>G03</x:v>
      </x:c>
      <x:c r="B7" s="37" t="str">
        <x:v>Water and sanitation</x:v>
      </x:c>
      <x:c r="C7" s="37" t="str">
        <x:v>Tamil Nadu Water Supply and Drainage Board</x:v>
      </x:c>
      <x:c r="D7" s="37" t="str">
        <x:v>Tamil Nadu</x:v>
      </x:c>
      <x:c r="E7" s="37" t="str">
        <x:v>1970–1971</x:v>
      </x:c>
      <x:c r="F7" s="37" t="str">
        <x:v>Government enacted and constituted the board</x:v>
      </x:c>
      <x:c r="G7" s="37" t="str">
        <x:v>Led</x:v>
      </x:c>
      <x:c r="H7" s="37" t="str">
        <x:v>Create statewide water and drainage capacity outside Chennai</x:v>
      </x:c>
      <x:c r="I7" s="37" t="str">
        <x:v>Statutory board</x:v>
      </x:c>
      <x:c r="J7" s="37" t="str">
        <x:v>Enacted and constituted</x:v>
      </x:c>
      <x:c r="K7" s="37" t="str">
        <x:v>Specialized statewide agency</x:v>
      </x:c>
      <x:c r="L7" s="37" t="str">
        <x:v>Durable administrative infrastructure; service outcomes depend on later investment and local execution</x:v>
      </x:c>
      <x:c r="M7" s="37" t="str">
        <x:v>Tamil Nadu / since 1971</x:v>
      </x:c>
      <x:c r="N7" s="37" t="str">
        <x:v>Strong for institutional creation; limited for all later outcomes</x:v>
      </x:c>
      <x:c r="O7" s="37" t="str">
        <x:v>Urban and rural residents</x:v>
      </x:c>
      <x:c r="P7" s="37" t="str">
        <x:v>Capital-intensive systems created fiscal and maintenance demands</x:v>
      </x:c>
      <x:c r="Q7" s="37" t="str">
        <x:v>Institution continues</x:v>
      </x:c>
      <x:c r="R7" s="37" t="str">
        <x:v>Recorded fact</x:v>
      </x:c>
      <x:c r="S7" s="37" t="str">
        <x:v>Primary record plus corroboration</x:v>
      </x:c>
      <x:c r="T7" s="37" t="str">
        <x:v>S11; S09</x:v>
      </x:c>
      <x:c r="U7" s="37"/>
      <x:c r="V7" s="37" t="str">
        <x:v>P3</x:v>
      </x:c>
    </x:row>
    <x:row r="8" ht="42" customHeight="1">
      <x:c r="A8" s="37" t="str">
        <x:v>G04</x:v>
      </x:c>
      <x:c r="B8" s="37" t="str">
        <x:v>Transport and labor dignity</x:v>
      </x:c>
      <x:c r="C8" s="37" t="str">
        <x:v>Replacement of hand-pulled rickshaws with cycle rickshaws</x:v>
      </x:c>
      <x:c r="D8" s="37" t="str">
        <x:v>Tamil Nadu</x:v>
      </x:c>
      <x:c r="E8" s="37" t="str">
        <x:v>1973</x:v>
      </x:c>
      <x:c r="F8" s="37" t="str">
        <x:v>Government prohibited/removed hand-pulled rickshaws and assisted transition</x:v>
      </x:c>
      <x:c r="G8" s="37" t="str">
        <x:v>Led</x:v>
      </x:c>
      <x:c r="H8" s="37" t="str">
        <x:v>End a degrading form of manual transport labor</x:v>
      </x:c>
      <x:c r="I8" s="37" t="str">
        <x:v>Regulation and asset support</x:v>
      </x:c>
      <x:c r="J8" s="37" t="str">
        <x:v>Implemented</x:v>
      </x:c>
      <x:c r="K8" s="37" t="str">
        <x:v>Cycle rickshaws distributed</x:v>
      </x:c>
      <x:c r="L8" s="37" t="str">
        <x:v>Symbolic and material labor reform; scale evidence is limited in accessible records</x:v>
      </x:c>
      <x:c r="M8" s="37" t="str">
        <x:v>Tamil Nadu / 1970s</x:v>
      </x:c>
      <x:c r="N8" s="37" t="str">
        <x:v>Moderate; policy associated with his ministry</x:v>
      </x:c>
      <x:c r="O8" s="37" t="str">
        <x:v>Rickshaw workers</x:v>
      </x:c>
      <x:c r="P8" s="37" t="str">
        <x:v>Livelihood transition details require stronger quantitative evaluation</x:v>
      </x:c>
      <x:c r="Q8" s="37" t="str">
        <x:v>Historical program</x:v>
      </x:c>
      <x:c r="R8" s="37" t="str">
        <x:v>Analysis</x:v>
      </x:c>
      <x:c r="S8" s="37" t="str">
        <x:v>Single credible source</x:v>
      </x:c>
      <x:c r="T8" s="37" t="str">
        <x:v>S09</x:v>
      </x:c>
      <x:c r="U8" s="37" t="str">
        <x:v>Output counts not independently verified here.</x:v>
      </x:c>
      <x:c r="V8" s="37" t="str">
        <x:v>P3</x:v>
      </x:c>
    </x:row>
    <x:row r="9" ht="42" customHeight="1">
      <x:c r="A9" s="37" t="str">
        <x:v>G05</x:v>
      </x:c>
      <x:c r="B9" s="37" t="str">
        <x:v>Social justice</x:v>
      </x:c>
      <x:c r="C9" s="37" t="str">
        <x:v>Backward-class reservation expansion</x:v>
      </x:c>
      <x:c r="D9" s="37" t="str">
        <x:v>Tamil Nadu</x:v>
      </x:c>
      <x:c r="E9" s="37" t="str">
        <x:v>1971 and 1989–1990</x:v>
      </x:c>
      <x:c r="F9" s="37" t="str">
        <x:v>Governments under Karunanidhi raised shares within a longer cross-party reservation trajectory</x:v>
      </x:c>
      <x:c r="G9" s="37" t="str">
        <x:v>Led</x:v>
      </x:c>
      <x:c r="H9" s="37" t="str">
        <x:v>Increase representation in education and public employment</x:v>
      </x:c>
      <x:c r="I9" s="37" t="str">
        <x:v>Government orders, commission-based category changes and statutory framework</x:v>
      </x:c>
      <x:c r="J9" s="37" t="str">
        <x:v>Implemented</x:v>
      </x:c>
      <x:c r="K9" s="37" t="str">
        <x:v>Reservation shares expanded; 69% system emerged by 1990</x:v>
      </x:c>
      <x:c r="L9" s="37" t="str">
        <x:v>Central to Tamil Nadu's social-justice regime, but final statutory and Ninth Schedule protection involved later AIADMK and Union actions</x:v>
      </x:c>
      <x:c r="M9" s="37" t="str">
        <x:v>Tamil Nadu / 1971–present</x:v>
      </x:c>
      <x:c r="N9" s="37" t="str">
        <x:v>Substantial but shared across Dravidian parties, commissions, courts and legislatures</x:v>
      </x:c>
      <x:c r="O9" s="37" t="str">
        <x:v>Backward Classes, Most Backward Classes, SCs and STs</x:v>
      </x:c>
      <x:c r="P9" s="37" t="str">
        <x:v>Legal challenges, category politics and distribution within reserved groups</x:v>
      </x:c>
      <x:c r="Q9" s="37" t="str">
        <x:v>69% system remains subject to constitutional litigation and debate</x:v>
      </x:c>
      <x:c r="R9" s="37" t="str">
        <x:v>Analysis</x:v>
      </x:c>
      <x:c r="S9" s="37" t="str">
        <x:v>Multiple independent sources</x:v>
      </x:c>
      <x:c r="T9" s="37" t="str">
        <x:v>S23; S27; S06</x:v>
      </x:c>
      <x:c r="U9" s="37" t="str">
        <x:v>Avoid crediting the 1994 Ninth Schedule placement solely to Karunanidhi.</x:v>
      </x:c>
      <x:c r="V9" s="37" t="str">
        <x:v>P3; P4</x:v>
      </x:c>
    </x:row>
    <x:row r="10" ht="42" customHeight="1">
      <x:c r="A10" s="37" t="str">
        <x:v>G06</x:v>
      </x:c>
      <x:c r="B10" s="37" t="str">
        <x:v>Gender and property</x:v>
      </x:c>
      <x:c r="C10" s="37" t="str">
        <x:v>Tamil Nadu Hindu Succession amendment for daughters' coparcenary rights</x:v>
      </x:c>
      <x:c r="D10" s="37" t="str">
        <x:v>Tamil Nadu</x:v>
      </x:c>
      <x:c r="E10" s="37" t="str">
        <x:v>1989–1990</x:v>
      </x:c>
      <x:c r="F10" s="37" t="str">
        <x:v>Government introduced and enacted the state amendment</x:v>
      </x:c>
      <x:c r="G10" s="37" t="str">
        <x:v>Led</x:v>
      </x:c>
      <x:c r="H10" s="37" t="str">
        <x:v>Give qualifying daughters equal coparcenary rights by birth</x:v>
      </x:c>
      <x:c r="I10" s="37" t="str">
        <x:v>State statutory amendment, subject to eligibility conditions</x:v>
      </x:c>
      <x:c r="J10" s="37" t="str">
        <x:v>Passed 6 May 1989; presidential assent followed in 1990</x:v>
      </x:c>
      <x:c r="K10" s="37" t="str">
        <x:v>Created pre-2005 state-level rights</x:v>
      </x:c>
      <x:c r="L10" s="37" t="str">
        <x:v>Substantive legal advance; effects depended on awareness, claims, land records and exclusions</x:v>
      </x:c>
      <x:c r="M10" s="37" t="str">
        <x:v>Tamil Nadu / families governed by the Act</x:v>
      </x:c>
      <x:c r="N10" s="37" t="str">
        <x:v>Strong for enactment; implementation outcomes require separate evidence</x:v>
      </x:c>
      <x:c r="O10" s="37" t="str">
        <x:v>Daughters covered by statutory conditions</x:v>
      </x:c>
      <x:c r="P10" s="37" t="str">
        <x:v>Eligibility and enforcement limited universal reach</x:v>
      </x:c>
      <x:c r="Q10" s="37" t="str">
        <x:v>Later superseded/expanded by the 2005 national amendment</x:v>
      </x:c>
      <x:c r="R10" s="37" t="str">
        <x:v>Recorded fact</x:v>
      </x:c>
      <x:c r="S10" s="37" t="str">
        <x:v>Official record plus biography</x:v>
      </x:c>
      <x:c r="T10" s="37" t="str">
        <x:v>S10; S06</x:v>
      </x:c>
      <x:c r="U10" s="37"/>
      <x:c r="V10" s="37" t="str">
        <x:v>P4</x:v>
      </x:c>
    </x:row>
    <x:row r="11" ht="42" customHeight="1">
      <x:c r="A11" s="37" t="str">
        <x:v>G07</x:v>
      </x:c>
      <x:c r="B11" s="37" t="str">
        <x:v>Gender and local government</x:v>
      </x:c>
      <x:c r="C11" s="37" t="str">
        <x:v>33% reservation for women in local bodies</x:v>
      </x:c>
      <x:c r="D11" s="37" t="str">
        <x:v>Tamil Nadu</x:v>
      </x:c>
      <x:c r="E11" s="37" t="str">
        <x:v>1996 local elections</x:v>
      </x:c>
      <x:c r="F11" s="37" t="str">
        <x:v>Government implemented constitutional reservation in restored local elections</x:v>
      </x:c>
      <x:c r="G11" s="37" t="str">
        <x:v>Implemented</x:v>
      </x:c>
      <x:c r="H11" s="37" t="str">
        <x:v>Increase women's descriptive representation in local government</x:v>
      </x:c>
      <x:c r="I11" s="37" t="str">
        <x:v>Reserved seats and offices</x:v>
      </x:c>
      <x:c r="J11" s="37" t="str">
        <x:v>Implemented through elections</x:v>
      </x:c>
      <x:c r="K11" s="37" t="str">
        <x:v>Large entry of women into local bodies</x:v>
      </x:c>
      <x:c r="L11" s="37" t="str">
        <x:v>Clear descriptive-representation effect; substantive empowerment varied with institutional and household conditions</x:v>
      </x:c>
      <x:c r="M11" s="37" t="str">
        <x:v>Tamil Nadu local bodies / 1996 onward</x:v>
      </x:c>
      <x:c r="N11" s="37" t="str">
        <x:v>Shared with the 73rd/74th constitutional framework and election administration</x:v>
      </x:c>
      <x:c r="O11" s="37" t="str">
        <x:v>Women candidates and communities</x:v>
      </x:c>
      <x:c r="P11" s="37" t="str">
        <x:v>Proxy representation and unequal authority remained concerns</x:v>
      </x:c>
      <x:c r="Q11" s="37" t="str">
        <x:v>Later expanded to 50% under subsequent governments</x:v>
      </x:c>
      <x:c r="R11" s="37" t="str">
        <x:v>Analysis</x:v>
      </x:c>
      <x:c r="S11" s="37" t="str">
        <x:v>Multiple independent sources</x:v>
      </x:c>
      <x:c r="T11" s="37" t="str">
        <x:v>S06; S27</x:v>
      </x:c>
      <x:c r="U11" s="37" t="str">
        <x:v>Do not attribute the constitutional mandate itself to Karunanidhi.</x:v>
      </x:c>
      <x:c r="V11" s="37" t="str">
        <x:v>P5</x:v>
      </x:c>
    </x:row>
    <x:row r="12" ht="42" customHeight="1">
      <x:c r="A12" s="37" t="str">
        <x:v>G08</x:v>
      </x:c>
      <x:c r="B12" s="37" t="str">
        <x:v>Caste integration</x:v>
      </x:c>
      <x:c r="C12" s="37" t="str">
        <x:v>Periyar Memorial Samathuvapuram</x:v>
      </x:c>
      <x:c r="D12" s="37" t="str">
        <x:v>Tamil Nadu</x:v>
      </x:c>
      <x:c r="E12" s="37" t="str">
        <x:v>1997 onward</x:v>
      </x:c>
      <x:c r="F12" s="37" t="str">
        <x:v>Government designed and launched the program</x:v>
      </x:c>
      <x:c r="G12" s="37" t="str">
        <x:v>Initiated</x:v>
      </x:c>
      <x:c r="H12" s="37" t="str">
        <x:v>Reduce residential caste segregation and symbolize equality</x:v>
      </x:c>
      <x:c r="I12" s="37" t="str">
        <x:v>Mixed-caste housing allocations with shared civic spaces</x:v>
      </x:c>
      <x:c r="J12" s="37" t="str">
        <x:v>Implemented in multiple settlements</x:v>
      </x:c>
      <x:c r="K12" s="37" t="str">
        <x:v>Dozens of settlements built</x:v>
      </x:c>
      <x:c r="L12" s="37" t="str">
        <x:v>Innovative spatial design with uneven social integration and maintenance outcomes</x:v>
      </x:c>
      <x:c r="M12" s="37" t="str">
        <x:v>Tamil Nadu / selected rural sites</x:v>
      </x:c>
      <x:c r="N12" s="37" t="str">
        <x:v>Strong for launch and design; outcomes locally variable</x:v>
      </x:c>
      <x:c r="O12" s="37" t="str">
        <x:v>SC, BC/MBC and other caste households</x:v>
      </x:c>
      <x:c r="P12" s="37" t="str">
        <x:v>Critics noted persistence of hierarchy, conflict and symbolic rather than structural change</x:v>
      </x:c>
      <x:c r="Q12" s="37" t="str">
        <x:v>Program has been revived and renovated</x:v>
      </x:c>
      <x:c r="R12" s="37" t="str">
        <x:v>Analysis</x:v>
      </x:c>
      <x:c r="S12" s="37" t="str">
        <x:v>Primary record plus scholarship</x:v>
      </x:c>
      <x:c r="T12" s="37" t="str">
        <x:v>S12; S13</x:v>
      </x:c>
      <x:c r="U12" s="37"/>
      <x:c r="V12" s="37" t="str">
        <x:v>P5</x:v>
      </x:c>
    </x:row>
    <x:row r="13" ht="42" customHeight="1">
      <x:c r="A13" s="37" t="str">
        <x:v>G09</x:v>
      </x:c>
      <x:c r="B13" s="37" t="str">
        <x:v>Agriculture and markets</x:v>
      </x:c>
      <x:c r="C13" s="37" t="str">
        <x:v>Uzhavar Sandhai farmers' markets</x:v>
      </x:c>
      <x:c r="D13" s="37" t="str">
        <x:v>Tamil Nadu</x:v>
      </x:c>
      <x:c r="E13" s="37" t="str">
        <x:v>1999 onward</x:v>
      </x:c>
      <x:c r="F13" s="37" t="str">
        <x:v>Government launched direct farmer-to-consumer markets</x:v>
      </x:c>
      <x:c r="G13" s="37" t="str">
        <x:v>Initiated</x:v>
      </x:c>
      <x:c r="H13" s="37" t="str">
        <x:v>Reduce intermediary margins and improve prices for farmers and consumers</x:v>
      </x:c>
      <x:c r="I13" s="37" t="str">
        <x:v>State-supported market sites and direct sale</x:v>
      </x:c>
      <x:c r="J13" s="37" t="str">
        <x:v>Implemented</x:v>
      </x:c>
      <x:c r="K13" s="37" t="str">
        <x:v>Markets established across the state</x:v>
      </x:c>
      <x:c r="L13" s="37" t="str">
        <x:v>Benefits depended on procurement rules, farmer access, consumer demand and later-government support</x:v>
      </x:c>
      <x:c r="M13" s="37" t="str">
        <x:v>Tamil Nadu / 1999 onward</x:v>
      </x:c>
      <x:c r="N13" s="37" t="str">
        <x:v>Strong for launch; long-run performance varies</x:v>
      </x:c>
      <x:c r="O13" s="37" t="str">
        <x:v>Small and medium farmers; urban consumers</x:v>
      </x:c>
      <x:c r="P13" s="37" t="str">
        <x:v>Some markets declined when political and administrative support weakened</x:v>
      </x:c>
      <x:c r="Q13" s="37" t="str">
        <x:v>Revived by later DMK government</x:v>
      </x:c>
      <x:c r="R13" s="37" t="str">
        <x:v>Analysis</x:v>
      </x:c>
      <x:c r="S13" s="37" t="str">
        <x:v>Multiple independent sources</x:v>
      </x:c>
      <x:c r="T13" s="37" t="str">
        <x:v>S14; S27</x:v>
      </x:c>
      <x:c r="U13" s="37"/>
      <x:c r="V13" s="37" t="str">
        <x:v>P5</x:v>
      </x:c>
    </x:row>
    <x:row r="14" ht="42" customHeight="1">
      <x:c r="A14" s="37" t="str">
        <x:v>G10</x:v>
      </x:c>
      <x:c r="B14" s="37" t="str">
        <x:v>Language and identity</x:v>
      </x:c>
      <x:c r="C14" s="37" t="str">
        <x:v>Rename Madras city as Chennai</x:v>
      </x:c>
      <x:c r="D14" s="37" t="str">
        <x:v>Tamil Nadu</x:v>
      </x:c>
      <x:c r="E14" s="37" t="str">
        <x:v>1996</x:v>
      </x:c>
      <x:c r="F14" s="37" t="str">
        <x:v>Announced and implemented change through state action</x:v>
      </x:c>
      <x:c r="G14" s="37" t="str">
        <x:v>Led</x:v>
      </x:c>
      <x:c r="H14" s="37" t="str">
        <x:v>Use the locally rooted Tamil name as the official city name</x:v>
      </x:c>
      <x:c r="I14" s="37" t="str">
        <x:v>Legislation and administrative renaming</x:v>
      </x:c>
      <x:c r="J14" s="37" t="str">
        <x:v>Implemented</x:v>
      </x:c>
      <x:c r="K14" s="37" t="str">
        <x:v>Official name changed</x:v>
      </x:c>
      <x:c r="L14" s="37" t="str">
        <x:v>Durable symbolic decolonization and Tamil identity policy</x:v>
      </x:c>
      <x:c r="M14" s="37" t="str">
        <x:v>Chennai / since 1996</x:v>
      </x:c>
      <x:c r="N14" s="37" t="str">
        <x:v>Strong for state decision; part of wider Indian renaming trend</x:v>
      </x:c>
      <x:c r="O14" s="37" t="str">
        <x:v>Residents and Tamil public sphere</x:v>
      </x:c>
      <x:c r="P14" s="37" t="str">
        <x:v>Some institutions retained ‘Madras’; symbolism outweighed material policy effect</x:v>
      </x:c>
      <x:c r="Q14" s="37" t="str">
        <x:v>Still official</x:v>
      </x:c>
      <x:c r="R14" s="37" t="str">
        <x:v>Recorded fact</x:v>
      </x:c>
      <x:c r="S14" s="37" t="str">
        <x:v>Contemporaneous journalism</x:v>
      </x:c>
      <x:c r="T14" s="37" t="str">
        <x:v>S24</x:v>
      </x:c>
      <x:c r="U14" s="37"/>
      <x:c r="V14" s="37" t="str">
        <x:v>P5</x:v>
      </x:c>
    </x:row>
    <x:row r="15" ht="42" customHeight="1">
      <x:c r="A15" s="37" t="str">
        <x:v>G11</x:v>
      </x:c>
      <x:c r="B15" s="37" t="str">
        <x:v>Industry and administration</x:v>
      </x:c>
      <x:c r="C15" s="37" t="str">
        <x:v>Single-window industrial clearances and investment promotion</x:v>
      </x:c>
      <x:c r="D15" s="37" t="str">
        <x:v>Tamil Nadu</x:v>
      </x:c>
      <x:c r="E15" s="37" t="str">
        <x:v>1996–2001</x:v>
      </x:c>
      <x:c r="F15" s="37" t="str">
        <x:v>Government adopted liberalization-era investment facilitation</x:v>
      </x:c>
      <x:c r="G15" s="37" t="str">
        <x:v>Led</x:v>
      </x:c>
      <x:c r="H15" s="37" t="str">
        <x:v>Attract manufacturing and reduce approval friction</x:v>
      </x:c>
      <x:c r="I15" s="37" t="str">
        <x:v>Industrial policy, parks and single-window mechanisms</x:v>
      </x:c>
      <x:c r="J15" s="37" t="str">
        <x:v>Implemented</x:v>
      </x:c>
      <x:c r="K15" s="37" t="str">
        <x:v>Projects and industrial infrastructure expanded</x:v>
      </x:c>
      <x:c r="L15" s="37" t="str">
        <x:v>Contributed to competitive state industrialization; outcomes also reflect prior capacity, private investment and later governments</x:v>
      </x:c>
      <x:c r="M15" s="37" t="str">
        <x:v>Tamil Nadu / 1990s onward</x:v>
      </x:c>
      <x:c r="N15" s="37" t="str">
        <x:v>Shared and multi-causal</x:v>
      </x:c>
      <x:c r="O15" s="37" t="str">
        <x:v>Workers, firms and industrial regions</x:v>
      </x:c>
      <x:c r="P15" s="37" t="str">
        <x:v>Land, environmental and regional-distribution trade-offs</x:v>
      </x:c>
      <x:c r="Q15" s="37" t="str">
        <x:v>Institutional approach continued</x:v>
      </x:c>
      <x:c r="R15" s="37" t="str">
        <x:v>Analysis</x:v>
      </x:c>
      <x:c r="S15" s="37" t="str">
        <x:v>Multiple independent sources</x:v>
      </x:c>
      <x:c r="T15" s="37" t="str">
        <x:v>S09; S27</x:v>
      </x:c>
      <x:c r="U15" s="37"/>
      <x:c r="V15" s="37" t="str">
        <x:v>P5</x:v>
      </x:c>
    </x:row>
    <x:row r="16" ht="42" customHeight="1">
      <x:c r="A16" s="37" t="str">
        <x:v>G12</x:v>
      </x:c>
      <x:c r="B16" s="37" t="str">
        <x:v>Language and culture</x:v>
      </x:c>
      <x:c r="C16" s="37" t="str">
        <x:v>Classical Language status for Tamil</x:v>
      </x:c>
      <x:c r="D16" s="37" t="str">
        <x:v>India / Tamil Nadu</x:v>
      </x:c>
      <x:c r="E16" s="37" t="str">
        <x:v>2004</x:v>
      </x:c>
      <x:c r="F16" s="37" t="str">
        <x:v>DMK used coalition leverage and sustained advocacy; Union government made the formal decision</x:v>
      </x:c>
      <x:c r="G16" s="37" t="str">
        <x:v>Negotiated</x:v>
      </x:c>
      <x:c r="H16" s="37" t="str">
        <x:v>Secure official recognition and institutional support for Tamil scholarship</x:v>
      </x:c>
      <x:c r="I16" s="37" t="str">
        <x:v>Coalition bargaining and Union notification</x:v>
      </x:c>
      <x:c r="J16" s="37" t="str">
        <x:v>Tamil recognized in 2004</x:v>
      </x:c>
      <x:c r="K16" s="37" t="str">
        <x:v>First Indian language recognized under the new category</x:v>
      </x:c>
      <x:c r="L16" s="37" t="str">
        <x:v>High symbolic and institutional significance; criteria and competitive recognition remain debated</x:v>
      </x:c>
      <x:c r="M16" s="37" t="str">
        <x:v>India / since 2004</x:v>
      </x:c>
      <x:c r="N16" s="37" t="str">
        <x:v>Shared with scholars, activists and the Union government</x:v>
      </x:c>
      <x:c r="O16" s="37" t="str">
        <x:v>Tamil scholars and cultural institutions</x:v>
      </x:c>
      <x:c r="P16" s="37" t="str">
        <x:v>Critics question politicization of classification and uneven funding</x:v>
      </x:c>
      <x:c r="Q16" s="37" t="str">
        <x:v>Recognition remains</x:v>
      </x:c>
      <x:c r="R16" s="37" t="str">
        <x:v>Analysis</x:v>
      </x:c>
      <x:c r="S16" s="37" t="str">
        <x:v>Multiple independent sources</x:v>
      </x:c>
      <x:c r="T16" s="37" t="str">
        <x:v>S25; S04</x:v>
      </x:c>
      <x:c r="U16" s="37"/>
      <x:c r="V16" s="37" t="str">
        <x:v>P5</x:v>
      </x:c>
    </x:row>
    <x:row r="17" ht="42" customHeight="1">
      <x:c r="A17" s="37" t="str">
        <x:v>G13</x:v>
      </x:c>
      <x:c r="B17" s="37" t="str">
        <x:v>Consumer welfare</x:v>
      </x:c>
      <x:c r="C17" s="37" t="str">
        <x:v>Free color television distribution</x:v>
      </x:c>
      <x:c r="D17" s="37" t="str">
        <x:v>Tamil Nadu</x:v>
      </x:c>
      <x:c r="E17" s="37" t="str">
        <x:v>2006–2011</x:v>
      </x:c>
      <x:c r="F17" s="37" t="str">
        <x:v>Government implemented a manifesto promise</x:v>
      </x:c>
      <x:c r="G17" s="37" t="str">
        <x:v>Led</x:v>
      </x:c>
      <x:c r="H17" s="37" t="str">
        <x:v>Expand household access to television and welfare consumption</x:v>
      </x:c>
      <x:c r="I17" s="37" t="str">
        <x:v>Public procurement and phased distribution</x:v>
      </x:c>
      <x:c r="J17" s="37" t="str">
        <x:v>Implemented</x:v>
      </x:c>
      <x:c r="K17" s="37" t="str">
        <x:v>Millions of sets reportedly distributed</x:v>
      </x:c>
      <x:c r="L17" s="37" t="str">
        <x:v>Improved access to information/entertainment but became emblematic of competitive ‘freebie’ politics and created procurement/fiscal questions</x:v>
      </x:c>
      <x:c r="M17" s="37" t="str">
        <x:v>Tamil Nadu / 2006–2011</x:v>
      </x:c>
      <x:c r="N17" s="37" t="str">
        <x:v>Strong for program; welfare effects difficult to isolate</x:v>
      </x:c>
      <x:c r="O17" s="37" t="str">
        <x:v>Eligible households without a color television</x:v>
      </x:c>
      <x:c r="P17" s="37" t="str">
        <x:v>Critics challenged opportunity cost and party-media benefit</x:v>
      </x:c>
      <x:c r="Q17" s="37" t="str">
        <x:v>Program completed/discontinued under later government</x:v>
      </x:c>
      <x:c r="R17" s="37" t="str">
        <x:v>Analysis</x:v>
      </x:c>
      <x:c r="S17" s="37" t="str">
        <x:v>Multiple independent sources</x:v>
      </x:c>
      <x:c r="T17" s="37" t="str">
        <x:v>S07; S22; S27</x:v>
      </x:c>
      <x:c r="U17" s="37"/>
      <x:c r="V17" s="37" t="str">
        <x:v>P6</x:v>
      </x:c>
    </x:row>
    <x:row r="18" ht="42" customHeight="1">
      <x:c r="A18" s="37" t="str">
        <x:v>G14</x:v>
      </x:c>
      <x:c r="B18" s="37" t="str">
        <x:v>Food security</x:v>
      </x:c>
      <x:c r="C18" s="37" t="str">
        <x:v>Low-price rice expansion</x:v>
      </x:c>
      <x:c r="D18" s="37" t="str">
        <x:v>Tamil Nadu</x:v>
      </x:c>
      <x:c r="E18" s="37" t="str">
        <x:v>2006–2011</x:v>
      </x:c>
      <x:c r="F18" s="37" t="str">
        <x:v>Government implemented subsidized rice manifesto commitments through PDS</x:v>
      </x:c>
      <x:c r="G18" s="37" t="str">
        <x:v>Led</x:v>
      </x:c>
      <x:c r="H18" s="37" t="str">
        <x:v>Reduce food costs for ration-card households</x:v>
      </x:c>
      <x:c r="I18" s="37" t="str">
        <x:v>State subsidy through public distribution system</x:v>
      </x:c>
      <x:c r="J18" s="37" t="str">
        <x:v>Implemented</x:v>
      </x:c>
      <x:c r="K18" s="37" t="str">
        <x:v>Rice price reduced and later expanded</x:v>
      </x:c>
      <x:c r="L18" s="37" t="str">
        <x:v>Added to Tamil Nadu's broad food-security regime; fiscal cost and exclusion/leakage must be considered</x:v>
      </x:c>
      <x:c r="M18" s="37" t="str">
        <x:v>Tamil Nadu / 2006–2011</x:v>
      </x:c>
      <x:c r="N18" s="37" t="str">
        <x:v>Shared with long-running PDS institutions and Union grain supply</x:v>
      </x:c>
      <x:c r="O18" s="37" t="str">
        <x:v>Ration-card households</x:v>
      </x:c>
      <x:c r="P18" s="37" t="str">
        <x:v>Debate over universalism, fiscal burden and electoral competition</x:v>
      </x:c>
      <x:c r="Q18" s="37" t="str">
        <x:v>Successor governments retained/modified free-rice approach</x:v>
      </x:c>
      <x:c r="R18" s="37" t="str">
        <x:v>Analysis</x:v>
      </x:c>
      <x:c r="S18" s="37" t="str">
        <x:v>Multiple independent sources</x:v>
      </x:c>
      <x:c r="T18" s="37" t="str">
        <x:v>S09; S27</x:v>
      </x:c>
      <x:c r="U18" s="37"/>
      <x:c r="V18" s="37" t="str">
        <x:v>P6</x:v>
      </x:c>
    </x:row>
    <x:row r="19" ht="42" customHeight="1">
      <x:c r="A19" s="40" t="str">
        <x:v>G15</x:v>
      </x:c>
      <x:c r="B19" s="40" t="str">
        <x:v>Health financing</x:v>
      </x:c>
      <x:c r="C19" s="40" t="str">
        <x:v>Kalaignar health insurance scheme</x:v>
      </x:c>
      <x:c r="D19" s="40" t="str">
        <x:v>Tamil Nadu</x:v>
      </x:c>
      <x:c r="E19" s="40" t="str">
        <x:v>2009–2011</x:v>
      </x:c>
      <x:c r="F19" s="40" t="str">
        <x:v>Government launched insurance for specified life-saving treatments</x:v>
      </x:c>
      <x:c r="G19" s="40" t="str">
        <x:v>Initiated</x:v>
      </x:c>
      <x:c r="H19" s="40" t="str">
        <x:v>Protect low-income families from high-cost hospitalization</x:v>
      </x:c>
      <x:c r="I19" s="40" t="str">
        <x:v>Publicly financed insurance purchasing services from public and private hospitals</x:v>
      </x:c>
      <x:c r="J19" s="40" t="str">
        <x:v>Implemented</x:v>
      </x:c>
      <x:c r="K19" s="40" t="str">
        <x:v>More than one crore families reportedly eligible; claims processed through network hospitals</x:v>
      </x:c>
      <x:c r="L19" s="40" t="str">
        <x:v>Expanded coverage, but insurance-led design may favor procedures and private providers over primary-care investment</x:v>
      </x:c>
      <x:c r="M19" s="40" t="str">
        <x:v>Tamil Nadu / 2009 onward</x:v>
      </x:c>
      <x:c r="N19" s="40" t="str">
        <x:v>Strong for launch; health outcomes multi-causal</x:v>
      </x:c>
      <x:c r="O19" s="40" t="str">
        <x:v>Eligible low-income families and welfare-board members</x:v>
      </x:c>
      <x:c r="P19" s="40" t="str">
        <x:v>Selection of procedures, provider incentives and fiscal sustainability</x:v>
      </x:c>
      <x:c r="Q19" s="40" t="str">
        <x:v>Reworked and renamed by successor government</x:v>
      </x:c>
      <x:c r="R19" s="40" t="str">
        <x:v>Analysis</x:v>
      </x:c>
      <x:c r="S19" s="40" t="str">
        <x:v>Multiple independent sources</x:v>
      </x:c>
      <x:c r="T19" s="40" t="str">
        <x:v>S09; S27</x:v>
      </x:c>
      <x:c r="U19" s="40"/>
      <x:c r="V19" s="40" t="str">
        <x:v>P6</x:v>
      </x:c>
    </x:row>
  </x:sheetData>
  <x:pageMargins left="0.7" right="0.7" top="0.75" bottom="0.75" header="0.3" footer="0.3"/>
  <x:tableParts count="1">
    <x:tablePart xmlns:r="http://schemas.openxmlformats.org/officeDocument/2006/relationships" r:id="R7b19665afb55475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16" hidden="0" customWidth="1"/>
    <x:col min="3" max="3" width="28" hidden="0" customWidth="1"/>
    <x:col min="4" max="4" width="16" hidden="0" customWidth="1"/>
    <x:col min="5" max="5" width="48" hidden="0" customWidth="1"/>
    <x:col min="6" max="6" width="25" hidden="0" customWidth="1"/>
    <x:col min="7" max="7" width="38" hidden="0" customWidth="1"/>
    <x:col min="8" max="8" width="38" hidden="0" customWidth="1"/>
    <x:col min="9" max="9" width="42" hidden="0" customWidth="1"/>
    <x:col min="10" max="10" width="40" hidden="0" customWidth="1"/>
    <x:col min="11" max="11" width="16" hidden="0" customWidth="1"/>
    <x:col min="12" max="12" width="22" hidden="0" customWidth="1"/>
    <x:col min="13" max="13" width="20" hidden="0" customWidth="1"/>
    <x:col min="14" max="14" width="28" hidden="0" customWidth="1"/>
    <x:col min="15" max="15" width="22" hidden="0" customWidth="1"/>
  </x:cols>
  <x:sheetData>
    <x:row r="1" ht="24" customHeight="1">
      <x:c r="A1" s="28" t="str">
        <x:v>Ideas and political method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</x:row>
    <x:row r="2" ht="28" customHeight="1">
      <x:c r="A2" s="30" t="str">
        <x:v>Positions, methods and changes over time are separated from inferred motives.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</x:row>
    <x:row r="4" ht="36" customHeight="1">
      <x:c r="A4" s="53" t="str">
        <x:v>Record ID</x:v>
      </x:c>
      <x:c r="B4" s="54" t="str">
        <x:v>Category</x:v>
      </x:c>
      <x:c r="C4" s="54" t="str">
        <x:v>Topic</x:v>
      </x:c>
      <x:c r="D4" s="54" t="str">
        <x:v>Period</x:v>
      </x:c>
      <x:c r="E4" s="54" t="str">
        <x:v>Documented position or method</x:v>
      </x:c>
      <x:c r="F4" s="54" t="str">
        <x:v>Evidence type</x:v>
      </x:c>
      <x:c r="G4" s="54" t="str">
        <x:v>Change over time</x:v>
      </x:c>
      <x:c r="H4" s="54" t="str">
        <x:v>Allies, rivals, institutions or social coalition</x:v>
      </x:c>
      <x:c r="I4" s="54" t="str">
        <x:v>Strategic or historical context</x:v>
      </x:c>
      <x:c r="J4" s="54" t="str">
        <x:v>Consequence</x:v>
      </x:c>
      <x:c r="K4" s="54" t="str">
        <x:v>Claim type</x:v>
      </x:c>
      <x:c r="L4" s="54" t="str">
        <x:v>Corroboration</x:v>
      </x:c>
      <x:c r="M4" s="54" t="str">
        <x:v>Source IDs</x:v>
      </x:c>
      <x:c r="N4" s="54" t="str">
        <x:v>Research note</x:v>
      </x:c>
      <x:c r="O4" s="55" t="str">
        <x:v>Career phase</x:v>
      </x:c>
    </x:row>
    <x:row r="5" ht="42" customHeight="1">
      <x:c r="A5" s="35" t="str">
        <x:v>I01</x:v>
      </x:c>
      <x:c r="B5" s="35" t="str">
        <x:v>Ideology</x:v>
      </x:c>
      <x:c r="C5" s="35" t="str">
        <x:v>Self-Respect rationalism and social justice</x:v>
      </x:c>
      <x:c r="D5" s="35" t="str">
        <x:v>1938–2018</x:v>
      </x:c>
      <x:c r="E5" s="35" t="str">
        <x:v>Used anti-caste, rationalist and non-Brahmin language across speeches, films, policy and party institutions.</x:v>
      </x:c>
      <x:c r="F5" s="35" t="str">
        <x:v>Speech; film; policy; organization</x:v>
      </x:c>
      <x:c r="G5" s="35" t="str">
        <x:v>Separatist Dravida Nadu emphasis receded; constitutional social justice and state autonomy became dominant.</x:v>
      </x:c>
      <x:c r="H5" s="35" t="str">
        <x:v>Periyar, Annadurai, DMK cadre, backward-class coalitions</x:v>
      </x:c>
      <x:c r="I5" s="35" t="str">
        <x:v>A mass-democratic adaptation of the Self-Respect movement.</x:v>
      </x:c>
      <x:c r="J5" s="35" t="str">
        <x:v>Made Dravidian vocabulary the governing common sense of Tamil Nadu, while critics saw compromises and family concentration.</x:v>
      </x:c>
      <x:c r="K5" s="35" t="str">
        <x:v>Analysis</x:v>
      </x:c>
      <x:c r="L5" s="35" t="str">
        <x:v>Multiple independent sources</x:v>
      </x:c>
      <x:c r="M5" s="35" t="str">
        <x:v>S05; S06; S07; S27</x:v>
      </x:c>
      <x:c r="N5" s="35"/>
      <x:c r="O5" s="35" t="str">
        <x:v>P1–P6</x:v>
      </x:c>
    </x:row>
    <x:row r="6" ht="42" customHeight="1">
      <x:c r="A6" s="37" t="str">
        <x:v>I02</x:v>
      </x:c>
      <x:c r="B6" s="37" t="str">
        <x:v>Language</x:v>
      </x:c>
      <x:c r="C6" s="37" t="str">
        <x:v>Opposition to compulsory Hindi</x:v>
      </x:c>
      <x:c r="D6" s="37" t="str">
        <x:v>1938–2018</x:v>
      </x:c>
      <x:c r="E6" s="37" t="str">
        <x:v>Framed Tamil linguistic dignity and resistance to Hindi imposition as democratic and federal claims.</x:v>
      </x:c>
      <x:c r="F6" s="37" t="str">
        <x:v>Movement; speech; organization</x:v>
      </x:c>
      <x:c r="G6" s="37" t="str">
        <x:v>Moved from street agitation to institutional bargaining and cultural policy.</x:v>
      </x:c>
      <x:c r="H6" s="37" t="str">
        <x:v>Students, Tamil scholars, Congress governments, Union government</x:v>
      </x:c>
      <x:c r="I6" s="37" t="str">
        <x:v>Language was a route into regional political mobilization.</x:v>
      </x:c>
      <x:c r="J6" s="37" t="str">
        <x:v>Helped sustain Tamil Nadu's two-language political consensus.</x:v>
      </x:c>
      <x:c r="K6" s="37" t="str">
        <x:v>Analysis</x:v>
      </x:c>
      <x:c r="L6" s="37" t="str">
        <x:v>Multiple independent sources</x:v>
      </x:c>
      <x:c r="M6" s="37" t="str">
        <x:v>S04; S05; S06</x:v>
      </x:c>
      <x:c r="N6" s="37"/>
      <x:c r="O6" s="37" t="str">
        <x:v>P1–P6</x:v>
      </x:c>
    </x:row>
    <x:row r="7" ht="42" customHeight="1">
      <x:c r="A7" s="37" t="str">
        <x:v>I03</x:v>
      </x:c>
      <x:c r="B7" s="37" t="str">
        <x:v>Communication</x:v>
      </x:c>
      <x:c r="C7" s="37" t="str">
        <x:v>Cinema, theatre and political writing</x:v>
      </x:c>
      <x:c r="D7" s="37" t="str">
        <x:v>1940s–2010s</x:v>
      </x:c>
      <x:c r="E7" s="37" t="str">
        <x:v>Used dialogue-heavy popular culture, Murasoli and serialized writing to connect ideology with emotion and everyday language.</x:v>
      </x:c>
      <x:c r="F7" s="37" t="str">
        <x:v>Film; newspaper; literature</x:v>
      </x:c>
      <x:c r="G7" s="37" t="str">
        <x:v>Cinema central in early rise; party press and television became more important later.</x:v>
      </x:c>
      <x:c r="H7" s="37" t="str">
        <x:v>Actors, producers, readers, party cadres</x:v>
      </x:c>
      <x:c r="I7" s="37" t="str">
        <x:v>Low literacy and limited broadcast access made performance and cinema especially powerful.</x:v>
      </x:c>
      <x:c r="J7" s="37" t="str">
        <x:v>Created a durable model of cultural-political communication.</x:v>
      </x:c>
      <x:c r="K7" s="37" t="str">
        <x:v>Analysis</x:v>
      </x:c>
      <x:c r="L7" s="37" t="str">
        <x:v>Multiple independent sources</x:v>
      </x:c>
      <x:c r="M7" s="37" t="str">
        <x:v>S05; S06; S07; S22</x:v>
      </x:c>
      <x:c r="N7" s="37"/>
      <x:c r="O7" s="37" t="str">
        <x:v>P1–P6</x:v>
      </x:c>
    </x:row>
    <x:row r="8" ht="42" customHeight="1">
      <x:c r="A8" s="37" t="str">
        <x:v>I04</x:v>
      </x:c>
      <x:c r="B8" s="37" t="str">
        <x:v>Federalism</x:v>
      </x:c>
      <x:c r="C8" s="37" t="str">
        <x:v>State autonomy within India</x:v>
      </x:c>
      <x:c r="D8" s="37" t="str">
        <x:v>1960s–2018</x:v>
      </x:c>
      <x:c r="E8" s="37" t="str">
        <x:v>Sought greater fiscal, legislative and administrative authority for states while operating within constitutional India.</x:v>
      </x:c>
      <x:c r="F8" s="37" t="str">
        <x:v>Committee; resolution; coalition bargaining</x:v>
      </x:c>
      <x:c r="G8" s="37" t="str">
        <x:v>Shifted from early separatist inheritance toward federal restructuring.</x:v>
      </x:c>
      <x:c r="H8" s="37" t="str">
        <x:v>Rajamannar Committee, Union governments, regional parties</x:v>
      </x:c>
      <x:c r="I8" s="37" t="str">
        <x:v>Congress centralization and Article 356 made autonomy both ideological and practical.</x:v>
      </x:c>
      <x:c r="J8" s="37" t="str">
        <x:v>Fed later debates on governors, Article 356 and regional-party leverage.</x:v>
      </x:c>
      <x:c r="K8" s="37" t="str">
        <x:v>Analysis</x:v>
      </x:c>
      <x:c r="L8" s="37" t="str">
        <x:v>Multiple independent sources</x:v>
      </x:c>
      <x:c r="M8" s="37" t="str">
        <x:v>S04; S15; S19</x:v>
      </x:c>
      <x:c r="N8" s="37"/>
      <x:c r="O8" s="37" t="str">
        <x:v>P2–P6</x:v>
      </x:c>
    </x:row>
    <x:row r="9" ht="42" customHeight="1">
      <x:c r="A9" s="37" t="str">
        <x:v>I05</x:v>
      </x:c>
      <x:c r="B9" s="37" t="str">
        <x:v>Organization</x:v>
      </x:c>
      <x:c r="C9" s="37" t="str">
        <x:v>Cadre party and personalized leadership</x:v>
      </x:c>
      <x:c r="D9" s="37" t="str">
        <x:v>1969–2018</x:v>
      </x:c>
      <x:c r="E9" s="37" t="str">
        <x:v>Combined dense district organization, daily writing and centralized arbitration under a long-serving president.</x:v>
      </x:c>
      <x:c r="F9" s="37" t="str">
        <x:v>Organizational action; scholarly analysis</x:v>
      </x:c>
      <x:c r="G9" s="37" t="str">
        <x:v>Leadership became increasingly family-mediated and succession-focused in later decades.</x:v>
      </x:c>
      <x:c r="H9" s="37" t="str">
        <x:v>K. Anbazhagan, district secretaries, Murasoli network, family leaders</x:v>
      </x:c>
      <x:c r="I9" s="37" t="str">
        <x:v>Long opposition periods rewarded organizational continuity.</x:v>
      </x:c>
      <x:c r="J9" s="37" t="str">
        <x:v>Kept DMK electorally resilient but narrowed internal succession pathways.</x:v>
      </x:c>
      <x:c r="K9" s="37" t="str">
        <x:v>Analysis</x:v>
      </x:c>
      <x:c r="L9" s="37" t="str">
        <x:v>Multiple independent sources</x:v>
      </x:c>
      <x:c r="M9" s="37" t="str">
        <x:v>S06; S07; S22</x:v>
      </x:c>
      <x:c r="N9" s="37"/>
      <x:c r="O9" s="37" t="str">
        <x:v>P3–P6</x:v>
      </x:c>
    </x:row>
    <x:row r="10" ht="42" customHeight="1">
      <x:c r="A10" s="37" t="str">
        <x:v>I06</x:v>
      </x:c>
      <x:c r="B10" s="37" t="str">
        <x:v>Coalition</x:v>
      </x:c>
      <x:c r="C10" s="37" t="str">
        <x:v>Ideological flexibility in national alliances</x:v>
      </x:c>
      <x:c r="D10" s="37" t="str">
        <x:v>1988–2014</x:v>
      </x:c>
      <x:c r="E10" s="37" t="str">
        <x:v>Built or joined National Front, United Front, NDA and UPA arrangements to maximize Tamil Nadu and party influence.</x:v>
      </x:c>
      <x:c r="F10" s="37" t="str">
        <x:v>Alliance; negotiation</x:v>
      </x:c>
      <x:c r="G10" s="37" t="str">
        <x:v>Alliance partners changed sharply, including the 1999 BJP alignment and 2004 Congress alignment.</x:v>
      </x:c>
      <x:c r="H10" s="37" t="str">
        <x:v>V. P. Singh, Vajpayee, Congress leadership, regional parties</x:v>
      </x:c>
      <x:c r="I10" s="37" t="str">
        <x:v>Hung parliaments expanded leverage for state parties.</x:v>
      </x:c>
      <x:c r="J10" s="37" t="str">
        <x:v>Made DMK a pivotal national coalition actor but invited charges of opportunism.</x:v>
      </x:c>
      <x:c r="K10" s="37" t="str">
        <x:v>Analysis</x:v>
      </x:c>
      <x:c r="L10" s="37" t="str">
        <x:v>Multiple independent sources</x:v>
      </x:c>
      <x:c r="M10" s="37" t="str">
        <x:v>S04; S22; S26</x:v>
      </x:c>
      <x:c r="N10" s="37"/>
      <x:c r="O10" s="37" t="str">
        <x:v>P4–P6</x:v>
      </x:c>
    </x:row>
    <x:row r="11" ht="42" customHeight="1">
      <x:c r="A11" s="37" t="str">
        <x:v>I07</x:v>
      </x:c>
      <x:c r="B11" s="37" t="str">
        <x:v>Welfare</x:v>
      </x:c>
      <x:c r="C11" s="37" t="str">
        <x:v>Rights, subsidies and visible household benefits</x:v>
      </x:c>
      <x:c r="D11" s="37" t="str">
        <x:v>1969–2011</x:v>
      </x:c>
      <x:c r="E11" s="37" t="str">
        <x:v>Combined institutional social justice with targeted and universalizing consumer subsidies.</x:v>
      </x:c>
      <x:c r="F11" s="37" t="str">
        <x:v>Policy; manifesto</x:v>
      </x:c>
      <x:c r="G11" s="37" t="str">
        <x:v>Later terms placed greater weight on immediately visible household benefits.</x:v>
      </x:c>
      <x:c r="H11" s="37" t="str">
        <x:v>AIADMK competition, PDS institutions, welfare boards</x:v>
      </x:c>
      <x:c r="I11" s="37" t="str">
        <x:v>Competitive populism and high state capacity reinforced each other.</x:v>
      </x:c>
      <x:c r="J11" s="37" t="str">
        <x:v>Contributed to Tamil Nadu's welfare regime while intensifying fiscal and ‘freebie’ debates.</x:v>
      </x:c>
      <x:c r="K11" s="37" t="str">
        <x:v>Analysis</x:v>
      </x:c>
      <x:c r="L11" s="37" t="str">
        <x:v>Multiple independent sources</x:v>
      </x:c>
      <x:c r="M11" s="37" t="str">
        <x:v>S09; S27</x:v>
      </x:c>
      <x:c r="N11" s="37"/>
      <x:c r="O11" s="37" t="str">
        <x:v>P3–P6</x:v>
      </x:c>
    </x:row>
    <x:row r="12" ht="42" customHeight="1">
      <x:c r="A12" s="37" t="str">
        <x:v>I08</x:v>
      </x:c>
      <x:c r="B12" s="37" t="str">
        <x:v>Caste</x:v>
      </x:c>
      <x:c r="C12" s="37" t="str">
        <x:v>Broad non-Brahmin coalition and reservation</x:v>
      </x:c>
      <x:c r="D12" s="37" t="str">
        <x:v>1950s–2018</x:v>
      </x:c>
      <x:c r="E12" s="37" t="str">
        <x:v>Used reservation and Dravidian identity to aggregate backward classes, Dalits, minorities and sections of intermediate castes.</x:v>
      </x:c>
      <x:c r="F12" s="37" t="str">
        <x:v>Policy; organization; campaign</x:v>
      </x:c>
      <x:c r="G12" s="37" t="str">
        <x:v>Internal reservation and sub-categorization grew as broad categories revealed unequal distribution.</x:v>
      </x:c>
      <x:c r="H12" s="37" t="str">
        <x:v>Backward-class commissions, caste associations, Dalit movements, AIADMK</x:v>
      </x:c>
      <x:c r="I12" s="37" t="str">
        <x:v>Electoral democracy converted social-justice claims into durable policy competition.</x:v>
      </x:c>
      <x:c r="J12" s="37" t="str">
        <x:v>Expanded representation but did not eliminate caste violence or hierarchy.</x:v>
      </x:c>
      <x:c r="K12" s="37" t="str">
        <x:v>Analysis</x:v>
      </x:c>
      <x:c r="L12" s="37" t="str">
        <x:v>Multiple independent sources</x:v>
      </x:c>
      <x:c r="M12" s="37" t="str">
        <x:v>S05; S23; S27</x:v>
      </x:c>
      <x:c r="N12" s="37"/>
      <x:c r="O12" s="37" t="str">
        <x:v>P2–P6</x:v>
      </x:c>
    </x:row>
    <x:row r="13" ht="42" customHeight="1">
      <x:c r="A13" s="37" t="str">
        <x:v>I09</x:v>
      </x:c>
      <x:c r="B13" s="37" t="str">
        <x:v>Religion</x:v>
      </x:c>
      <x:c r="C13" s="37" t="str">
        <x:v>Rationalism with electoral accommodation</x:v>
      </x:c>
      <x:c r="D13" s="37" t="str">
        <x:v>1940s–2018</x:v>
      </x:c>
      <x:c r="E13" s="37" t="str">
        <x:v>Critiqued Brahminical orthodoxy and religious authority while leading a broad electoral party containing believers.</x:v>
      </x:c>
      <x:c r="F13" s="37" t="str">
        <x:v>Speech; film; political practice</x:v>
      </x:c>
      <x:c r="G13" s="37" t="str">
        <x:v>Public rationalism persisted, but governance was more accommodative than early movement rhetoric.</x:v>
      </x:c>
      <x:c r="H13" s="37" t="str">
        <x:v>Periyarists, religious communities, BJP and Congress</x:v>
      </x:c>
      <x:c r="I13" s="37" t="str">
        <x:v>Mass party competition required coalition beyond doctrinal atheism.</x:v>
      </x:c>
      <x:c r="J13" s="37" t="str">
        <x:v>Produced recurring controversies over religious remarks and questions about ideological consistency.</x:v>
      </x:c>
      <x:c r="K13" s="37" t="str">
        <x:v>Analysis</x:v>
      </x:c>
      <x:c r="L13" s="37" t="str">
        <x:v>Multiple independent sources</x:v>
      </x:c>
      <x:c r="M13" s="37" t="str">
        <x:v>S05; S06; S07</x:v>
      </x:c>
      <x:c r="N13" s="37"/>
      <x:c r="O13" s="37" t="str">
        <x:v>P1–P6</x:v>
      </x:c>
    </x:row>
    <x:row r="14" ht="42" customHeight="1">
      <x:c r="A14" s="37" t="str">
        <x:v>I10</x:v>
      </x:c>
      <x:c r="B14" s="37" t="str">
        <x:v>Gender</x:v>
      </x:c>
      <x:c r="C14" s="37" t="str">
        <x:v>Women as rights-bearing citizens and welfare beneficiaries</x:v>
      </x:c>
      <x:c r="D14" s="37" t="str">
        <x:v>1989–2011</x:v>
      </x:c>
      <x:c r="E14" s="37" t="str">
        <x:v>Supported property reform, local-body representation, marriage assistance and women's economic programs.</x:v>
      </x:c>
      <x:c r="F14" s="37" t="str">
        <x:v>Law; policy</x:v>
      </x:c>
      <x:c r="G14" s="37" t="str">
        <x:v>Shifted from movement-era reform rhetoric to more concrete legal and welfare instruments.</x:v>
      </x:c>
      <x:c r="H14" s="37" t="str">
        <x:v>Women's groups, local bodies, bureaucracy, party women's wing</x:v>
      </x:c>
      <x:c r="I14" s="37" t="str">
        <x:v>Constitutional decentralization and welfare competition created policy openings.</x:v>
      </x:c>
      <x:c r="J14" s="37" t="str">
        <x:v>Substantive reforms coexist with a male-dominated party leadership and dynastic succession.</x:v>
      </x:c>
      <x:c r="K14" s="37" t="str">
        <x:v>Analysis</x:v>
      </x:c>
      <x:c r="L14" s="37" t="str">
        <x:v>Multiple independent sources</x:v>
      </x:c>
      <x:c r="M14" s="37" t="str">
        <x:v>S10; S27; S06</x:v>
      </x:c>
      <x:c r="N14" s="37"/>
      <x:c r="O14" s="37" t="str">
        <x:v>P4–P6</x:v>
      </x:c>
    </x:row>
    <x:row r="15" ht="42" customHeight="1">
      <x:c r="A15" s="37" t="str">
        <x:v>I11</x:v>
      </x:c>
      <x:c r="B15" s="37" t="str">
        <x:v>Foreign / ethnic politics</x:v>
      </x:c>
      <x:c r="C15" s="37" t="str">
        <x:v>Sri Lankan Tamil cause</x:v>
      </x:c>
      <x:c r="D15" s="37" t="str">
        <x:v>1956–2013</x:v>
      </x:c>
      <x:c r="E15" s="37" t="str">
        <x:v>Advocated Tamil rights in Sri Lanka through resolutions, protests, TESO and Union-level pressure.</x:v>
      </x:c>
      <x:c r="F15" s="37" t="str">
        <x:v>Movement; resolution; coalition bargaining</x:v>
      </x:c>
      <x:c r="G15" s="37" t="str">
        <x:v>Position moved between militant sympathy, criticism of fratricidal violence, ceasefire demands and pragmatic coalition constraints.</x:v>
      </x:c>
      <x:c r="H15" s="37" t="str">
        <x:v>Sri Lankan Tamil parties, LTTE, Union government, Tamil Nadu rivals</x:v>
      </x:c>
      <x:c r="I15" s="37" t="str">
        <x:v>Civil war and India's security policy constrained a state leader's options.</x:v>
      </x:c>
      <x:c r="J15" s="37" t="str">
        <x:v>Kept the issue salient but drew criticism both for alleged permissiveness and for insufficient action.</x:v>
      </x:c>
      <x:c r="K15" s="37" t="str">
        <x:v>Disputed/uncertain</x:v>
      </x:c>
      <x:c r="L15" s="37" t="str">
        <x:v>Multiple independent sources</x:v>
      </x:c>
      <x:c r="M15" s="37" t="str">
        <x:v>S06; S07; S22</x:v>
      </x:c>
      <x:c r="N15" s="37"/>
      <x:c r="O15" s="37" t="str">
        <x:v>P2–P6</x:v>
      </x:c>
    </x:row>
    <x:row r="16" ht="42" customHeight="1">
      <x:c r="A16" s="40" t="str">
        <x:v>I12</x:v>
      </x:c>
      <x:c r="B16" s="40" t="str">
        <x:v>Succession</x:v>
      </x:c>
      <x:c r="C16" s="40" t="str">
        <x:v>Familial incorporation into party and media power</x:v>
      </x:c>
      <x:c r="D16" s="40" t="str">
        <x:v>1970s–2018</x:v>
      </x:c>
      <x:c r="E16" s="40" t="str">
        <x:v>Multiple relatives entered politics, media and business; Stalin emerged through a long succession process.</x:v>
      </x:c>
      <x:c r="F16" s="40" t="str">
        <x:v>Organizational action; journalism</x:v>
      </x:c>
      <x:c r="G16" s="40" t="str">
        <x:v>Family roles expanded and rival branches competed openly in the 2000s.</x:v>
      </x:c>
      <x:c r="H16" s="40" t="str">
        <x:v>M. K. Stalin, M. K. Alagiri, Kanimozhi, Maran family, district factions</x:v>
      </x:c>
      <x:c r="I16" s="40" t="str">
        <x:v>Long personal leadership and media concentration made succession a system-level question.</x:v>
      </x:c>
      <x:c r="J16" s="40" t="str">
        <x:v>Enabled continuity but entrenched dynastic and factional criticism.</x:v>
      </x:c>
      <x:c r="K16" s="40" t="str">
        <x:v>Analysis</x:v>
      </x:c>
      <x:c r="L16" s="40" t="str">
        <x:v>Multiple independent sources</x:v>
      </x:c>
      <x:c r="M16" s="40" t="str">
        <x:v>S07; S21; S22; S29</x:v>
      </x:c>
      <x:c r="N16" s="40"/>
      <x:c r="O16" s="40" t="str">
        <x:v>P3–P6</x:v>
      </x:c>
    </x:row>
  </x:sheetData>
  <x:pageMargins left="0.7" right="0.7" top="0.75" bottom="0.75" header="0.3" footer="0.3"/>
  <x:tableParts count="1">
    <x:tablePart xmlns:r="http://schemas.openxmlformats.org/officeDocument/2006/relationships" r:id="Ra8be53ce1e5b4b4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28" hidden="0" customWidth="1"/>
    <x:col min="3" max="3" width="12" hidden="0" customWidth="1"/>
    <x:col min="4" max="4" width="14" hidden="0" customWidth="1"/>
    <x:col min="5" max="5" width="22" hidden="0" customWidth="1"/>
    <x:col min="6" max="6" width="44" hidden="0" customWidth="1"/>
    <x:col min="7" max="7" width="42" hidden="0" customWidth="1"/>
    <x:col min="8" max="8" width="28" hidden="0" customWidth="1"/>
    <x:col min="9" max="9" width="38" hidden="0" customWidth="1"/>
    <x:col min="10" max="10" width="28" hidden="0" customWidth="1"/>
    <x:col min="11" max="11" width="34" hidden="0" customWidth="1"/>
    <x:col min="12" max="12" width="42" hidden="0" customWidth="1"/>
    <x:col min="13" max="13" width="40" hidden="0" customWidth="1"/>
    <x:col min="14" max="14" width="16" hidden="0" customWidth="1"/>
    <x:col min="15" max="15" width="16" hidden="0" customWidth="1"/>
    <x:col min="16" max="16" width="22" hidden="0" customWidth="1"/>
    <x:col min="17" max="17" width="18" hidden="0" customWidth="1"/>
    <x:col min="18" max="18" width="40" hidden="0" customWidth="1"/>
    <x:col min="19" max="19" width="22" hidden="0" customWidth="1"/>
  </x:cols>
  <x:sheetData>
    <x:row r="1" ht="24" customHeight="1">
      <x:c r="A1" s="28" t="str">
        <x:v>Controversies and accountability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  <x:c r="P1" s="34"/>
      <x:c r="Q1" s="34"/>
      <x:c r="R1" s="34"/>
      <x:c r="S1" s="34"/>
    </x:row>
    <x:row r="2" ht="28" customHeight="1">
      <x:c r="A2" s="30" t="str">
        <x:v>Allegation, forum, status and finding are kept distinct. Family or ministerial cases are not imputed to Karunanidhi without evidence.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</x:row>
    <x:row r="4" ht="36" customHeight="1">
      <x:c r="A4" s="53" t="str">
        <x:v>Matter ID</x:v>
      </x:c>
      <x:c r="B4" s="54" t="str">
        <x:v>Matter</x:v>
      </x:c>
      <x:c r="C4" s="54" t="str">
        <x:v>Start date</x:v>
      </x:c>
      <x:c r="D4" s="54" t="str">
        <x:v>Latest status date</x:v>
      </x:c>
      <x:c r="E4" s="54" t="str">
        <x:v>Category</x:v>
      </x:c>
      <x:c r="F4" s="54" t="str">
        <x:v>Neutral description</x:v>
      </x:c>
      <x:c r="G4" s="54" t="str">
        <x:v>Allegation or criticism</x:v>
      </x:c>
      <x:c r="H4" s="54" t="str">
        <x:v>Alleging or reviewing party</x:v>
      </x:c>
      <x:c r="I4" s="54" t="str">
        <x:v>Subject's response</x:v>
      </x:c>
      <x:c r="J4" s="54" t="str">
        <x:v>Authority or forum</x:v>
      </x:c>
      <x:c r="K4" s="54" t="str">
        <x:v>Procedural status</x:v>
      </x:c>
      <x:c r="L4" s="54" t="str">
        <x:v>Finding or disposition</x:v>
      </x:c>
      <x:c r="M4" s="54" t="str">
        <x:v>Political, legal or social consequence</x:v>
      </x:c>
      <x:c r="N4" s="54" t="str">
        <x:v>Degree of dispute</x:v>
      </x:c>
      <x:c r="O4" s="54" t="str">
        <x:v>Claim type</x:v>
      </x:c>
      <x:c r="P4" s="54" t="str">
        <x:v>Corroboration</x:v>
      </x:c>
      <x:c r="Q4" s="54" t="str">
        <x:v>Source IDs</x:v>
      </x:c>
      <x:c r="R4" s="54" t="str">
        <x:v>Research note</x:v>
      </x:c>
      <x:c r="S4" s="55" t="str">
        <x:v>Career phase</x:v>
      </x:c>
    </x:row>
    <x:row r="5" ht="42" customHeight="1">
      <x:c r="A5" s="35" t="str">
        <x:v>C01</x:v>
      </x:c>
      <x:c r="B5" s="35" t="str">
        <x:v>Sarkaria Commission allegations</x:v>
      </x:c>
      <x:c r="C5" s="57" t="n">
        <x:v>27793</x:v>
      </x:c>
      <x:c r="D5" s="57" t="n">
        <x:v>28184</x:v>
      </x:c>
      <x:c r="E5" s="35" t="str">
        <x:v>Corruption inquiry</x:v>
      </x:c>
      <x:c r="F5" s="35" t="str">
        <x:v>Union government appointed Justice R. S. Sarkaria to examine allegations against the dismissed DMK government.</x:v>
      </x:c>
      <x:c r="G5" s="35" t="str">
        <x:v>MGR and the Union government alleged misuse of office and corruption in multiple matters.</x:v>
      </x:c>
      <x:c r="H5" s="35" t="str">
        <x:v>AIADMK; Union government</x:v>
      </x:c>
      <x:c r="I5" s="35" t="str">
        <x:v>DMK characterized the process as political vendetta during the Emergency.</x:v>
      </x:c>
      <x:c r="J5" s="35" t="str">
        <x:v>Commission of Inquiry</x:v>
      </x:c>
      <x:c r="K5" s="35" t="str">
        <x:v>Commission report; later criminal prosecution did not produce a conviction of Karunanidhi on these matters.</x:v>
      </x:c>
      <x:c r="L5" s="35" t="str">
        <x:v>Contemporaneous reporting described some allegations as supported by convincing material, but scope and legal consequence require claim-level reading of the report.</x:v>
      </x:c>
      <x:c r="M5" s="35" t="str">
        <x:v>Long-running corruption narrative and partisan dispute.</x:v>
      </x:c>
      <x:c r="N5" s="35" t="str">
        <x:v>High</x:v>
      </x:c>
      <x:c r="O5" s="35" t="str">
        <x:v>Disputed/uncertain</x:v>
      </x:c>
      <x:c r="P5" s="35" t="str">
        <x:v>Multiple independent sources</x:v>
      </x:c>
      <x:c r="Q5" s="35" t="str">
        <x:v>S17; S28; S16</x:v>
      </x:c>
      <x:c r="R5" s="35" t="str">
        <x:v>Commission findings are not identical to criminal conviction; accessible summaries are incomplete.</x:v>
      </x:c>
      <x:c r="S5" s="35" t="str">
        <x:v>P3</x:v>
      </x:c>
    </x:row>
    <x:row r="6" ht="42" customHeight="1">
      <x:c r="A6" s="37" t="str">
        <x:v>C02</x:v>
      </x:c>
      <x:c r="B6" s="37" t="str">
        <x:v>1976 dismissal of DMK government</x:v>
      </x:c>
      <x:c r="C6" s="58" t="n">
        <x:v>27790</x:v>
      </x:c>
      <x:c r="D6" s="58" t="n">
        <x:v>28205</x:v>
      </x:c>
      <x:c r="E6" s="37" t="str">
        <x:v>Constitutional / democratic</x:v>
      </x:c>
      <x:c r="F6" s="37" t="str">
        <x:v>The Union dismissed the state ministry under Article 356 during the Emergency.</x:v>
      </x:c>
      <x:c r="G6" s="37" t="str">
        <x:v>Union cited governance and corruption concerns; critics saw suppression of an opposition government.</x:v>
      </x:c>
      <x:c r="H6" s="37" t="str">
        <x:v>Union government; opposition parties</x:v>
      </x:c>
      <x:c r="I6" s="37" t="str">
        <x:v>Karunanidhi and later accounts emphasized DMK resistance to the Emergency.</x:v>
      </x:c>
      <x:c r="J6" s="37" t="str">
        <x:v>President of India / Union Council of Ministers</x:v>
      </x:c>
      <x:c r="K6" s="37" t="str">
        <x:v>Government dismissed; President's Rule imposed.</x:v>
      </x:c>
      <x:c r="L6" s="37" t="str">
        <x:v>The dismissal is widely treated as politically coercive in Emergency context, without erasing separate accountability questions.</x:v>
      </x:c>
      <x:c r="M6" s="37" t="str">
        <x:v>Strengthened Karunanidhi's later democratic and federal narrative.</x:v>
      </x:c>
      <x:c r="N6" s="37" t="str">
        <x:v>Medium</x:v>
      </x:c>
      <x:c r="O6" s="37" t="str">
        <x:v>Analysis</x:v>
      </x:c>
      <x:c r="P6" s="37" t="str">
        <x:v>Multiple independent sources</x:v>
      </x:c>
      <x:c r="Q6" s="37" t="str">
        <x:v>S16; S17; S18</x:v>
      </x:c>
      <x:c r="R6" s="37" t="str">
        <x:v>Contemporaneous sources were produced under censorship and polarized politics.</x:v>
      </x:c>
      <x:c r="S6" s="37" t="str">
        <x:v>P3</x:v>
      </x:c>
    </x:row>
    <x:row r="7" ht="42" customHeight="1">
      <x:c r="A7" s="37" t="str">
        <x:v>C03</x:v>
      </x:c>
      <x:c r="B7" s="37" t="str">
        <x:v>1991 dismissal and alleged LTTE permissiveness</x:v>
      </x:c>
      <x:c r="C7" s="58" t="n">
        <x:v>33268</x:v>
      </x:c>
      <x:c r="D7" s="58" t="n">
        <x:v>34404</x:v>
      </x:c>
      <x:c r="E7" s="37" t="str">
        <x:v>Constitutional / security</x:v>
      </x:c>
      <x:c r="F7" s="37" t="str">
        <x:v>The Union dismissed the ministry citing constitutional breakdown amid allegations that militant groups operated with inadequate restraint.</x:v>
      </x:c>
      <x:c r="G7" s="37" t="str">
        <x:v>Critics alleged the government enabled or failed to control LTTE activity.</x:v>
      </x:c>
      <x:c r="H7" s="37" t="str">
        <x:v>Union government; Congress; AIADMK</x:v>
      </x:c>
      <x:c r="I7" s="37" t="str">
        <x:v>DMK rejected the dismissal and disputed the allegations as politically motivated.</x:v>
      </x:c>
      <x:c r="J7" s="37" t="str">
        <x:v>Union executive; later constitutional doctrine in S. R. Bommai</x:v>
      </x:c>
      <x:c r="K7" s="37" t="str">
        <x:v>Dismissal occurred; Bommai later tightened judicial scrutiny of Article 356 but did not adjudicate every factual allegation against Karunanidhi.</x:v>
      </x:c>
      <x:c r="L7" s="37" t="str">
        <x:v>Devastating 1991 election defeat; continuing security and federalism controversy.</x:v>
      </x:c>
      <x:c r="M7" s="37" t="str">
        <x:v>High</x:v>
      </x:c>
      <x:c r="N7" s="37" t="str">
        <x:v>Disputed/uncertain</x:v>
      </x:c>
      <x:c r="O7" s="37" t="str">
        <x:v>Multiple independent sources</x:v>
      </x:c>
      <x:c r="P7" s="37" t="str">
        <x:v>S19; S30; S04</x:v>
      </x:c>
      <x:c r="Q7" s="37" t="str">
        <x:v>Separate the constitutional validity debate from claims about specific militant activity.</x:v>
      </x:c>
      <x:c r="R7" s="37" t="str">
        <x:v>P5</x:v>
      </x:c>
      <x:c r="S7" s="37"/>
    </x:row>
    <x:row r="8" ht="42" customHeight="1">
      <x:c r="A8" s="37" t="str">
        <x:v>C04</x:v>
      </x:c>
      <x:c r="B8" s="37" t="str">
        <x:v>Dynastic politics and concentration of family influence</x:v>
      </x:c>
      <x:c r="C8" s="58" t="n">
        <x:v>25569</x:v>
      </x:c>
      <x:c r="D8" s="58" t="n">
        <x:v>43319</x:v>
      </x:c>
      <x:c r="E8" s="37" t="str">
        <x:v>Party organization / ethics</x:v>
      </x:c>
      <x:c r="F8" s="37" t="str">
        <x:v>Children and extended family acquired major roles in party, government, media and business.</x:v>
      </x:c>
      <x:c r="G8" s="37" t="str">
        <x:v>Critics alleged nepotism, patronage and substitution of family arbitration for internal democracy.</x:v>
      </x:c>
      <x:c r="H8" s="37" t="str">
        <x:v>Political opponents, journalists and scholars</x:v>
      </x:c>
      <x:c r="I8" s="37" t="str">
        <x:v>Karunanidhi presented relatives as independently active political actors and balanced competing organizational bases.</x:v>
      </x:c>
      <x:c r="J8" s="37" t="str">
        <x:v>Political and party forums; no single adjudicatory authority</x:v>
      </x:c>
      <x:c r="K8" s="37" t="str">
        <x:v>Political criticism; individual legal matters require separate treatment.</x:v>
      </x:c>
      <x:c r="L8" s="37" t="str">
        <x:v>Family succession helped continuity under Stalin but also produced factional conflict and credibility costs.</x:v>
      </x:c>
      <x:c r="M8" s="37" t="str">
        <x:v>High</x:v>
      </x:c>
      <x:c r="N8" s="37" t="str">
        <x:v>Analysis</x:v>
      </x:c>
      <x:c r="O8" s="37" t="str">
        <x:v>Multiple independent sources</x:v>
      </x:c>
      <x:c r="P8" s="37" t="str">
        <x:v>S07; S22; S21</x:v>
      </x:c>
      <x:c r="Q8" s="37" t="str">
        <x:v>Family relation alone is not proof of wrongdoing; specific allegations need separate evidence.</x:v>
      </x:c>
      <x:c r="R8" s="37" t="str">
        <x:v>P3–P6</x:v>
      </x:c>
      <x:c r="S8" s="37"/>
    </x:row>
    <x:row r="9" ht="42" customHeight="1">
      <x:c r="A9" s="37" t="str">
        <x:v>C05</x:v>
      </x:c>
      <x:c r="B9" s="37" t="str">
        <x:v>Dinakaran office attack</x:v>
      </x:c>
      <x:c r="C9" s="58" t="n">
        <x:v>39211</x:v>
      </x:c>
      <x:c r="D9" s="58" t="n">
        <x:v>41974</x:v>
      </x:c>
      <x:c r="E9" s="37" t="str">
        <x:v>Political violence / media freedom</x:v>
      </x:c>
      <x:c r="F9" s="37" t="str">
        <x:v>A petrol-bomb attack on the Madurai office killed three employees after a poll favored Stalin over Alagiri as successor.</x:v>
      </x:c>
      <x:c r="G9" s="37" t="str">
        <x:v>Attackers were described as Alagiri supporters; critics linked the violence to unchecked family factionalism.</x:v>
      </x:c>
      <x:c r="H9" s="37" t="str">
        <x:v>Police, press-freedom groups, media reports</x:v>
      </x:c>
      <x:c r="I9" s="37" t="str">
        <x:v>Karunanidhi's government transferred the investigation to CBI; Dayanidhi Maran left the Union cabinet amid the family rupture.</x:v>
      </x:c>
      <x:c r="J9" s="37" t="str">
        <x:v>CBI and criminal courts</x:v>
      </x:c>
      <x:c r="K9" s="37" t="str">
        <x:v>Accused persons were acquitted at trial; later proceedings did not establish Karunanidhi's personal culpability.</x:v>
      </x:c>
      <x:c r="L9" s="37" t="str">
        <x:v>Three deaths, media intimidation and a temporary split with the Maran family.</x:v>
      </x:c>
      <x:c r="M9" s="37" t="str">
        <x:v>Medium</x:v>
      </x:c>
      <x:c r="N9" s="37" t="str">
        <x:v>Recorded fact</x:v>
      </x:c>
      <x:c r="O9" s="37" t="str">
        <x:v>Multiple independent sources</x:v>
      </x:c>
      <x:c r="P9" s="37" t="str">
        <x:v>S21; S29; S22</x:v>
      </x:c>
      <x:c r="Q9" s="37" t="str">
        <x:v>Use press-freedom and court records separately; do not convert factional association into a finding against Karunanidhi.</x:v>
      </x:c>
      <x:c r="R9" s="37" t="str">
        <x:v>P6</x:v>
      </x:c>
      <x:c r="S9" s="37"/>
    </x:row>
    <x:row r="10" ht="42" customHeight="1">
      <x:c r="A10" s="37" t="str">
        <x:v>C06</x:v>
      </x:c>
      <x:c r="B10" s="37" t="str">
        <x:v>2001 midnight arrest in flyover case</x:v>
      </x:c>
      <x:c r="C10" s="58" t="n">
        <x:v>37072</x:v>
      </x:c>
      <x:c r="D10" s="58" t="n">
        <x:v>38718</x:v>
      </x:c>
      <x:c r="E10" s="37" t="str">
        <x:v>Criminal process / political retaliation</x:v>
      </x:c>
      <x:c r="F10" s="37" t="str">
        <x:v>Police arrested Karunanidhi and Union ministers in a late-night operation over alleged losses in Chennai flyover projects.</x:v>
      </x:c>
      <x:c r="G10" s="37" t="str">
        <x:v>AIADMK government alleged corruption; critics condemned excessive force and political vendetta.</x:v>
      </x:c>
      <x:c r="H10" s="37" t="str">
        <x:v>Tamil Nadu police and AIADMK government</x:v>
      </x:c>
      <x:c r="I10" s="37" t="str">
        <x:v>Karunanidhi denied wrongdoing and emphasized lack of due process and physical mistreatment.</x:v>
      </x:c>
      <x:c r="J10" s="37" t="str">
        <x:v>State police and courts</x:v>
      </x:c>
      <x:c r="K10" s="37" t="str">
        <x:v>The case did not result in a conviction of Karunanidhi; prosecution weakened and was later closed/discontinued.</x:v>
      </x:c>
      <x:c r="L10" s="37" t="str">
        <x:v>Televised arrest generated national controversy and sympathy.</x:v>
      </x:c>
      <x:c r="M10" s="37" t="str">
        <x:v>Medium</x:v>
      </x:c>
      <x:c r="N10" s="37" t="str">
        <x:v>Recorded fact</x:v>
      </x:c>
      <x:c r="O10" s="37" t="str">
        <x:v>Multiple independent sources</x:v>
      </x:c>
      <x:c r="P10" s="37" t="str">
        <x:v>S07; S22</x:v>
      </x:c>
      <x:c r="Q10" s="37" t="str">
        <x:v>Precise final procedural disposition should be checked against complete court file.</x:v>
      </x:c>
      <x:c r="R10" s="37" t="str">
        <x:v>P5</x:v>
      </x:c>
      <x:c r="S10" s="37"/>
    </x:row>
    <x:row r="11" ht="42" customHeight="1">
      <x:c r="A11" s="37" t="str">
        <x:v>C07</x:v>
      </x:c>
      <x:c r="B11" s="37" t="str">
        <x:v>2G spectrum and Kalaignar TV political fallout</x:v>
      </x:c>
      <x:c r="C11" s="58" t="n">
        <x:v>40483</x:v>
      </x:c>
      <x:c r="D11" s="58" t="n">
        <x:v>45373</x:v>
      </x:c>
      <x:c r="E11" s="37" t="str">
        <x:v>Coalition corruption scandal</x:v>
      </x:c>
      <x:c r="F11" s="37" t="str">
        <x:v>Union telecom allocation and a transfer to Kalaignar TV implicated senior DMK figures, including A. Raja and Kanimozhi, in criminal proceedings.</x:v>
      </x:c>
      <x:c r="G11" s="37" t="str">
        <x:v>CBI and ED alleged conspiracy and illicit financial routing; public debate linked the scandal to DMK family-media power.</x:v>
      </x:c>
      <x:c r="H11" s="37" t="str">
        <x:v>CAG, CBI, ED, opposition parties</x:v>
      </x:c>
      <x:c r="I11" s="37" t="str">
        <x:v>Accused denied wrongdoing; the special court acquitted all accused in 2017.</x:v>
      </x:c>
      <x:c r="J11" s="37" t="str">
        <x:v>Special CBI Court; Delhi High Court</x:v>
      </x:c>
      <x:c r="K11" s="37" t="str">
        <x:v>2017 acquittal; CBI appeal admitted by Delhi High Court in 2024. Karunanidhi was not an accused.</x:v>
      </x:c>
      <x:c r="L11" s="37" t="str">
        <x:v>Major damage to DMK and UPA credibility before 2011; continuing appellate uncertainty.</x:v>
      </x:c>
      <x:c r="M11" s="37" t="str">
        <x:v>High</x:v>
      </x:c>
      <x:c r="N11" s="37" t="str">
        <x:v>Recorded fact</x:v>
      </x:c>
      <x:c r="O11" s="37" t="str">
        <x:v>Multiple independent sources</x:v>
      </x:c>
      <x:c r="P11" s="37" t="str">
        <x:v>S20; S22</x:v>
      </x:c>
      <x:c r="Q11" s="37" t="str">
        <x:v>Do not label Karunanidhi convicted or accused; appellate admission is not reversal of acquittal.</x:v>
      </x:c>
      <x:c r="R11" s="37" t="str">
        <x:v>P6</x:v>
      </x:c>
      <x:c r="S11" s="37"/>
    </x:row>
    <x:row r="12" ht="42" customHeight="1">
      <x:c r="A12" s="40" t="str">
        <x:v>C08</x:v>
      </x:c>
      <x:c r="B12" s="40" t="str">
        <x:v>Sri Lankan civil-war endgame and 2009 fast</x:v>
      </x:c>
      <x:c r="C12" s="59" t="n">
        <x:v>39814</x:v>
      </x:c>
      <x:c r="D12" s="59" t="n">
        <x:v>39951</x:v>
      </x:c>
      <x:c r="E12" s="40" t="str">
        <x:v>Foreign policy / ethnic politics</x:v>
      </x:c>
      <x:c r="F12" s="40" t="str">
        <x:v>Karunanidhi demanded a ceasefire and staged a brief fast while the Union government retained control of foreign policy.</x:v>
      </x:c>
      <x:c r="G12" s="40" t="str">
        <x:v>Critics said the action was symbolic, electorally timed and inadequate to stop civilian suffering.</x:v>
      </x:c>
      <x:c r="H12" s="40" t="str">
        <x:v>Tamil nationalist parties, AIADMK, activists</x:v>
      </x:c>
      <x:c r="I12" s="40" t="str">
        <x:v>Karunanidhi argued that the fast responded to information that major combat had halted and that he used available coalition leverage.</x:v>
      </x:c>
      <x:c r="J12" s="40" t="str">
        <x:v>Political debate; no adjudicatory authority</x:v>
      </x:c>
      <x:c r="K12" s="40" t="str">
        <x:v>No legal finding; historical assessment remains divided over feasible influence and political will.</x:v>
      </x:c>
      <x:c r="L12" s="40" t="str">
        <x:v>Damaged standing among some Tamil constituencies while preserving DMK's claim of advocacy.</x:v>
      </x:c>
      <x:c r="M12" s="40" t="str">
        <x:v>High</x:v>
      </x:c>
      <x:c r="N12" s="40" t="str">
        <x:v>Analysis</x:v>
      </x:c>
      <x:c r="O12" s="40" t="str">
        <x:v>Multiple independent sources</x:v>
      </x:c>
      <x:c r="P12" s="40" t="str">
        <x:v>S06; S07; S22</x:v>
      </x:c>
      <x:c r="Q12" s="40" t="str">
        <x:v>Foreign-policy authority lay with the Union; claims about what intervention could have achieved are counterfactual.</x:v>
      </x:c>
      <x:c r="R12" s="40" t="str">
        <x:v>P6</x:v>
      </x:c>
      <x:c r="S12" s="40"/>
    </x:row>
  </x:sheetData>
  <x:conditionalFormatting sqref="N5:N12">
    <x:cfRule type="containsText" dxfId="2" priority="1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ad7e0efd02b2488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50" hidden="0" customWidth="1"/>
    <x:col min="5" max="5" width="18" hidden="0" customWidth="1"/>
    <x:col min="6" max="6" width="28" hidden="0" customWidth="1"/>
    <x:col min="7" max="7" width="30" hidden="0" customWidth="1"/>
    <x:col min="8" max="8" width="40" hidden="0" customWidth="1"/>
    <x:col min="9" max="9" width="42" hidden="0" customWidth="1"/>
    <x:col min="10" max="10" width="25" hidden="0" customWidth="1"/>
    <x:col min="11" max="11" width="40" hidden="0" customWidth="1"/>
    <x:col min="12" max="12" width="1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24" customHeight="1">
      <x:c r="A1" s="28" t="str">
        <x:v>Legacy and competing assessments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</x:row>
    <x:row r="2" ht="28" customHeight="1">
      <x:c r="A2" s="30" t="str">
        <x:v>Admiring and critical interpretations are attributed; no composite greatness score is used.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</x:row>
    <x:row r="4" ht="36" customHeight="1">
      <x:c r="A4" s="53" t="str">
        <x:v>Assessment ID</x:v>
      </x:c>
      <x:c r="B4" s="54" t="str">
        <x:v>Theme</x:v>
      </x:c>
      <x:c r="C4" s="54" t="str">
        <x:v>Period assessed</x:v>
      </x:c>
      <x:c r="D4" s="54" t="str">
        <x:v>Assessment or interpretation</x:v>
      </x:c>
      <x:c r="E4" s="54" t="str">
        <x:v>Assessor type</x:v>
      </x:c>
      <x:c r="F4" s="54" t="str">
        <x:v>Assessor</x:v>
      </x:c>
      <x:c r="G4" s="54" t="str">
        <x:v>Evidence basis</x:v>
      </x:c>
      <x:c r="H4" s="54" t="str">
        <x:v>Supporting view</x:v>
      </x:c>
      <x:c r="I4" s="54" t="str">
        <x:v>Competing view</x:v>
      </x:c>
      <x:c r="J4" s="54" t="str">
        <x:v>Consensus or dispute status</x:v>
      </x:c>
      <x:c r="K4" s="54" t="str">
        <x:v>Later influence or institutional legacy</x:v>
      </x:c>
      <x:c r="L4" s="54" t="str">
        <x:v>Claim type</x:v>
      </x:c>
      <x:c r="M4" s="54" t="str">
        <x:v>Source IDs</x:v>
      </x:c>
      <x:c r="N4" s="54" t="str">
        <x:v>Research note</x:v>
      </x:c>
      <x:c r="O4" s="55" t="str">
        <x:v>Career phase</x:v>
      </x:c>
    </x:row>
    <x:row r="5" ht="42" customHeight="1">
      <x:c r="A5" s="35" t="str">
        <x:v>L01</x:v>
      </x:c>
      <x:c r="B5" s="35" t="str">
        <x:v>Electoral durability</x:v>
      </x:c>
      <x:c r="C5" s="35" t="str">
        <x:v>1957–2016</x:v>
      </x:c>
      <x:c r="D5" s="35" t="str">
        <x:v>Thirteen victories in thirteen Assembly contests demonstrate exceptional constituency adaptability across six decades.</x:v>
      </x:c>
      <x:c r="E5" s="35" t="str">
        <x:v>Institution</x:v>
      </x:c>
      <x:c r="F5" s="35" t="str">
        <x:v>Election Commission of India and independent press</x:v>
      </x:c>
      <x:c r="G5" s="35" t="str">
        <x:v>Constituency results</x:v>
      </x:c>
      <x:c r="H5" s="35" t="str">
        <x:v>Undefeated personal record</x:v>
      </x:c>
      <x:c r="I5" s="35" t="str">
        <x:v>He skipped 1984 and party performance was often weaker than his personal result.</x:v>
      </x:c>
      <x:c r="J5" s="35" t="str">
        <x:v>Broad factual consensus</x:v>
      </x:c>
      <x:c r="K5" s="35" t="str">
        <x:v>Model of long-term electoral survival</x:v>
      </x:c>
      <x:c r="L5" s="35" t="str">
        <x:v>Recorded fact</x:v>
      </x:c>
      <x:c r="M5" s="35" t="str">
        <x:v>S01; S02; S03</x:v>
      </x:c>
      <x:c r="N5" s="35"/>
      <x:c r="O5" s="35" t="str">
        <x:v>P2–P6</x:v>
      </x:c>
    </x:row>
    <x:row r="6" ht="42" customHeight="1">
      <x:c r="A6" s="37" t="str">
        <x:v>L02</x:v>
      </x:c>
      <x:c r="B6" s="37" t="str">
        <x:v>Dravidian institutionalization</x:v>
      </x:c>
      <x:c r="C6" s="37" t="str">
        <x:v>1949–2018</x:v>
      </x:c>
      <x:c r="D6" s="37" t="str">
        <x:v>Helped convert a social movement into a durable party-state order combining Tamil identity, reservation and welfare.</x:v>
      </x:c>
      <x:c r="E6" s="37" t="str">
        <x:v>Scholar</x:v>
      </x:c>
      <x:c r="F6" s="37" t="str">
        <x:v>Anandhi; Kalaiyarasan and Vijayabaskar</x:v>
      </x:c>
      <x:c r="G6" s="37" t="str">
        <x:v>Movement history and political economy</x:v>
      </x:c>
      <x:c r="H6" s="37" t="str">
        <x:v>DMK governance normalized social-justice claims.</x:v>
      </x:c>
      <x:c r="I6" s="37" t="str">
        <x:v>Critics argue institutionalization also blunted radical anti-caste transformation.</x:v>
      </x:c>
      <x:c r="J6" s="37" t="str">
        <x:v>Interpretive dispute</x:v>
      </x:c>
      <x:c r="K6" s="37" t="str">
        <x:v>Framework remains central to Tamil Nadu politics.</x:v>
      </x:c>
      <x:c r="L6" s="37" t="str">
        <x:v>Analysis</x:v>
      </x:c>
      <x:c r="M6" s="37" t="str">
        <x:v>S05; S27</x:v>
      </x:c>
      <x:c r="N6" s="37"/>
      <x:c r="O6" s="37" t="str">
        <x:v>P2–P6</x:v>
      </x:c>
    </x:row>
    <x:row r="7" ht="42" customHeight="1">
      <x:c r="A7" s="37" t="str">
        <x:v>L03</x:v>
      </x:c>
      <x:c r="B7" s="37" t="str">
        <x:v>Federalism</x:v>
      </x:c>
      <x:c r="C7" s="37" t="str">
        <x:v>1969–2018</x:v>
      </x:c>
      <x:c r="D7" s="37" t="str">
        <x:v>Made state autonomy a sustained constitutional agenda and later used coalition politics to expand regional leverage.</x:v>
      </x:c>
      <x:c r="E7" s="37" t="str">
        <x:v>Policy analyst</x:v>
      </x:c>
      <x:c r="F7" s="37" t="str">
        <x:v>The Hindu Centre; Indian Express</x:v>
      </x:c>
      <x:c r="G7" s="37" t="str">
        <x:v>Rajamannar Committee and coalition record</x:v>
      </x:c>
      <x:c r="H7" s="37" t="str">
        <x:v>Anticipated later federal reforms and regional-party influence.</x:v>
      </x:c>
      <x:c r="I7" s="37" t="str">
        <x:v>Formal constitutional change from his proposals was limited; alliances could be opportunistic.</x:v>
      </x:c>
      <x:c r="J7" s="37" t="str">
        <x:v>Broad significance, disputed consistency</x:v>
      </x:c>
      <x:c r="K7" s="37" t="str">
        <x:v>Rajamannar remains a reference point in Centre–State debates.</x:v>
      </x:c>
      <x:c r="L7" s="37" t="str">
        <x:v>Analysis</x:v>
      </x:c>
      <x:c r="M7" s="37" t="str">
        <x:v>S04; S15; S26</x:v>
      </x:c>
      <x:c r="N7" s="37"/>
      <x:c r="O7" s="37" t="str">
        <x:v>P3–P6</x:v>
      </x:c>
    </x:row>
    <x:row r="8" ht="42" customHeight="1">
      <x:c r="A8" s="37" t="str">
        <x:v>L04</x:v>
      </x:c>
      <x:c r="B8" s="37" t="str">
        <x:v>Cultural politics</x:v>
      </x:c>
      <x:c r="C8" s="37" t="str">
        <x:v>1940s–2010s</x:v>
      </x:c>
      <x:c r="D8" s="37" t="str">
        <x:v>His screenwriting, theatre, prose and party journalism made language a political technology.</x:v>
      </x:c>
      <x:c r="E8" s="37" t="str">
        <x:v>Biographer / scholar</x:v>
      </x:c>
      <x:c r="F8" s="37" t="str">
        <x:v>Panneerselvan; Ravishankar; Anandhi</x:v>
      </x:c>
      <x:c r="G8" s="37" t="str">
        <x:v>Films, Murasoli and literary corpus</x:v>
      </x:c>
      <x:c r="H8" s="37" t="str">
        <x:v>Expanded the movement's reach beyond formal party organization.</x:v>
      </x:c>
      <x:c r="I8" s="37" t="str">
        <x:v>Attribution must include actors, directors, producers and Annadurai's prior model.</x:v>
      </x:c>
      <x:c r="J8" s="37" t="str">
        <x:v>Broad consensus</x:v>
      </x:c>
      <x:c r="K8" s="37" t="str">
        <x:v>Cinema-politics linkage remains a defining Tamil political form.</x:v>
      </x:c>
      <x:c r="L8" s="37" t="str">
        <x:v>Analysis</x:v>
      </x:c>
      <x:c r="M8" s="37" t="str">
        <x:v>S05; S06; S07</x:v>
      </x:c>
      <x:c r="N8" s="37"/>
      <x:c r="O8" s="37" t="str">
        <x:v>P1–P6</x:v>
      </x:c>
    </x:row>
    <x:row r="9" ht="42" customHeight="1">
      <x:c r="A9" s="37" t="str">
        <x:v>L05</x:v>
      </x:c>
      <x:c r="B9" s="37" t="str">
        <x:v>Governance institutions</x:v>
      </x:c>
      <x:c r="C9" s="37" t="str">
        <x:v>1969–2011</x:v>
      </x:c>
      <x:c r="D9" s="37" t="str">
        <x:v>Specialized boards, social programs and market institutions contributed to high-capacity welfare governance.</x:v>
      </x:c>
      <x:c r="E9" s="37" t="str">
        <x:v>Journalist / scholar</x:v>
      </x:c>
      <x:c r="F9" s="37" t="str">
        <x:v>Down To Earth; Dravidian Model authors</x:v>
      </x:c>
      <x:c r="G9" s="37" t="str">
        <x:v>Institutional history and state outcomes</x:v>
      </x:c>
      <x:c r="H9" s="37" t="str">
        <x:v>Durable boards and programs outlived individual ministries.</x:v>
      </x:c>
      <x:c r="I9" s="37" t="str">
        <x:v>Outcomes reflect multiple governments, bureaucracy and economic structure; some schemes were uneven.</x:v>
      </x:c>
      <x:c r="J9" s="37" t="str">
        <x:v>Qualified consensus</x:v>
      </x:c>
      <x:c r="K9" s="37" t="str">
        <x:v>Successor governments retained, renamed or revived many programs.</x:v>
      </x:c>
      <x:c r="L9" s="37" t="str">
        <x:v>Analysis</x:v>
      </x:c>
      <x:c r="M9" s="37" t="str">
        <x:v>S09; S11; S14; S27</x:v>
      </x:c>
      <x:c r="N9" s="37"/>
      <x:c r="O9" s="37" t="str">
        <x:v>P3–P6</x:v>
      </x:c>
    </x:row>
    <x:row r="10" ht="42" customHeight="1">
      <x:c r="A10" s="37" t="str">
        <x:v>L06</x:v>
      </x:c>
      <x:c r="B10" s="37" t="str">
        <x:v>Gender policy</x:v>
      </x:c>
      <x:c r="C10" s="37" t="str">
        <x:v>1989–2011</x:v>
      </x:c>
      <x:c r="D10" s="37" t="str">
        <x:v>Property-law reform and women's local representation produced concrete rights and access beyond symbolic rhetoric.</x:v>
      </x:c>
      <x:c r="E10" s="37" t="str">
        <x:v>Institution / scholar</x:v>
      </x:c>
      <x:c r="F10" s="37" t="str">
        <x:v>TN Legislature; political-economy scholarship</x:v>
      </x:c>
      <x:c r="G10" s="37" t="str">
        <x:v>Statute and policy history</x:v>
      </x:c>
      <x:c r="H10" s="37" t="str">
        <x:v>State amendment preceded the 2005 national coparcenary reform.</x:v>
      </x:c>
      <x:c r="I10" s="37" t="str">
        <x:v>Party top leadership remained male-dominated; implementation and eligibility limits reduced reach.</x:v>
      </x:c>
      <x:c r="J10" s="37" t="str">
        <x:v>Qualified positive assessment</x:v>
      </x:c>
      <x:c r="K10" s="37" t="str">
        <x:v>Cited in later DMK women-focused policy lineage.</x:v>
      </x:c>
      <x:c r="L10" s="37" t="str">
        <x:v>Analysis</x:v>
      </x:c>
      <x:c r="M10" s="37" t="str">
        <x:v>S10; S27</x:v>
      </x:c>
      <x:c r="N10" s="37"/>
      <x:c r="O10" s="37" t="str">
        <x:v>P4–P6</x:v>
      </x:c>
    </x:row>
    <x:row r="11" ht="42" customHeight="1">
      <x:c r="A11" s="37" t="str">
        <x:v>L07</x:v>
      </x:c>
      <x:c r="B11" s="37" t="str">
        <x:v>Democracy and Emergency</x:v>
      </x:c>
      <x:c r="C11" s="37" t="str">
        <x:v>1975–1977</x:v>
      </x:c>
      <x:c r="D11" s="37" t="str">
        <x:v>His government's dismissal and DMK repression support a legacy of opposition to the Emergency.</x:v>
      </x:c>
      <x:c r="E11" s="37" t="str">
        <x:v>Policy centre / journalist</x:v>
      </x:c>
      <x:c r="F11" s="37" t="str">
        <x:v>The Hindu Centre; South First</x:v>
      </x:c>
      <x:c r="G11" s="37" t="str">
        <x:v>Dismissal history and detention accounts</x:v>
      </x:c>
      <x:c r="H11" s="37" t="str">
        <x:v>DMK provided an institutional opposition base in Tamil Nadu.</x:v>
      </x:c>
      <x:c r="I11" s="37" t="str">
        <x:v>Separate corruption allegations and intra-state authoritarian practices require independent evaluation.</x:v>
      </x:c>
      <x:c r="J11" s="37" t="str">
        <x:v>Contested but significant</x:v>
      </x:c>
      <x:c r="K11" s="37" t="str">
        <x:v>Used in later federal and democratic memory.</x:v>
      </x:c>
      <x:c r="L11" s="37" t="str">
        <x:v>Analysis</x:v>
      </x:c>
      <x:c r="M11" s="37" t="str">
        <x:v>S16; S18; S17</x:v>
      </x:c>
      <x:c r="N11" s="37"/>
      <x:c r="O11" s="37" t="str">
        <x:v>P3</x:v>
      </x:c>
    </x:row>
    <x:row r="12" ht="42" customHeight="1">
      <x:c r="A12" s="37" t="str">
        <x:v>L08</x:v>
      </x:c>
      <x:c r="B12" s="37" t="str">
        <x:v>Coalition pragmatism</x:v>
      </x:c>
      <x:c r="C12" s="37" t="str">
        <x:v>1988–2014</x:v>
      </x:c>
      <x:c r="D12" s="37" t="str">
        <x:v>DMK's movement across ideologically different coalitions made it an effective broker in national government.</x:v>
      </x:c>
      <x:c r="E12" s="37" t="str">
        <x:v>Scholar / journalist</x:v>
      </x:c>
      <x:c r="F12" s="37" t="str">
        <x:v>Sridharan; Jose; Kailash</x:v>
      </x:c>
      <x:c r="G12" s="37" t="str">
        <x:v>Alliance and cabinet history</x:v>
      </x:c>
      <x:c r="H12" s="37" t="str">
        <x:v>Delivered influence for Tamil Nadu and party demands.</x:v>
      </x:c>
      <x:c r="I12" s="37" t="str">
        <x:v>BJP and Congress switches weakened claims of fixed ideological boundaries.</x:v>
      </x:c>
      <x:c r="J12" s="37" t="str">
        <x:v>Interpretive dispute</x:v>
      </x:c>
      <x:c r="K12" s="37" t="str">
        <x:v>Template for regional parties in coalition-era India.</x:v>
      </x:c>
      <x:c r="L12" s="37" t="str">
        <x:v>Analysis</x:v>
      </x:c>
      <x:c r="M12" s="37" t="str">
        <x:v>S04; S22; S26</x:v>
      </x:c>
      <x:c r="N12" s="37"/>
      <x:c r="O12" s="37" t="str">
        <x:v>P4–P6</x:v>
      </x:c>
    </x:row>
    <x:row r="13" ht="42" customHeight="1">
      <x:c r="A13" s="37" t="str">
        <x:v>L09</x:v>
      </x:c>
      <x:c r="B13" s="37" t="str">
        <x:v>Dynasty and organizational continuity</x:v>
      </x:c>
      <x:c r="C13" s="37" t="str">
        <x:v>1970s–2018</x:v>
      </x:c>
      <x:c r="D13" s="37" t="str">
        <x:v>The long-managed succession to Stalin stabilized the DMK after Karunanidhi's death.</x:v>
      </x:c>
      <x:c r="E13" s="37" t="str">
        <x:v>Journalist / biographer</x:v>
      </x:c>
      <x:c r="F13" s="37" t="str">
        <x:v>Jose; Ravishankar</x:v>
      </x:c>
      <x:c r="G13" s="37" t="str">
        <x:v>Party and family history</x:v>
      </x:c>
      <x:c r="H13" s="37" t="str">
        <x:v>Avoided an immediate leadership vacuum.</x:v>
      </x:c>
      <x:c r="I13" s="37" t="str">
        <x:v>Familial concentration, factional violence and media-business links weakened internal-democracy claims.</x:v>
      </x:c>
      <x:c r="J13" s="37" t="str">
        <x:v>Highly contested</x:v>
      </x:c>
      <x:c r="K13" s="37" t="str">
        <x:v>DMK continued under Stalin; dynastic critique persists.</x:v>
      </x:c>
      <x:c r="L13" s="37" t="str">
        <x:v>Analysis</x:v>
      </x:c>
      <x:c r="M13" s="37" t="str">
        <x:v>S07; S21; S22</x:v>
      </x:c>
      <x:c r="N13" s="37"/>
      <x:c r="O13" s="37" t="str">
        <x:v>P3–P6</x:v>
      </x:c>
    </x:row>
    <x:row r="14" ht="42" customHeight="1">
      <x:c r="A14" s="40" t="str">
        <x:v>L10</x:v>
      </x:c>
      <x:c r="B14" s="40" t="str">
        <x:v>Polarized public memory</x:v>
      </x:c>
      <x:c r="C14" s="40" t="str">
        <x:v>1969–present</x:v>
      </x:c>
      <x:c r="D14" s="40" t="str">
        <x:v>Supporters remember ‘Kalaignar’ as a social-justice institution-builder; critics foreground corruption, dynasty, religious provocation and tactical alliances.</x:v>
      </x:c>
      <x:c r="E14" s="40" t="str">
        <x:v>Public-memory / scholarship</x:v>
      </x:c>
      <x:c r="F14" s="40" t="str">
        <x:v>Biographers, parties, journalists and scholars</x:v>
      </x:c>
      <x:c r="G14" s="40" t="str">
        <x:v>Competing biographies and institutional records</x:v>
      </x:c>
      <x:c r="H14" s="40" t="str">
        <x:v>Both views capture real parts of a long and internally changing career.</x:v>
      </x:c>
      <x:c r="I14" s="40" t="str">
        <x:v>Heroic and villainous summaries flatten procedural outcomes and phase changes.</x:v>
      </x:c>
      <x:c r="J14" s="40" t="str">
        <x:v>No single consensus</x:v>
      </x:c>
      <x:c r="K14" s="40" t="str">
        <x:v>Memorials, centenary observances and recurring political invocation keep the legacy active.</x:v>
      </x:c>
      <x:c r="L14" s="40" t="str">
        <x:v>Analysis</x:v>
      </x:c>
      <x:c r="M14" s="40" t="str">
        <x:v>S04; S05; S06; S07; S17; S22</x:v>
      </x:c>
      <x:c r="N14" s="40"/>
      <x:c r="O14" s="40" t="str">
        <x:v>P3–P6</x:v>
      </x:c>
    </x:row>
  </x:sheetData>
  <x:pageMargins left="0.7" right="0.7" top="0.75" bottom="0.75" header="0.3" footer="0.3"/>
  <x:tableParts count="1">
    <x:tablePart xmlns:r="http://schemas.openxmlformats.org/officeDocument/2006/relationships" r:id="Re5c5ef4ce50f4698"/>
  </x:tableParts>
</x:worksheet>
</file>

<file path=xl/worksheets/sheet10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1" hidden="0" customWidth="1"/>
    <x:col min="2" max="2" width="60" hidden="0" customWidth="1"/>
    <x:col min="3" max="3" width="35" hidden="0" customWidth="1"/>
    <x:col min="4" max="4" width="30" hidden="0" customWidth="1"/>
    <x:col min="5" max="5" width="25" hidden="0" customWidth="1"/>
    <x:col min="6" max="6" width="13" hidden="0" customWidth="1"/>
    <x:col min="7" max="7" width="50" hidden="0" customWidth="1"/>
    <x:col min="8" max="8" width="13" hidden="0" customWidth="1"/>
    <x:col min="9" max="9" width="22" hidden="0" customWidth="1"/>
    <x:col min="10" max="10" width="18" hidden="0" customWidth="1"/>
    <x:col min="11" max="11" width="24" hidden="0" customWidth="1"/>
    <x:col min="12" max="12" width="35" hidden="0" customWidth="1"/>
    <x:col min="13" max="13" width="32" hidden="0" customWidth="1"/>
    <x:col min="14" max="14" width="28" hidden="0" customWidth="1"/>
    <x:col min="15" max="15" width="42" hidden="0" customWidth="1"/>
  </x:cols>
  <x:sheetData>
    <x:row r="1" ht="24" customHeight="1">
      <x:c r="A1" s="28" t="str">
        <x:v>Source register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  <x:c r="O1" s="34"/>
    </x:row>
    <x:row r="2" ht="28" customHeight="1">
      <x:c r="A2" s="30" t="str">
        <x:v>Stable source IDs used throughout. URLs accessed 2026-09-14. Interested and retrospective sources are labeled.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</x:row>
    <x:row r="4" ht="36" customHeight="1">
      <x:c r="A4" s="53" t="str">
        <x:v>Source ID</x:v>
      </x:c>
      <x:c r="B4" s="54" t="str">
        <x:v>Full citation</x:v>
      </x:c>
      <x:c r="C4" s="54" t="str">
        <x:v>Title</x:v>
      </x:c>
      <x:c r="D4" s="54" t="str">
        <x:v>Author or issuing institution</x:v>
      </x:c>
      <x:c r="E4" s="54" t="str">
        <x:v>Publisher or site</x:v>
      </x:c>
      <x:c r="F4" s="54" t="str">
        <x:v>Publication date</x:v>
      </x:c>
      <x:c r="G4" s="54" t="str">
        <x:v>URL</x:v>
      </x:c>
      <x:c r="H4" s="54" t="str">
        <x:v>Access date</x:v>
      </x:c>
      <x:c r="I4" s="54" t="str">
        <x:v>Source class</x:v>
      </x:c>
      <x:c r="J4" s="54" t="str">
        <x:v>Primary or secondary</x:v>
      </x:c>
      <x:c r="K4" s="54" t="str">
        <x:v>Geographic or language scope</x:v>
      </x:c>
      <x:c r="L4" s="54" t="str">
        <x:v>Standpoint or interest note</x:v>
      </x:c>
      <x:c r="M4" s="54" t="str">
        <x:v>Claims or sheets supported</x:v>
      </x:c>
      <x:c r="N4" s="54" t="str">
        <x:v>Archive or document locator</x:v>
      </x:c>
      <x:c r="O4" s="55" t="str">
        <x:v>Reliability or limitation note</x:v>
      </x:c>
    </x:row>
    <x:row r="5" ht="54" customHeight="1">
      <x:c r="A5" s="35" t="str">
        <x:v>S01</x:v>
      </x:c>
      <x:c r="B5" s="35" t="str">
        <x:v>Election Commission of India, Statistical Reports: State Legislative Assembly Elections</x:v>
      </x:c>
      <x:c r="C5" s="35" t="str">
        <x:v>Statistical Reports</x:v>
      </x:c>
      <x:c r="D5" s="35" t="str">
        <x:v>Election Commission of India</x:v>
      </x:c>
      <x:c r="E5" s="35" t="str">
        <x:v>ECI</x:v>
      </x:c>
      <x:c r="F5" s="57"/>
      <x:c r="G5" s="35" t="str">
        <x:v>https://www.eci.gov.in/statistical-reports</x:v>
      </x:c>
      <x:c r="H5" s="57" t="n">
        <x:v>46279</x:v>
      </x:c>
      <x:c r="I5" s="35" t="str">
        <x:v>Official record</x:v>
      </x:c>
      <x:c r="J5" s="35" t="str">
        <x:v>Primary</x:v>
      </x:c>
      <x:c r="K5" s="35" t="str">
        <x:v>India / English</x:v>
      </x:c>
      <x:c r="L5" s="35" t="str">
        <x:v>Constitutional election authority</x:v>
      </x:c>
      <x:c r="M5" s="35" t="str">
        <x:v>Elections</x:v>
      </x:c>
      <x:c r="N5" s="35" t="str">
        <x:v>State and constituency reports</x:v>
      </x:c>
      <x:c r="O5" s="35" t="str">
        <x:v>Authoritative election source; older scanned reports vary in machine readability.</x:v>
      </x:c>
    </x:row>
    <x:row r="6" ht="54" customHeight="1">
      <x:c r="A6" s="37" t="str">
        <x:v>S02</x:v>
      </x:c>
      <x:c r="B6" s="37" t="str">
        <x:v>The New Indian Express, ‘60 yrs, 13 polls... Karunanidhi sets record as a legislator,’ 1 Apr 2017</x:v>
      </x:c>
      <x:c r="C6" s="37" t="str">
        <x:v>60 yrs, 13 polls...</x:v>
      </x:c>
      <x:c r="D6" s="37" t="str">
        <x:v>The New Indian Express</x:v>
      </x:c>
      <x:c r="E6" s="37" t="str">
        <x:v>The New Indian Express</x:v>
      </x:c>
      <x:c r="F6" s="58" t="n">
        <x:v>42826</x:v>
      </x:c>
      <x:c r="G6" s="37" t="str">
        <x:v>https://www.newindianexpress.com/states/tamil-nadu/2017/apr/01/60-yrs-13-polls-karunanidhi-sets-record-as-a-legislator-1588374.html</x:v>
      </x:c>
      <x:c r="H6" s="58" t="n">
        <x:v>46279</x:v>
      </x:c>
      <x:c r="I6" s="37" t="str">
        <x:v>Journalism</x:v>
      </x:c>
      <x:c r="J6" s="37" t="str">
        <x:v>Secondary</x:v>
      </x:c>
      <x:c r="K6" s="37" t="str">
        <x:v>Tamil Nadu / English</x:v>
      </x:c>
      <x:c r="L6" s="37" t="str">
        <x:v>Independent newspaper</x:v>
      </x:c>
      <x:c r="M6" s="37" t="str">
        <x:v>Overview; Elections; Timeline</x:v>
      </x:c>
      <x:c r="N6" s="37" t="str"/>
      <x:c r="O6" s="37" t="str">
        <x:v>Corroborates the 13-election record and legislative longevity.</x:v>
      </x:c>
    </x:row>
    <x:row r="7" ht="54" customHeight="1">
      <x:c r="A7" s="37" t="str">
        <x:v>S03</x:v>
      </x:c>
      <x:c r="B7" s="37" t="str">
        <x:v>The News Minute, ‘Karunanidhi became an MLA 13 times, but once in 1984...,’ 8 Aug 2018</x:v>
      </x:c>
      <x:c r="C7" s="37" t="str">
        <x:v>Karunanidhi became an MLA 13 times</x:v>
      </x:c>
      <x:c r="D7" s="37" t="str">
        <x:v>The News Minute</x:v>
      </x:c>
      <x:c r="E7" s="37" t="str">
        <x:v>The News Minute</x:v>
      </x:c>
      <x:c r="F7" s="58" t="n">
        <x:v>43320</x:v>
      </x:c>
      <x:c r="G7" s="37" t="str">
        <x:v>https://www.thenewsminute.com/tamil-nadu/karunanidhi-became-mla-13-times-once-1984-he-didnt-contest-86243</x:v>
      </x:c>
      <x:c r="H7" s="58" t="n">
        <x:v>46279</x:v>
      </x:c>
      <x:c r="I7" s="37" t="str">
        <x:v>Journalism</x:v>
      </x:c>
      <x:c r="J7" s="37" t="str">
        <x:v>Secondary</x:v>
      </x:c>
      <x:c r="K7" s="37" t="str">
        <x:v>Tamil Nadu / English</x:v>
      </x:c>
      <x:c r="L7" s="37" t="str">
        <x:v>Independent regional outlet</x:v>
      </x:c>
      <x:c r="M7" s="37" t="str">
        <x:v>Elections; Timeline</x:v>
      </x:c>
      <x:c r="N7" s="37" t="str"/>
      <x:c r="O7" s="37" t="str">
        <x:v>Useful narrative context on the skipped 1984 contest.</x:v>
      </x:c>
    </x:row>
    <x:row r="8" ht="54" customHeight="1">
      <x:c r="A8" s="37" t="str">
        <x:v>S04</x:v>
      </x:c>
      <x:c r="B8" s="37" t="str">
        <x:v>K. K. Kailash, ‘M. Karunanidhi (1924–2018): A Legacy of National Significance,’ The Hindu Centre, 7 Aug 2018</x:v>
      </x:c>
      <x:c r="C8" s="37" t="str">
        <x:v>A Legacy of National Significance</x:v>
      </x:c>
      <x:c r="D8" s="37" t="str">
        <x:v>K. K. Kailash</x:v>
      </x:c>
      <x:c r="E8" s="37" t="str">
        <x:v>The Hindu Centre for Politics and Public Policy</x:v>
      </x:c>
      <x:c r="F8" s="58" t="n">
        <x:v>43319</x:v>
      </x:c>
      <x:c r="G8" s="37" t="str">
        <x:v>https://www.thehinducentre.com/the-arena/current-issues/article24627899.ece</x:v>
      </x:c>
      <x:c r="H8" s="58" t="n">
        <x:v>46279</x:v>
      </x:c>
      <x:c r="I8" s="37" t="str">
        <x:v>Academic / policy analysis</x:v>
      </x:c>
      <x:c r="J8" s="37" t="str">
        <x:v>Secondary</x:v>
      </x:c>
      <x:c r="K8" s="37" t="str">
        <x:v>India / English</x:v>
      </x:c>
      <x:c r="L8" s="37" t="str">
        <x:v>Independent policy centre</x:v>
      </x:c>
      <x:c r="M8" s="37" t="str">
        <x:v>Overview; Timeline; Ideas; Legacy</x:v>
      </x:c>
      <x:c r="N8" s="37" t="str"/>
      <x:c r="O8" s="37" t="str">
        <x:v>Interpretive source; strong on federal and coalition significance.</x:v>
      </x:c>
    </x:row>
    <x:row r="9" ht="54" customHeight="1">
      <x:c r="A9" s="37" t="str">
        <x:v>S05</x:v>
      </x:c>
      <x:c r="B9" s="37" t="str">
        <x:v>S. Anandhi, ‘After Karunanidhi: The Dravidian Movement Needs to Refashion Its Agenda,’ EPW Engage, 25 Aug 2018</x:v>
      </x:c>
      <x:c r="C9" s="37" t="str">
        <x:v>After Karunanidhi</x:v>
      </x:c>
      <x:c r="D9" s="37" t="str">
        <x:v>S. Anandhi</x:v>
      </x:c>
      <x:c r="E9" s="37" t="str">
        <x:v>Economic &amp; Political Weekly</x:v>
      </x:c>
      <x:c r="F9" s="58" t="n">
        <x:v>43337</x:v>
      </x:c>
      <x:c r="G9" s="37" t="str">
        <x:v>https://www.epw.in/engage/article/after-karunanidhi-dravidian-movement</x:v>
      </x:c>
      <x:c r="H9" s="58" t="n">
        <x:v>46279</x:v>
      </x:c>
      <x:c r="I9" s="37" t="str">
        <x:v>Academic</x:v>
      </x:c>
      <x:c r="J9" s="37" t="str">
        <x:v>Secondary</x:v>
      </x:c>
      <x:c r="K9" s="37" t="str">
        <x:v>Tamil Nadu / English</x:v>
      </x:c>
      <x:c r="L9" s="37" t="str">
        <x:v>Scholarly interpretation</x:v>
      </x:c>
      <x:c r="M9" s="37" t="str">
        <x:v>Ideas; Context; Legacy</x:v>
      </x:c>
      <x:c r="N9" s="37" t="str"/>
      <x:c r="O9" s="37" t="str">
        <x:v>Critical retrospective interpretation of Dravidian ideology and administration.</x:v>
      </x:c>
    </x:row>
    <x:row r="10" ht="54" customHeight="1">
      <x:c r="A10" s="37" t="str">
        <x:v>S06</x:v>
      </x:c>
      <x:c r="B10" s="37" t="str">
        <x:v>A. S. Panneerselvan, Karunanidhi: A Life, Penguin Random House India, 2021</x:v>
      </x:c>
      <x:c r="C10" s="37" t="str">
        <x:v>Karunanidhi: A Life</x:v>
      </x:c>
      <x:c r="D10" s="37" t="str">
        <x:v>A. S. Panneerselvan</x:v>
      </x:c>
      <x:c r="E10" s="37" t="str">
        <x:v>Penguin Random House India</x:v>
      </x:c>
      <x:c r="F10" s="58" t="n">
        <x:v>44270</x:v>
      </x:c>
      <x:c r="G10" s="37" t="str">
        <x:v>https://www.penguin.co.in/book/karunanidhi/</x:v>
      </x:c>
      <x:c r="H10" s="58" t="n">
        <x:v>46279</x:v>
      </x:c>
      <x:c r="I10" s="37" t="str">
        <x:v>Book</x:v>
      </x:c>
      <x:c r="J10" s="37" t="str">
        <x:v>Secondary</x:v>
      </x:c>
      <x:c r="K10" s="37" t="str">
        <x:v>India / English</x:v>
      </x:c>
      <x:c r="L10" s="37" t="str">
        <x:v>Biographer; former Readers' Editor of The Hindu</x:v>
      </x:c>
      <x:c r="M10" s="37" t="str">
        <x:v>All analytical sheets</x:v>
      </x:c>
      <x:c r="N10" s="37" t="str">
        <x:v>Chapters vary by topic</x:v>
      </x:c>
      <x:c r="O10" s="37" t="str">
        <x:v>Comprehensive biography; interpretive claims should be cross-checked.</x:v>
      </x:c>
    </x:row>
    <x:row r="11" ht="54" customHeight="1">
      <x:c r="A11" s="37" t="str">
        <x:v>S07</x:v>
      </x:c>
      <x:c r="B11" s="37" t="str">
        <x:v>Sandhya Ravishankar, Karunanidhi: A Life in Politics, HarperCollins India, 2018</x:v>
      </x:c>
      <x:c r="C11" s="37" t="str">
        <x:v>Karunanidhi: A Life in Politics</x:v>
      </x:c>
      <x:c r="D11" s="37" t="str">
        <x:v>Sandhya Ravishankar</x:v>
      </x:c>
      <x:c r="E11" s="37" t="str">
        <x:v>HarperCollins India</x:v>
      </x:c>
      <x:c r="F11" s="58" t="n">
        <x:v>43251</x:v>
      </x:c>
      <x:c r="G11" s="37" t="str">
        <x:v>https://www.amazon.com/Karunanidhi-Life-Politics-Sandhya-Ravishankar-ebook/dp/B07D7KZ4VZ</x:v>
      </x:c>
      <x:c r="H11" s="58" t="n">
        <x:v>46279</x:v>
      </x:c>
      <x:c r="I11" s="37" t="str">
        <x:v>Book</x:v>
      </x:c>
      <x:c r="J11" s="37" t="str">
        <x:v>Secondary</x:v>
      </x:c>
      <x:c r="K11" s="37" t="str">
        <x:v>India / English</x:v>
      </x:c>
      <x:c r="L11" s="37" t="str">
        <x:v>Independent journalist and biographer</x:v>
      </x:c>
      <x:c r="M11" s="37" t="str">
        <x:v>All analytical sheets</x:v>
      </x:c>
      <x:c r="N11" s="37" t="str"/>
      <x:c r="O11" s="37" t="str">
        <x:v>Critical political biography; retail page confirms publication details.</x:v>
      </x:c>
    </x:row>
    <x:row r="12" ht="54" customHeight="1">
      <x:c r="A12" s="37" t="str">
        <x:v>S08</x:v>
      </x:c>
      <x:c r="B12" s="37" t="str">
        <x:v>Indian Express, ‘Kalaignar Karunanidhi passes away at 94: Ten things to know,’ 8 Aug 2018</x:v>
      </x:c>
      <x:c r="C12" s="37" t="str">
        <x:v>Ten things to know about Karunanidhi</x:v>
      </x:c>
      <x:c r="D12" s="37" t="str">
        <x:v>Express Web Desk</x:v>
      </x:c>
      <x:c r="E12" s="37" t="str">
        <x:v>The Indian Express</x:v>
      </x:c>
      <x:c r="F12" s="58" t="n">
        <x:v>43320</x:v>
      </x:c>
      <x:c r="G12" s="37" t="str">
        <x:v>https://indianexpress.com/article/india/kalaignar-karunanidhi-dead-ten-things-to-know-about-dmk-chief-5296430/</x:v>
      </x:c>
      <x:c r="H12" s="58" t="n">
        <x:v>46279</x:v>
      </x:c>
      <x:c r="I12" s="37" t="str">
        <x:v>Journalism</x:v>
      </x:c>
      <x:c r="J12" s="37" t="str">
        <x:v>Secondary</x:v>
      </x:c>
      <x:c r="K12" s="37" t="str">
        <x:v>India / English</x:v>
      </x:c>
      <x:c r="L12" s="37" t="str">
        <x:v>Independent national newspaper</x:v>
      </x:c>
      <x:c r="M12" s="37" t="str">
        <x:v>Overview; Timeline; Cultural work</x:v>
      </x:c>
      <x:c r="N12" s="37" t="str"/>
      <x:c r="O12" s="37" t="str">
        <x:v>Concise biography; used for corroboration rather than contested claims.</x:v>
      </x:c>
    </x:row>
    <x:row r="13" ht="54" customHeight="1">
      <x:c r="A13" s="37" t="str">
        <x:v>S09</x:v>
      </x:c>
      <x:c r="B13" s="37" t="str">
        <x:v>Down To Earth, ‘Karunanidhi: Administrator par excellence,’ 8 Aug 2018</x:v>
      </x:c>
      <x:c r="C13" s="37" t="str">
        <x:v>Administrator par excellence</x:v>
      </x:c>
      <x:c r="D13" s="37" t="str">
        <x:v>Down To Earth staff</x:v>
      </x:c>
      <x:c r="E13" s="37" t="str">
        <x:v>Down To Earth</x:v>
      </x:c>
      <x:c r="F13" s="58" t="n">
        <x:v>43320</x:v>
      </x:c>
      <x:c r="G13" s="37" t="str">
        <x:v>https://www.downtoearth.org.in/governance/karunanidhi-administrator-par-excellence-61343</x:v>
      </x:c>
      <x:c r="H13" s="58" t="n">
        <x:v>46279</x:v>
      </x:c>
      <x:c r="I13" s="37" t="str">
        <x:v>Journalism / policy</x:v>
      </x:c>
      <x:c r="J13" s="37" t="str">
        <x:v>Secondary</x:v>
      </x:c>
      <x:c r="K13" s="37" t="str">
        <x:v>Tamil Nadu / English</x:v>
      </x:c>
      <x:c r="L13" s="37" t="str">
        <x:v>Independent public-interest magazine</x:v>
      </x:c>
      <x:c r="M13" s="37" t="str">
        <x:v>Policy &amp; Governance; Legacy</x:v>
      </x:c>
      <x:c r="N13" s="37" t="str"/>
      <x:c r="O13" s="37" t="str">
        <x:v>Positive retrospective; policy claims are attributed and cross-checked.</x:v>
      </x:c>
    </x:row>
    <x:row r="14" ht="54" customHeight="1">
      <x:c r="A14" s="37" t="str">
        <x:v>S10</x:v>
      </x:c>
      <x:c r="B14" s="37" t="str">
        <x:v>Tamil Nadu Legislative Assembly Digital, ‘Women's Property Rights’</x:v>
      </x:c>
      <x:c r="C14" s="37" t="str">
        <x:v>Women's Property Rights</x:v>
      </x:c>
      <x:c r="D14" s="37" t="str">
        <x:v>Tamil Nadu Legislative Assembly</x:v>
      </x:c>
      <x:c r="E14" s="37" t="str">
        <x:v>TNLA Digital</x:v>
      </x:c>
      <x:c r="F14" s="58" t="n">
        <x:v>44927</x:v>
      </x:c>
      <x:c r="G14" s="37" t="str">
        <x:v>https://www.tnlasdigital.tn.gov.in/</x:v>
      </x:c>
      <x:c r="H14" s="58" t="n">
        <x:v>46279</x:v>
      </x:c>
      <x:c r="I14" s="37" t="str">
        <x:v>Official record</x:v>
      </x:c>
      <x:c r="J14" s="37" t="str">
        <x:v>Primary</x:v>
      </x:c>
      <x:c r="K14" s="37" t="str">
        <x:v>Tamil Nadu / English and Tamil</x:v>
      </x:c>
      <x:c r="L14" s="37" t="str">
        <x:v>State legislature</x:v>
      </x:c>
      <x:c r="M14" s="37" t="str">
        <x:v>Policy &amp; Governance; Context</x:v>
      </x:c>
      <x:c r="N14" s="37" t="str">
        <x:v>Women's Property Rights feature</x:v>
      </x:c>
      <x:c r="O14" s="37" t="str">
        <x:v>Official institutional chronology; website navigation may change.</x:v>
      </x:c>
    </x:row>
    <x:row r="15" ht="54" customHeight="1">
      <x:c r="A15" s="37" t="str">
        <x:v>S11</x:v>
      </x:c>
      <x:c r="B15" s="37" t="str">
        <x:v>Tamil Nadu Water Supply and Drainage Board, institutional history and Act documents</x:v>
      </x:c>
      <x:c r="C15" s="37" t="str">
        <x:v>TWAD Board history and Act</x:v>
      </x:c>
      <x:c r="D15" s="37" t="str">
        <x:v>TWAD Board</x:v>
      </x:c>
      <x:c r="E15" s="37" t="str">
        <x:v>Government of Tamil Nadu</x:v>
      </x:c>
      <x:c r="F15" s="58"/>
      <x:c r="G15" s="37" t="str">
        <x:v>https://www.twadboard.tn.gov.in/</x:v>
      </x:c>
      <x:c r="H15" s="58" t="n">
        <x:v>46279</x:v>
      </x:c>
      <x:c r="I15" s="37" t="str">
        <x:v>Official record</x:v>
      </x:c>
      <x:c r="J15" s="37" t="str">
        <x:v>Primary</x:v>
      </x:c>
      <x:c r="K15" s="37" t="str">
        <x:v>Tamil Nadu / English</x:v>
      </x:c>
      <x:c r="L15" s="37" t="str">
        <x:v>State statutory body</x:v>
      </x:c>
      <x:c r="M15" s="37" t="str">
        <x:v>Policy &amp; Governance</x:v>
      </x:c>
      <x:c r="N15" s="37" t="str">
        <x:v>TWAD Board constituted under 1970 Act on 14 Apr 1971</x:v>
      </x:c>
      <x:c r="O15" s="37" t="str">
        <x:v>Institutional source establishes creation, not sole-person attribution.</x:v>
      </x:c>
    </x:row>
    <x:row r="16" ht="54" customHeight="1">
      <x:c r="A16" s="37" t="str">
        <x:v>S12</x:v>
      </x:c>
      <x:c r="B16" s="37" t="str">
        <x:v>K. J. Sivagnanam, ‘Samathuvapuram: Towards Spatial Equality,’ Economic and Political Weekly, 2002</x:v>
      </x:c>
      <x:c r="C16" s="37" t="str">
        <x:v>Samathuvapuram: Towards Spatial Equality</x:v>
      </x:c>
      <x:c r="D16" s="37" t="str">
        <x:v>K. J. Sivagnanam</x:v>
      </x:c>
      <x:c r="E16" s="37" t="str">
        <x:v>Economic &amp; Political Weekly</x:v>
      </x:c>
      <x:c r="F16" s="58" t="n">
        <x:v>37257</x:v>
      </x:c>
      <x:c r="G16" s="37" t="str">
        <x:v>https://www.jstor.org/stable/4412698</x:v>
      </x:c>
      <x:c r="H16" s="58" t="n">
        <x:v>46279</x:v>
      </x:c>
      <x:c r="I16" s="37" t="str">
        <x:v>Academic</x:v>
      </x:c>
      <x:c r="J16" s="37" t="str">
        <x:v>Secondary</x:v>
      </x:c>
      <x:c r="K16" s="37" t="str">
        <x:v>Tamil Nadu / English</x:v>
      </x:c>
      <x:c r="L16" s="37" t="str">
        <x:v>Scholarly analysis</x:v>
      </x:c>
      <x:c r="M16" s="37" t="str">
        <x:v>Policy &amp; Governance; Context; Legacy</x:v>
      </x:c>
      <x:c r="N16" s="37" t="str"/>
      <x:c r="O16" s="37" t="str">
        <x:v>Analyzes design and limits of the 1997 scheme.</x:v>
      </x:c>
    </x:row>
    <x:row r="17" ht="54" customHeight="1">
      <x:c r="A17" s="37" t="str">
        <x:v>S13</x:v>
      </x:c>
      <x:c r="B17" s="37" t="str">
        <x:v>Tamil Nadu Rural Development and Panchayat Raj Department, Samathuvapuram government orders</x:v>
      </x:c>
      <x:c r="C17" s="37" t="str">
        <x:v>Samathuvapuram government orders</x:v>
      </x:c>
      <x:c r="D17" s="37" t="str">
        <x:v>Government of Tamil Nadu</x:v>
      </x:c>
      <x:c r="E17" s="37" t="str">
        <x:v>Rural Development and Panchayat Raj Department</x:v>
      </x:c>
      <x:c r="F17" s="58"/>
      <x:c r="G17" s="37" t="str">
        <x:v>https://tnrd.tn.gov.in/</x:v>
      </x:c>
      <x:c r="H17" s="58" t="n">
        <x:v>46279</x:v>
      </x:c>
      <x:c r="I17" s="37" t="str">
        <x:v>Official record</x:v>
      </x:c>
      <x:c r="J17" s="37" t="str">
        <x:v>Primary</x:v>
      </x:c>
      <x:c r="K17" s="37" t="str">
        <x:v>Tamil Nadu / English and Tamil</x:v>
      </x:c>
      <x:c r="L17" s="37" t="str">
        <x:v>State department</x:v>
      </x:c>
      <x:c r="M17" s="37" t="str">
        <x:v>Policy &amp; Governance</x:v>
      </x:c>
      <x:c r="N17" s="37" t="str">
        <x:v>Government Orders</x:v>
      </x:c>
      <x:c r="O17" s="37" t="str">
        <x:v>Current page documents continuing administrative lineage.</x:v>
      </x:c>
    </x:row>
    <x:row r="18" ht="54" customHeight="1">
      <x:c r="A18" s="37" t="str">
        <x:v>S14</x:v>
      </x:c>
      <x:c r="B18" s="37" t="str">
        <x:v>The New Indian Express, ‘10 years on, new lease of life for Kalaignar's Uzhavar Santhai,’ 15 Aug 2021</x:v>
      </x:c>
      <x:c r="C18" s="37" t="str">
        <x:v>New lease of life for Uzhavar Santhai</x:v>
      </x:c>
      <x:c r="D18" s="37" t="str">
        <x:v>The New Indian Express</x:v>
      </x:c>
      <x:c r="E18" s="37" t="str">
        <x:v>The New Indian Express</x:v>
      </x:c>
      <x:c r="F18" s="58" t="n">
        <x:v>44423</x:v>
      </x:c>
      <x:c r="G18" s="37" t="str">
        <x:v>https://www.newindianexpress.com/states/tamil-nadu/2021/aug/15/10-years-on-new-lease-of-life-for-kalaignars-uzhavar-santhai-2344931.html</x:v>
      </x:c>
      <x:c r="H18" s="58" t="n">
        <x:v>46279</x:v>
      </x:c>
      <x:c r="I18" s="37" t="str">
        <x:v>Journalism</x:v>
      </x:c>
      <x:c r="J18" s="37" t="str">
        <x:v>Secondary</x:v>
      </x:c>
      <x:c r="K18" s="37" t="str">
        <x:v>Tamil Nadu / English</x:v>
      </x:c>
      <x:c r="L18" s="37" t="str">
        <x:v>Independent newspaper</x:v>
      </x:c>
      <x:c r="M18" s="37" t="str">
        <x:v>Policy &amp; Governance; Legacy</x:v>
      </x:c>
      <x:c r="N18" s="37" t="str"/>
      <x:c r="O18" s="37" t="str">
        <x:v>Retrospective policy history; distinguishes launch from later revival.</x:v>
      </x:c>
    </x:row>
    <x:row r="19" ht="54" customHeight="1">
      <x:c r="A19" s="37" t="str">
        <x:v>S15</x:v>
      </x:c>
      <x:c r="B19" s="37" t="str">
        <x:v>Indian Express, ‘Amid DMK's federalism push, a look at 3 panels...,’ 16 Apr 2025</x:v>
      </x:c>
      <x:c r="C19" s="37" t="str">
        <x:v>A look at Centre–State panels</x:v>
      </x:c>
      <x:c r="D19" s="37" t="str">
        <x:v>Liz Mathew and Arun Janardhanan</x:v>
      </x:c>
      <x:c r="E19" s="37" t="str">
        <x:v>The Indian Express</x:v>
      </x:c>
      <x:c r="F19" s="58" t="n">
        <x:v>45763</x:v>
      </x:c>
      <x:c r="G19" s="37" t="str">
        <x:v>https://indianexpress.com/article/political-pulse/dmk-federalism-panels-centre-state-relations-9947546/</x:v>
      </x:c>
      <x:c r="H19" s="58" t="n">
        <x:v>46279</x:v>
      </x:c>
      <x:c r="I19" s="37" t="str">
        <x:v>Journalism / explainer</x:v>
      </x:c>
      <x:c r="J19" s="37" t="str">
        <x:v>Secondary</x:v>
      </x:c>
      <x:c r="K19" s="37" t="str">
        <x:v>India / English</x:v>
      </x:c>
      <x:c r="L19" s="37" t="str">
        <x:v>Independent national newspaper</x:v>
      </x:c>
      <x:c r="M19" s="37" t="str">
        <x:v>Ideas; Policy; Context</x:v>
      </x:c>
      <x:c r="N19" s="37" t="str"/>
      <x:c r="O19" s="37" t="str">
        <x:v>Retrospective explainer on the Rajamannar Committee and federalism.</x:v>
      </x:c>
    </x:row>
    <x:row r="20" ht="54" customHeight="1">
      <x:c r="A20" s="37" t="str">
        <x:v>S16</x:v>
      </x:c>
      <x:c r="B20" s="37" t="str">
        <x:v>The Hindu Centre, ‘Kalaignar Karunanidhi: Defending Democracy during Emergency,’ 9 Aug 2018</x:v>
      </x:c>
      <x:c r="C20" s="37" t="str">
        <x:v>Defending Democracy during Emergency</x:v>
      </x:c>
      <x:c r="D20" s="37" t="str">
        <x:v>The Hindu Centre</x:v>
      </x:c>
      <x:c r="E20" s="37" t="str">
        <x:v>The Hindu Centre for Politics and Public Policy</x:v>
      </x:c>
      <x:c r="F20" s="58" t="n">
        <x:v>43321</x:v>
      </x:c>
      <x:c r="G20" s="37" t="str">
        <x:v>https://www.thehinducentre.com/the-arena/current-issues/article24645243.ece</x:v>
      </x:c>
      <x:c r="H20" s="58" t="n">
        <x:v>46279</x:v>
      </x:c>
      <x:c r="I20" s="37" t="str">
        <x:v>Academic / archival analysis</x:v>
      </x:c>
      <x:c r="J20" s="37" t="str">
        <x:v>Secondary</x:v>
      </x:c>
      <x:c r="K20" s="37" t="str">
        <x:v>India / English</x:v>
      </x:c>
      <x:c r="L20" s="37" t="str">
        <x:v>Independent policy centre</x:v>
      </x:c>
      <x:c r="M20" s="37" t="str">
        <x:v>Timeline; Controversies; Context; Legacy</x:v>
      </x:c>
      <x:c r="N20" s="37" t="str"/>
      <x:c r="O20" s="37" t="str">
        <x:v>Evaluates the 1976 dismissal within Emergency politics.</x:v>
      </x:c>
    </x:row>
    <x:row r="21" ht="54" customHeight="1">
      <x:c r="A21" s="37" t="str">
        <x:v>S17</x:v>
      </x:c>
      <x:c r="B21" s="37" t="str">
        <x:v>India Today archival report, ‘Sarkaria Commission: Karunanidhi partially guilty,’ originally 1977, republished 4 Aug 2014</x:v>
      </x:c>
      <x:c r="C21" s="37" t="str">
        <x:v>Sarkaria Commission: Karunanidhi partially guilty</x:v>
      </x:c>
      <x:c r="D21" s="37" t="str">
        <x:v>India Today archive</x:v>
      </x:c>
      <x:c r="E21" s="37" t="str">
        <x:v>India Today</x:v>
      </x:c>
      <x:c r="F21" s="58" t="n">
        <x:v>41855</x:v>
      </x:c>
      <x:c r="G21" s="37" t="str">
        <x:v>https://www.indiatoday.in/magazine/indiascope/story/19770228-sarkaria-commission-karunanidhi-partially-guilty-818608-2014-08-04</x:v>
      </x:c>
      <x:c r="H21" s="58" t="n">
        <x:v>46279</x:v>
      </x:c>
      <x:c r="I21" s="37" t="str">
        <x:v>Journalism / archive</x:v>
      </x:c>
      <x:c r="J21" s="37" t="str">
        <x:v>Secondary</x:v>
      </x:c>
      <x:c r="K21" s="37" t="str">
        <x:v>Tamil Nadu / English</x:v>
      </x:c>
      <x:c r="L21" s="37" t="str">
        <x:v>Contemporaneous magazine reporting</x:v>
      </x:c>
      <x:c r="M21" s="37" t="str">
        <x:v>Controversies</x:v>
      </x:c>
      <x:c r="N21" s="37" t="str"/>
      <x:c r="O21" s="37" t="str">
        <x:v>Summarizes commission findings; not a substitute for the full report.</x:v>
      </x:c>
    </x:row>
    <x:row r="22" ht="54" customHeight="1">
      <x:c r="A22" s="37" t="str">
        <x:v>S18</x:v>
      </x:c>
      <x:c r="B22" s="37" t="str">
        <x:v>South First, ‘50 years on: Remembering dismissal of Karunanidhi-led DMK government,’ 31 Jan 2026</x:v>
      </x:c>
      <x:c r="C22" s="37" t="str">
        <x:v>Remembering the 1976 dismissal</x:v>
      </x:c>
      <x:c r="D22" s="37" t="str">
        <x:v>Subash Chandra Bose</x:v>
      </x:c>
      <x:c r="E22" s="37" t="str">
        <x:v>South First</x:v>
      </x:c>
      <x:c r="F22" s="58" t="n">
        <x:v>46053</x:v>
      </x:c>
      <x:c r="G22" s="37" t="str">
        <x:v>https://thesouthfirst.com/tamilnadu/50-years-on-remembering-dismissal-of-karunanidhi-led-dmk-government/</x:v>
      </x:c>
      <x:c r="H22" s="58" t="n">
        <x:v>46279</x:v>
      </x:c>
      <x:c r="I22" s="37" t="str">
        <x:v>Journalism</x:v>
      </x:c>
      <x:c r="J22" s="37" t="str">
        <x:v>Secondary</x:v>
      </x:c>
      <x:c r="K22" s="37" t="str">
        <x:v>Tamil Nadu / English</x:v>
      </x:c>
      <x:c r="L22" s="37" t="str">
        <x:v>Regional news outlet</x:v>
      </x:c>
      <x:c r="M22" s="37" t="str">
        <x:v>Controversies; Context</x:v>
      </x:c>
      <x:c r="N22" s="37" t="str"/>
      <x:c r="O22" s="37" t="str">
        <x:v>Later account; used with contemporaneous and institutional context.</x:v>
      </x:c>
    </x:row>
    <x:row r="23" ht="54" customHeight="1">
      <x:c r="A23" s="37" t="str">
        <x:v>S19</x:v>
      </x:c>
      <x:c r="B23" s="37" t="str">
        <x:v>Supreme Court of India, S. R. Bommai v. Union of India, judgment, 11 Mar 1994</x:v>
      </x:c>
      <x:c r="C23" s="37" t="str">
        <x:v>S. R. Bommai v. Union of India</x:v>
      </x:c>
      <x:c r="D23" s="37" t="str">
        <x:v>Supreme Court of India</x:v>
      </x:c>
      <x:c r="E23" s="37" t="str">
        <x:v>Indian Kanoon mirror</x:v>
      </x:c>
      <x:c r="F23" s="58" t="n">
        <x:v>34404</x:v>
      </x:c>
      <x:c r="G23" s="37" t="str">
        <x:v>https://indiankanoon.org/doc/60799/</x:v>
      </x:c>
      <x:c r="H23" s="58" t="n">
        <x:v>46279</x:v>
      </x:c>
      <x:c r="I23" s="37" t="str">
        <x:v>Court or commission</x:v>
      </x:c>
      <x:c r="J23" s="37" t="str">
        <x:v>Primary</x:v>
      </x:c>
      <x:c r="K23" s="37" t="str">
        <x:v>India / English</x:v>
      </x:c>
      <x:c r="L23" s="37" t="str">
        <x:v>Judicial decision</x:v>
      </x:c>
      <x:c r="M23" s="37" t="str">
        <x:v>Controversies; Context</x:v>
      </x:c>
      <x:c r="N23" s="37" t="str"/>
      <x:c r="O23" s="37" t="str">
        <x:v>Landmark Article 356 doctrine; not a direct adjudication of every factual allegation in the 1991 dismissal.</x:v>
      </x:c>
    </x:row>
    <x:row r="24" ht="54" customHeight="1">
      <x:c r="A24" s="37" t="str">
        <x:v>S20</x:v>
      </x:c>
      <x:c r="B24" s="37" t="str">
        <x:v>NDTV, ‘High Court Admits CBI's Appeal Challenging Acquittal Of A Raja, Others In 2G Case,’ 22 Mar 2024</x:v>
      </x:c>
      <x:c r="C24" s="37" t="str">
        <x:v>High Court admits CBI appeal in 2G case</x:v>
      </x:c>
      <x:c r="D24" s="37" t="str">
        <x:v>NDTV</x:v>
      </x:c>
      <x:c r="E24" s="37" t="str">
        <x:v>NDTV</x:v>
      </x:c>
      <x:c r="F24" s="58" t="n">
        <x:v>45373</x:v>
      </x:c>
      <x:c r="G24" s="37" t="str">
        <x:v>https://www.ndtv.com/india-news/2g-spectrum-case-high-court-admits-cbis-appeal-challenging-acquittal-of-a-raja-others-5288617</x:v>
      </x:c>
      <x:c r="H24" s="58" t="n">
        <x:v>46279</x:v>
      </x:c>
      <x:c r="I24" s="37" t="str">
        <x:v>Journalism / legal reporting</x:v>
      </x:c>
      <x:c r="J24" s="37" t="str">
        <x:v>Secondary</x:v>
      </x:c>
      <x:c r="K24" s="37" t="str">
        <x:v>India / English</x:v>
      </x:c>
      <x:c r="L24" s="37" t="str">
        <x:v>Independent broadcaster</x:v>
      </x:c>
      <x:c r="M24" s="37" t="str">
        <x:v>Controversies</x:v>
      </x:c>
      <x:c r="N24" s="37" t="str"/>
      <x:c r="O24" s="37" t="str">
        <x:v>Procedural update; Karunanidhi was not an accused in the case.</x:v>
      </x:c>
    </x:row>
    <x:row r="25" ht="54" customHeight="1">
      <x:c r="A25" s="37" t="str">
        <x:v>S21</x:v>
      </x:c>
      <x:c r="B25" s="37" t="str">
        <x:v>International Federation of Journalists, ‘Three Killed in Shocking Petrol Bomb Attacks on Media,’ 11 May 2007</x:v>
      </x:c>
      <x:c r="C25" s="37" t="str">
        <x:v>Three killed in petrol-bomb attack</x:v>
      </x:c>
      <x:c r="D25" s="37" t="str">
        <x:v>International Federation of Journalists</x:v>
      </x:c>
      <x:c r="E25" s="37" t="str">
        <x:v>IFJ</x:v>
      </x:c>
      <x:c r="F25" s="58" t="n">
        <x:v>39213</x:v>
      </x:c>
      <x:c r="G25" s="37" t="str">
        <x:v>https://www.ifj.org/media-centre/news/detail/category/press-releases/article/three-killed-in-shocking-petrol-bomb-attacks-on-media-in-india</x:v>
      </x:c>
      <x:c r="H25" s="58" t="n">
        <x:v>46279</x:v>
      </x:c>
      <x:c r="I25" s="37" t="str">
        <x:v>Institutional / press freedom</x:v>
      </x:c>
      <x:c r="J25" s="37" t="str">
        <x:v>Secondary</x:v>
      </x:c>
      <x:c r="K25" s="37" t="str">
        <x:v>Tamil Nadu / English</x:v>
      </x:c>
      <x:c r="L25" s="37" t="str">
        <x:v>Journalists' federation</x:v>
      </x:c>
      <x:c r="M25" s="37" t="str">
        <x:v>Controversies; Context</x:v>
      </x:c>
      <x:c r="N25" s="37" t="str"/>
      <x:c r="O25" s="37" t="str">
        <x:v>Documents the attack and press-freedom implications; does not establish personal culpability.</x:v>
      </x:c>
    </x:row>
    <x:row r="26" ht="54" customHeight="1">
      <x:c r="A26" s="37" t="str">
        <x:v>S22</x:v>
      </x:c>
      <x:c r="B26" s="37" t="str">
        <x:v>Vinod K. Jose, ‘The Last Lear,’ The Caravan, 1 Mar 2011 (archived)</x:v>
      </x:c>
      <x:c r="C26" s="37" t="str">
        <x:v>The Last Lear</x:v>
      </x:c>
      <x:c r="D26" s="37" t="str">
        <x:v>Vinod K. Jose</x:v>
      </x:c>
      <x:c r="E26" s="37" t="str">
        <x:v>The Caravan</x:v>
      </x:c>
      <x:c r="F26" s="58" t="n">
        <x:v>40603</x:v>
      </x:c>
      <x:c r="G26" s="37" t="str">
        <x:v>https://web.archive.org/web/20120326130359/http://caravanmagazine.in/Story.aspx?Storyid=817&amp;StoryStyle=FullStory</x:v>
      </x:c>
      <x:c r="H26" s="58" t="n">
        <x:v>46279</x:v>
      </x:c>
      <x:c r="I26" s="37" t="str">
        <x:v>Journalism / long-form</x:v>
      </x:c>
      <x:c r="J26" s="37" t="str">
        <x:v>Secondary</x:v>
      </x:c>
      <x:c r="K26" s="37" t="str">
        <x:v>Tamil Nadu / English</x:v>
      </x:c>
      <x:c r="L26" s="37" t="str">
        <x:v>Independent magazine profile</x:v>
      </x:c>
      <x:c r="M26" s="37" t="str">
        <x:v>Ideas; Party organization; Family succession; Legacy</x:v>
      </x:c>
      <x:c r="N26" s="37" t="str"/>
      <x:c r="O26" s="37" t="str">
        <x:v>Deep profile written during final CM term; interpretation is attributed.</x:v>
      </x:c>
    </x:row>
    <x:row r="27" ht="54" customHeight="1">
      <x:c r="A27" s="37" t="str">
        <x:v>S23</x:v>
      </x:c>
      <x:c r="B27" s="37" t="str">
        <x:v>The News Minute, ‘How Tamil Nadu's reservation stands at 69% despite the 50% quota cap,’ 29 Mar 2021</x:v>
      </x:c>
      <x:c r="C27" s="37" t="str">
        <x:v>How Tamil Nadu's reservation stands at 69%</x:v>
      </x:c>
      <x:c r="D27" s="37" t="str">
        <x:v>The News Minute</x:v>
      </x:c>
      <x:c r="E27" s="37" t="str">
        <x:v>The News Minute</x:v>
      </x:c>
      <x:c r="F27" s="58" t="n">
        <x:v>44284</x:v>
      </x:c>
      <x:c r="G27" s="37" t="str">
        <x:v>https://www.thenewsminute.com/tamil-nadu/how-tamil-nadus-reservation-stands-69-despite-50-quota-cap-146185</x:v>
      </x:c>
      <x:c r="H27" s="58" t="n">
        <x:v>46279</x:v>
      </x:c>
      <x:c r="I27" s="37" t="str">
        <x:v>Journalism / legal explainer</x:v>
      </x:c>
      <x:c r="J27" s="37" t="str">
        <x:v>Secondary</x:v>
      </x:c>
      <x:c r="K27" s="37" t="str">
        <x:v>Tamil Nadu / English</x:v>
      </x:c>
      <x:c r="L27" s="37" t="str">
        <x:v>Independent regional outlet</x:v>
      </x:c>
      <x:c r="M27" s="37" t="str">
        <x:v>Policy &amp; Governance; Context</x:v>
      </x:c>
      <x:c r="N27" s="37" t="str"/>
      <x:c r="O27" s="37" t="str">
        <x:v>Clarifies changes across governments; avoids attributing the final Ninth Schedule protection solely to Karunanidhi.</x:v>
      </x:c>
    </x:row>
    <x:row r="28" ht="54" customHeight="1">
      <x:c r="A28" s="37" t="str">
        <x:v>S24</x:v>
      </x:c>
      <x:c r="B28" s="37" t="str">
        <x:v>UPI Archives, ‘India's Madras renamed Chennai,’ 17 Jul 1996</x:v>
      </x:c>
      <x:c r="C28" s="37" t="str">
        <x:v>India's Madras renamed Chennai</x:v>
      </x:c>
      <x:c r="D28" s="37" t="str">
        <x:v>United Press International</x:v>
      </x:c>
      <x:c r="E28" s="37" t="str">
        <x:v>UPI</x:v>
      </x:c>
      <x:c r="F28" s="58" t="n">
        <x:v>35263</x:v>
      </x:c>
      <x:c r="G28" s="37" t="str">
        <x:v>https://www.upi.com/Archives/1996/07/17/Indias-Madras-renamed-Chennai/7090837576000/</x:v>
      </x:c>
      <x:c r="H28" s="58" t="n">
        <x:v>46279</x:v>
      </x:c>
      <x:c r="I28" s="37" t="str">
        <x:v>Journalism / archive</x:v>
      </x:c>
      <x:c r="J28" s="37" t="str">
        <x:v>Secondary</x:v>
      </x:c>
      <x:c r="K28" s="37" t="str">
        <x:v>Tamil Nadu / English</x:v>
      </x:c>
      <x:c r="L28" s="37" t="str">
        <x:v>News agency</x:v>
      </x:c>
      <x:c r="M28" s="37" t="str">
        <x:v>Policy &amp; Governance; Ideas</x:v>
      </x:c>
      <x:c r="N28" s="37" t="str"/>
      <x:c r="O28" s="37" t="str">
        <x:v>Contemporaneous report of the budget announcement.</x:v>
      </x:c>
    </x:row>
    <x:row r="29" ht="54" customHeight="1">
      <x:c r="A29" s="37" t="str">
        <x:v>S25</x:v>
      </x:c>
      <x:c r="B29" s="37" t="str">
        <x:v>Vidhi Centre for Legal Policy, ‘India's Classical Language Conundrum,’ 7 Mar 2025</x:v>
      </x:c>
      <x:c r="C29" s="37" t="str">
        <x:v>India's Classical Language Conundrum</x:v>
      </x:c>
      <x:c r="D29" s="37" t="str">
        <x:v>Vidhi Centre for Legal Policy</x:v>
      </x:c>
      <x:c r="E29" s="37" t="str">
        <x:v>Vidhi</x:v>
      </x:c>
      <x:c r="F29" s="58" t="n">
        <x:v>45723</x:v>
      </x:c>
      <x:c r="G29" s="37" t="str">
        <x:v>https://vidhilegalpolicy.in/blog/indias-classical-language-conundrum/</x:v>
      </x:c>
      <x:c r="H29" s="58" t="n">
        <x:v>46279</x:v>
      </x:c>
      <x:c r="I29" s="37" t="str">
        <x:v>Policy analysis</x:v>
      </x:c>
      <x:c r="J29" s="37" t="str">
        <x:v>Secondary</x:v>
      </x:c>
      <x:c r="K29" s="37" t="str">
        <x:v>India / English</x:v>
      </x:c>
      <x:c r="L29" s="37" t="str">
        <x:v>Independent legal-policy organization</x:v>
      </x:c>
      <x:c r="M29" s="37" t="str">
        <x:v>Policy &amp; Governance; Ideas; Legacy</x:v>
      </x:c>
      <x:c r="N29" s="37" t="str"/>
      <x:c r="O29" s="37" t="str">
        <x:v>Retrospective account of the 2004 recognition and political context.</x:v>
      </x:c>
    </x:row>
    <x:row r="30" ht="54" customHeight="1">
      <x:c r="A30" s="37" t="str">
        <x:v>S26</x:v>
      </x:c>
      <x:c r="B30" s="37" t="str">
        <x:v>E. Sridharan, ‘Coalition Politics in India,’ Centre for Policy Research / ETH archive</x:v>
      </x:c>
      <x:c r="C30" s="37" t="str">
        <x:v>Coalition Politics in India</x:v>
      </x:c>
      <x:c r="D30" s="37" t="str">
        <x:v>E. Sridharan</x:v>
      </x:c>
      <x:c r="E30" s="37" t="str">
        <x:v>Centre for Policy Research / ETH Zurich archive</x:v>
      </x:c>
      <x:c r="F30" s="58" t="n">
        <x:v>37622</x:v>
      </x:c>
      <x:c r="G30" s="37" t="str">
        <x:v>https://www.files.ethz.ch/isn/100449/working_paper_1.pdf</x:v>
      </x:c>
      <x:c r="H30" s="58" t="n">
        <x:v>46279</x:v>
      </x:c>
      <x:c r="I30" s="37" t="str">
        <x:v>Academic</x:v>
      </x:c>
      <x:c r="J30" s="37" t="str">
        <x:v>Secondary</x:v>
      </x:c>
      <x:c r="K30" s="37" t="str">
        <x:v>India / English</x:v>
      </x:c>
      <x:c r="L30" s="37" t="str">
        <x:v>Scholarly analysis</x:v>
      </x:c>
      <x:c r="M30" s="37" t="str">
        <x:v>Ideas; Context; Legacy</x:v>
      </x:c>
      <x:c r="N30" s="37" t="str"/>
      <x:c r="O30" s="37" t="str">
        <x:v>National coalition context; does not focus exclusively on Karunanidhi.</x:v>
      </x:c>
    </x:row>
    <x:row r="31" ht="54" customHeight="1">
      <x:c r="A31" s="37" t="str">
        <x:v>S27</x:v>
      </x:c>
      <x:c r="B31" s="37" t="str">
        <x:v>Kalaiyarasan A. and M. Vijayabaskar, The Dravidian Model: Interpreting the Political Economy of Tamil Nadu, Cambridge University Press, 2021</x:v>
      </x:c>
      <x:c r="C31" s="37" t="str">
        <x:v>The Dravidian Model</x:v>
      </x:c>
      <x:c r="D31" s="37" t="str">
        <x:v>Kalaiyarasan A. and M. Vijayabaskar</x:v>
      </x:c>
      <x:c r="E31" s="37" t="str">
        <x:v>Cambridge University Press</x:v>
      </x:c>
      <x:c r="F31" s="58" t="n">
        <x:v>44469</x:v>
      </x:c>
      <x:c r="G31" s="37" t="str">
        <x:v>https://searchworks.stanford.edu/view/13918558</x:v>
      </x:c>
      <x:c r="H31" s="58" t="n">
        <x:v>46279</x:v>
      </x:c>
      <x:c r="I31" s="37" t="str">
        <x:v>Book</x:v>
      </x:c>
      <x:c r="J31" s="37" t="str">
        <x:v>Secondary</x:v>
      </x:c>
      <x:c r="K31" s="37" t="str">
        <x:v>Tamil Nadu / English</x:v>
      </x:c>
      <x:c r="L31" s="37" t="str">
        <x:v>Scholarly political economy</x:v>
      </x:c>
      <x:c r="M31" s="37" t="str">
        <x:v>Policy; Context; Legacy</x:v>
      </x:c>
      <x:c r="N31" s="37" t="str"/>
      <x:c r="O31" s="37" t="str">
        <x:v>Assesses long-run outcomes across multiple governments; causal attribution to one leader is limited.</x:v>
      </x:c>
    </x:row>
    <x:row r="32" ht="54" customHeight="1">
      <x:c r="A32" s="37" t="str">
        <x:v>S28</x:v>
      </x:c>
      <x:c r="B32" s="37" t="str">
        <x:v>The News Minute, ‘What are the Sarkaria report and ED document cited in Tamil Nadu politics?,’ 2026</x:v>
      </x:c>
      <x:c r="C32" s="37" t="str">
        <x:v>Sarkaria report explainer</x:v>
      </x:c>
      <x:c r="D32" s="37" t="str">
        <x:v>The News Minute</x:v>
      </x:c>
      <x:c r="E32" s="37" t="str">
        <x:v>The News Minute</x:v>
      </x:c>
      <x:c r="F32" s="58" t="n">
        <x:v>46272</x:v>
      </x:c>
      <x:c r="G32" s="37" t="str">
        <x:v>https://www.thenewsminute.com/tamil-nadu/what-are-the-sarkaria-report-and-ed-document-vijay-cited-against-dmk</x:v>
      </x:c>
      <x:c r="H32" s="58" t="n">
        <x:v>46279</x:v>
      </x:c>
      <x:c r="I32" s="37" t="str">
        <x:v>Journalism / explainer</x:v>
      </x:c>
      <x:c r="J32" s="37" t="str">
        <x:v>Secondary</x:v>
      </x:c>
      <x:c r="K32" s="37" t="str">
        <x:v>Tamil Nadu / English</x:v>
      </x:c>
      <x:c r="L32" s="37" t="str">
        <x:v>Independent regional outlet</x:v>
      </x:c>
      <x:c r="M32" s="37" t="str">
        <x:v>Controversies</x:v>
      </x:c>
      <x:c r="N32" s="37" t="str"/>
      <x:c r="O32" s="37" t="str">
        <x:v>Late retrospective; useful for claim-by-claim procedural framing.</x:v>
      </x:c>
    </x:row>
    <x:row r="33" ht="54" customHeight="1">
      <x:c r="A33" s="37" t="str">
        <x:v>S29</x:v>
      </x:c>
      <x:c r="B33" s="37" t="str">
        <x:v>Reporters Without Borders / UNHCR Refworld, ‘Media Workers Killed in 2007: K. Muthuranalingam’</x:v>
      </x:c>
      <x:c r="C33" s="37" t="str">
        <x:v>Media workers killed in 2007</x:v>
      </x:c>
      <x:c r="D33" s="37" t="str">
        <x:v>Reporters Without Borders</x:v>
      </x:c>
      <x:c r="E33" s="37" t="str">
        <x:v>Refworld</x:v>
      </x:c>
      <x:c r="F33" s="58" t="n">
        <x:v>39083</x:v>
      </x:c>
      <x:c r="G33" s="37" t="str">
        <x:v>https://www.refworld.org/reference/annualreport/rsf/2008/en/55914</x:v>
      </x:c>
      <x:c r="H33" s="58" t="n">
        <x:v>46279</x:v>
      </x:c>
      <x:c r="I33" s="37" t="str">
        <x:v>Institutional / press freedom</x:v>
      </x:c>
      <x:c r="J33" s="37" t="str">
        <x:v>Secondary</x:v>
      </x:c>
      <x:c r="K33" s="37" t="str">
        <x:v>India / English</x:v>
      </x:c>
      <x:c r="L33" s="37" t="str">
        <x:v>Press-freedom organization</x:v>
      </x:c>
      <x:c r="M33" s="37" t="str">
        <x:v>Controversies</x:v>
      </x:c>
      <x:c r="N33" s="37" t="str"/>
      <x:c r="O33" s="37" t="str">
        <x:v>Records media-worker deaths; not a criminal finding against political leaders.</x:v>
      </x:c>
    </x:row>
    <x:row r="34" ht="54" customHeight="1">
      <x:c r="A34" s="40" t="str">
        <x:v>S30</x:v>
      </x:c>
      <x:c r="B34" s="40" t="str">
        <x:v>R. Manivannan, ‘1991 Tamil Nadu Elections,’ Economic and Political Weekly, 1992</x:v>
      </x:c>
      <x:c r="C34" s="40" t="str">
        <x:v>1991 Tamil Nadu Elections</x:v>
      </x:c>
      <x:c r="D34" s="40" t="str">
        <x:v>R. Manivannan</x:v>
      </x:c>
      <x:c r="E34" s="40" t="str">
        <x:v>Economic &amp; Political Weekly</x:v>
      </x:c>
      <x:c r="F34" s="59" t="n">
        <x:v>33604</x:v>
      </x:c>
      <x:c r="G34" s="40" t="str">
        <x:v>https://www.jstor.org/stable/4397736</x:v>
      </x:c>
      <x:c r="H34" s="59" t="n">
        <x:v>46279</x:v>
      </x:c>
      <x:c r="I34" s="40" t="str">
        <x:v>Academic</x:v>
      </x:c>
      <x:c r="J34" s="40" t="str">
        <x:v>Secondary</x:v>
      </x:c>
      <x:c r="K34" s="40" t="str">
        <x:v>Tamil Nadu / English</x:v>
      </x:c>
      <x:c r="L34" s="40" t="str">
        <x:v>Scholarly election analysis</x:v>
      </x:c>
      <x:c r="M34" s="40" t="str">
        <x:v>Elections; Context</x:v>
      </x:c>
      <x:c r="N34" s="40" t="str"/>
      <x:c r="O34" s="40" t="str">
        <x:v>Useful for the 1991 electoral environment and 890-vote Harbour margin.</x:v>
      </x:c>
    </x:row>
  </x:sheetData>
  <x:pageMargins left="0.7" right="0.7" top="0.75" bottom="0.75" header="0.3" footer="0.3"/>
  <x:tableParts count="1">
    <x:tablePart xmlns:r="http://schemas.openxmlformats.org/officeDocument/2006/relationships" r:id="Rc7cb1315856d43e7"/>
  </x:tableParts>
</x:worksheet>
</file>