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0553d34a4946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dc0565406fa4e13"/>
    <x:sheet xmlns:r="http://schemas.openxmlformats.org/officeDocument/2006/relationships" name="Context &amp; Constraints" sheetId="2" r:id="R8b6bc06a072d4053"/>
    <x:sheet xmlns:r="http://schemas.openxmlformats.org/officeDocument/2006/relationships" name="Career Timeline" sheetId="3" r:id="R68e2d0bf21394d07"/>
    <x:sheet xmlns:r="http://schemas.openxmlformats.org/officeDocument/2006/relationships" name="Elections" sheetId="4" r:id="Rdff8170f8c514018"/>
    <x:sheet xmlns:r="http://schemas.openxmlformats.org/officeDocument/2006/relationships" name="Offices &amp; Party" sheetId="5" r:id="R619bbfe4f5c44786"/>
    <x:sheet xmlns:r="http://schemas.openxmlformats.org/officeDocument/2006/relationships" name="Policy &amp; Governance" sheetId="6" r:id="R8672e76183af4eb3"/>
    <x:sheet xmlns:r="http://schemas.openxmlformats.org/officeDocument/2006/relationships" name="Ideas &amp; Political Method" sheetId="7" r:id="R463ca4cfa6734e2e"/>
    <x:sheet xmlns:r="http://schemas.openxmlformats.org/officeDocument/2006/relationships" name="Controversies" sheetId="8" r:id="Rd368a470f3034333"/>
    <x:sheet xmlns:r="http://schemas.openxmlformats.org/officeDocument/2006/relationships" name="Legacy &amp; Assessments" sheetId="9" r:id="Rb3e92b8ac5b044f9"/>
    <x:sheet xmlns:r="http://schemas.openxmlformats.org/officeDocument/2006/relationships" name="Sources" sheetId="10" r:id="R91da191bd59047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#,##0"/>
    <x:numFmt numFmtId="201" formatCode="0"/>
    <x:numFmt numFmtId="202" formatCode="dd mmm yyyy"/>
    <x:numFmt numFmtId="203" formatCode="#,##0;[Red](#,##0);0"/>
    <x:numFmt numFmtId="204" formatCode="#,##0.00"/>
    <x:numFmt numFmtId="205" formatCode="#,##0.##"/>
    <x:numFmt numFmtId="206" formatCode="0.00"/>
    <x:numFmt numFmtId="207" formatCode="0.0%"/>
  </x:numFmts>
  <x:fonts count="10">
    <x:font>
      <x:sz val="11"/>
      <x:name val="Carlito"/>
    </x:font>
    <x:font>
      <x:b/>
      <x:sz val="14"/>
      <x:color rgb="FF203C57"/>
      <x:name val="Arial"/>
    </x:font>
    <x:font>
      <x:i/>
      <x:sz val="10"/>
      <x:color rgb="FF536576"/>
      <x:name val="Arial"/>
    </x:font>
    <x:font>
      <x:sz val="10"/>
      <x:color rgb="FF253647"/>
      <x:name val="Arial"/>
    </x:font>
    <x:font>
      <x:b/>
      <x:sz val="10"/>
      <x:color rgb="FFFFFFFF"/>
      <x:name val="Arial"/>
    </x:font>
    <x:font>
      <x:sz val="10"/>
      <x:color rgb="FF27745B"/>
      <x:name val="Arial"/>
    </x:font>
    <x:font>
      <x:sz val="10"/>
      <x:color rgb="FF536576"/>
      <x:name val="Arial"/>
    </x:font>
    <x:font>
      <x:sz val="10"/>
      <x:color rgb="FF000000"/>
      <x:name val="Arial"/>
    </x:font>
    <x:font>
      <x:sz val="10"/>
      <x:color rgb="FF185AA6"/>
      <x:name val="Arial"/>
    </x:font>
    <x:font>
      <x:b/>
      <x:sz val="10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03C57"/>
      </x:patternFill>
    </x:fill>
    <x:fill>
      <x:patternFill patternType="solid">
        <x:fgColor rgb="FFF1F5F8"/>
      </x:patternFill>
    </x:fill>
  </x:fills>
  <x:borders count="5">
    <x:border/>
    <x:border>
      <x:bottom style="thin">
        <x:color rgb="FFA5B3C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0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0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left" vertical="top" wrapText="1"/>
    </x:xf>
    <x:xf numFmtId="0" fontId="4" fillId="2" borderId="0" xfId="0" applyNumberFormat="1" applyFont="1" applyFill="1" applyBorder="1" applyAlignment="1">
      <x:alignment horizontal="center"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horizontal="left" vertical="top" wrapText="1"/>
    </x:xf>
    <x:xf numFmtId="0" fontId="5" fillId="0" borderId="0" xfId="0" applyNumberFormat="1" applyFont="1" applyFill="1" applyBorder="1" applyAlignment="1">
      <x:alignment horizontal="left" vertical="top" wrapText="1"/>
    </x:xf>
    <x:xf numFmtId="0" fontId="5" fillId="3" borderId="0" xfId="0" applyNumberFormat="1" applyFont="1" applyFill="1" applyBorder="1" applyAlignment="1">
      <x:alignment horizontal="left" vertical="top" wrapText="1"/>
    </x:xf>
    <x:xf numFmtId="0" fontId="6" fillId="0" borderId="0" xfId="0" applyNumberFormat="1" applyFont="1" applyFill="1" applyBorder="1" applyAlignment="1">
      <x:alignment horizontal="left" vertical="top" wrapText="1"/>
    </x:xf>
    <x:xf numFmtId="0" fontId="6" fillId="3" borderId="0" xfId="0" applyNumberFormat="1" applyFont="1" applyFill="1" applyBorder="1" applyAlignment="1">
      <x:alignment horizontal="left" vertical="top" wrapText="1"/>
    </x:xf>
    <x:xf numFmtId="200" fontId="3" fillId="0" borderId="0" xfId="0" applyNumberFormat="1" applyFont="1" applyFill="1" applyBorder="1" applyAlignment="1">
      <x:alignment horizontal="left" vertical="top" wrapText="1"/>
    </x:xf>
    <x:xf numFmtId="200" fontId="3" fillId="0" borderId="0" xfId="0" applyNumberFormat="1" applyFont="1" applyFill="1" applyBorder="1" applyAlignment="1">
      <x:alignment horizontal="right" vertical="top" wrapText="1"/>
    </x:xf>
    <x:xf numFmtId="201" fontId="3" fillId="0" borderId="0" xfId="0" applyNumberFormat="1" applyFont="1" applyFill="1" applyBorder="1" applyAlignment="1">
      <x:alignment horizontal="right" vertical="top" wrapText="1"/>
    </x:xf>
    <x:xf numFmtId="200" fontId="3" fillId="3" borderId="0" xfId="0" applyNumberFormat="1" applyFont="1" applyFill="1" applyBorder="1" applyAlignment="1">
      <x:alignment horizontal="left" vertical="top" wrapText="1"/>
    </x:xf>
    <x:xf numFmtId="200" fontId="3" fillId="3" borderId="0" xfId="0" applyNumberFormat="1" applyFont="1" applyFill="1" applyBorder="1" applyAlignment="1">
      <x:alignment horizontal="right" vertical="top" wrapText="1"/>
    </x:xf>
    <x:xf numFmtId="201" fontId="3" fillId="3" borderId="0" xfId="0" applyNumberFormat="1" applyFont="1" applyFill="1" applyBorder="1" applyAlignment="1">
      <x:alignment horizontal="right" vertical="top" wrapText="1"/>
    </x:xf>
    <x:xf numFmtId="202" fontId="3" fillId="3" borderId="0" xfId="0" applyNumberFormat="1" applyFont="1" applyFill="1" applyBorder="1" applyAlignment="1">
      <x:alignment horizontal="left" vertical="top" wrapText="1"/>
    </x:xf>
    <x:xf numFmtId="202" fontId="3" fillId="0" borderId="0" xfId="0" applyNumberFormat="1" applyFont="1" applyFill="1" applyBorder="1" applyAlignment="1">
      <x:alignment horizontal="left" vertical="top" wrapText="1"/>
    </x:xf>
    <x:xf numFmtId="203" fontId="3" fillId="0" borderId="0" xfId="0" applyNumberFormat="1" applyFont="1" applyFill="1" applyBorder="1" applyAlignment="1">
      <x:alignment horizontal="right" vertical="top" wrapText="1"/>
    </x:xf>
    <x:xf numFmtId="203" fontId="3" fillId="0" borderId="0" xfId="0" applyNumberFormat="1" applyFont="1" applyFill="1" applyBorder="1" applyAlignment="1">
      <x:alignment horizontal="left" vertical="top" wrapText="1"/>
    </x:xf>
    <x:xf numFmtId="203" fontId="7" fillId="0" borderId="0" xfId="0" applyNumberFormat="1" applyFont="1" applyFill="1" applyBorder="1" applyAlignment="1">
      <x:alignment horizontal="left" vertical="top" wrapText="1"/>
    </x:xf>
    <x:xf numFmtId="203" fontId="7" fillId="0" borderId="0" xfId="0" applyNumberFormat="1" applyFont="1" applyFill="1" applyBorder="1" applyAlignment="1">
      <x:alignment horizontal="right" vertical="top" wrapText="1"/>
    </x:xf>
    <x:xf numFmtId="203" fontId="3" fillId="3" borderId="0" xfId="0" applyNumberFormat="1" applyFont="1" applyFill="1" applyBorder="1" applyAlignment="1">
      <x:alignment horizontal="right" vertical="top" wrapText="1"/>
    </x:xf>
    <x:xf numFmtId="203" fontId="3" fillId="3" borderId="0" xfId="0" applyNumberFormat="1" applyFont="1" applyFill="1" applyBorder="1" applyAlignment="1">
      <x:alignment horizontal="left" vertical="top" wrapText="1"/>
    </x:xf>
    <x:xf numFmtId="203" fontId="7" fillId="3" borderId="0" xfId="0" applyNumberFormat="1" applyFont="1" applyFill="1" applyBorder="1" applyAlignment="1">
      <x:alignment horizontal="left" vertical="top" wrapText="1"/>
    </x:xf>
    <x:xf numFmtId="203" fontId="7" fillId="3" borderId="0" xfId="0" applyNumberFormat="1" applyFont="1" applyFill="1" applyBorder="1" applyAlignment="1">
      <x:alignment horizontal="right" vertical="top" wrapText="1"/>
    </x:xf>
    <x:xf numFmtId="204" fontId="3" fillId="0" borderId="0" xfId="0" applyNumberFormat="1" applyFont="1" applyFill="1" applyBorder="1" applyAlignment="1">
      <x:alignment horizontal="left" vertical="top" wrapText="1"/>
    </x:xf>
    <x:xf numFmtId="204" fontId="3" fillId="0" borderId="0" xfId="0" applyNumberFormat="1" applyFont="1" applyFill="1" applyBorder="1" applyAlignment="1">
      <x:alignment horizontal="right" vertical="top" wrapText="1"/>
    </x:xf>
    <x:xf numFmtId="204" fontId="3" fillId="3" borderId="0" xfId="0" applyNumberFormat="1" applyFont="1" applyFill="1" applyBorder="1" applyAlignment="1">
      <x:alignment horizontal="left" vertical="top" wrapText="1"/>
    </x:xf>
    <x:xf numFmtId="204" fontId="3" fillId="3" borderId="0" xfId="0" applyNumberFormat="1" applyFont="1" applyFill="1" applyBorder="1" applyAlignment="1">
      <x:alignment horizontal="right" vertical="top" wrapText="1"/>
    </x:xf>
    <x:xf numFmtId="205" fontId="3" fillId="0" borderId="0" xfId="0" applyNumberFormat="1" applyFont="1" applyFill="1" applyBorder="1" applyAlignment="1">
      <x:alignment horizontal="right" vertical="top" wrapText="1"/>
    </x:xf>
    <x:xf numFmtId="205" fontId="3" fillId="3" borderId="0" xfId="0" applyNumberFormat="1" applyFont="1" applyFill="1" applyBorder="1" applyAlignment="1">
      <x:alignment horizontal="right" vertical="top" wrapText="1"/>
    </x:xf>
    <x:xf numFmtId="206" fontId="3" fillId="0" borderId="0" xfId="0" applyNumberFormat="1" applyFont="1" applyFill="1" applyBorder="1" applyAlignment="1">
      <x:alignment horizontal="right" vertical="top" wrapText="1"/>
    </x:xf>
    <x:xf numFmtId="207" fontId="3" fillId="3" borderId="0" xfId="0" applyNumberFormat="1" applyFont="1" applyFill="1" applyBorder="1" applyAlignment="1">
      <x:alignment horizontal="right" vertical="top" wrapText="1"/>
    </x:xf>
    <x:xf numFmtId="207" fontId="3" fillId="0" borderId="0" xfId="0" applyNumberFormat="1" applyFont="1" applyFill="1" applyBorder="1" applyAlignment="1">
      <x:alignment horizontal="right" vertical="top" wrapText="1"/>
    </x:xf>
    <x:xf numFmtId="0" fontId="8" fillId="0" borderId="0" xfId="0" applyNumberFormat="1" applyFont="1" applyFill="1" applyBorder="1" applyAlignment="1">
      <x:alignment horizontal="left" vertical="top" wrapText="1"/>
    </x:xf>
    <x:xf numFmtId="0" fontId="8" fillId="3" borderId="0" xfId="0" applyNumberFormat="1" applyFont="1" applyFill="1" applyBorder="1" applyAlignment="1">
      <x:alignment horizontal="left" vertical="top" wrapText="1"/>
    </x:xf>
    <x:xf numFmtId="201" fontId="3" fillId="0" borderId="0" xfId="0" applyNumberFormat="1" applyFont="1" applyFill="1" applyBorder="1" applyAlignment="1">
      <x:alignment horizontal="left" vertical="top" wrapText="1"/>
    </x:xf>
    <x:xf numFmtId="201" fontId="9" fillId="0" borderId="0" xfId="0" applyNumberFormat="1" applyFont="1" applyFill="1" applyBorder="1" applyAlignment="1">
      <x:alignment horizontal="left" vertical="top" wrapText="1"/>
    </x:xf>
    <x:xf numFmtId="201" fontId="3" fillId="3" borderId="0" xfId="0" applyNumberFormat="1" applyFont="1" applyFill="1" applyBorder="1" applyAlignment="1">
      <x:alignment horizontal="left" vertical="top" wrapText="1"/>
    </x:xf>
    <x:xf numFmtId="201" fontId="9" fillId="3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1">
    <x:dxf>
      <x:font>
        <x:color rgb="FF7554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5a60096f60448c" /><Relationship Type="http://schemas.openxmlformats.org/officeDocument/2006/relationships/theme" Target="/xl/theme/theme1.xml" Id="R7a732826c721472c" /><Relationship Type="http://schemas.openxmlformats.org/officeDocument/2006/relationships/sharedStrings" Target="/xl/sharedStrings.xml" Id="Rf468d2216e174601" /><Relationship Type="http://schemas.openxmlformats.org/officeDocument/2006/relationships/worksheet" Target="/xl/worksheets/sheet1.xml" Id="R4dc0565406fa4e13" /><Relationship Type="http://schemas.openxmlformats.org/officeDocument/2006/relationships/worksheet" Target="/xl/worksheets/sheet2.xml" Id="R8b6bc06a072d4053" /><Relationship Type="http://schemas.openxmlformats.org/officeDocument/2006/relationships/worksheet" Target="/xl/worksheets/sheet3.xml" Id="R68e2d0bf21394d07" /><Relationship Type="http://schemas.openxmlformats.org/officeDocument/2006/relationships/worksheet" Target="/xl/worksheets/sheet4.xml" Id="Rdff8170f8c514018" /><Relationship Type="http://schemas.openxmlformats.org/officeDocument/2006/relationships/worksheet" Target="/xl/worksheets/sheet5.xml" Id="R619bbfe4f5c44786" /><Relationship Type="http://schemas.openxmlformats.org/officeDocument/2006/relationships/worksheet" Target="/xl/worksheets/sheet6.xml" Id="R8672e76183af4eb3" /><Relationship Type="http://schemas.openxmlformats.org/officeDocument/2006/relationships/worksheet" Target="/xl/worksheets/sheet7.xml" Id="R463ca4cfa6734e2e" /><Relationship Type="http://schemas.openxmlformats.org/officeDocument/2006/relationships/worksheet" Target="/xl/worksheets/sheet8.xml" Id="Rd368a470f3034333" /><Relationship Type="http://schemas.openxmlformats.org/officeDocument/2006/relationships/worksheet" Target="/xl/worksheets/sheet9.xml" Id="Rb3e92b8ac5b044f9" /><Relationship Type="http://schemas.openxmlformats.org/officeDocument/2006/relationships/worksheet" Target="/xl/worksheets/sheet10.xml" Id="R91da191bd59047a1" /></Relationships>
</file>

<file path=xl/tables/table1.xml><?xml version="1.0" encoding="utf-8"?>
<x:table xmlns:x="http://schemas.openxmlformats.org/spreadsheetml/2006/main" id="1" name="Profile" displayName="Profile" ref="A6:F22" headerRowCount="1" totalsRowCount="0" totalsRowShown="0">
  <x:autoFilter ref="A6:F22"/>
  <x:tableColumns count="6">
    <x:tableColumn id="1" name="Record ID"/>
    <x:tableColumn id="2" name="Profile / theme"/>
    <x:tableColumn id="3" name="Finding or synthesis"/>
    <x:tableColumn id="4" name="Claim type"/>
    <x:tableColumn id="5" name="Source IDs"/>
    <x:tableColumn id="6" name="Evidence note"/>
  </x:tableColumns>
  <x:tableStyleInfo name="TableStyleLight9" showFirstColumn="0" showLastColumn="0" showRowStripes="1" showColumnStripes="0"/>
</x:table>
</file>

<file path=xl/tables/table2.xml><?xml version="1.0" encoding="utf-8"?>
<x:table xmlns:x="http://schemas.openxmlformats.org/spreadsheetml/2006/main" id="2" name="ResearchCounts" displayName="ResearchCounts" ref="A25:F30" headerRowCount="1" totalsRowCount="0" totalsRowShown="0">
  <x:autoFilter ref="A25:F30"/>
  <x:tableColumns count="6">
    <x:tableColumn id="1" name="Measure"/>
    <x:tableColumn id="2" name="Value"/>
    <x:tableColumn id="3" name="Counting rule"/>
    <x:tableColumn id="4" name="Evidence basis"/>
    <x:tableColumn id="5" name="Source IDs"/>
    <x:tableColumn id="6" name="Limit"/>
  </x:tableColumns>
  <x:tableStyleInfo name="TableStyleLight9" showFirstColumn="0" showLastColumn="0" showRowStripes="1" showColumnStripes="0"/>
</x:table>
</file>

<file path=xl/tables/table3.xml><?xml version="1.0" encoding="utf-8"?>
<x:table xmlns:x="http://schemas.openxmlformats.org/spreadsheetml/2006/main" id="3" name="CareerPhases" displayName="CareerPhases" ref="A33:F38" headerRowCount="1" totalsRowCount="0" totalsRowShown="0">
  <x:autoFilter ref="A33:F38"/>
  <x:tableColumns count="6">
    <x:tableColumn id="1" name="Phase ID"/>
    <x:tableColumn id="2" name="Career phase"/>
    <x:tableColumn id="3" name="Period"/>
    <x:tableColumn id="4" name="Transition / scope"/>
    <x:tableColumn id="5" name="Source IDs"/>
    <x:tableColumn id="6" name="Period note"/>
  </x:tableColumns>
  <x:tableStyleInfo name="TableStyleLight9" showFirstColumn="0" showLastColumn="0" showRowStripes="1" showColumnStripes="0"/>
</x:table>
</file>

<file path=xl/tables/table4.xml><?xml version="1.0" encoding="utf-8"?>
<x:table xmlns:x="http://schemas.openxmlformats.org/spreadsheetml/2006/main" id="4" name="Contexts" displayName="Contexts" ref="A6:N106" headerRowCount="1" totalsRowCount="0" totalsRowShown="0">
  <x:autoFilter ref="A6:N106"/>
  <x:tableColumns count="14">
    <x:tableColumn id="1" name="Context ID"/>
    <x:tableColumn id="2" name="Phase"/>
    <x:tableColumn id="3" name="Period"/>
    <x:tableColumn id="4" name="Dimension"/>
    <x:tableColumn id="5" name="Coverage item"/>
    <x:tableColumn id="6" name="Disposition"/>
    <x:tableColumn id="7" name="Evidence / finding"/>
    <x:tableColumn id="8" name="Mechanism / inference"/>
    <x:tableColumn id="9" name="Contemporary comparison / alternatives"/>
    <x:tableColumn id="10" name="Presentism caution"/>
    <x:tableColumn id="11" name="Evidence limitation"/>
    <x:tableColumn id="12" name="Claim type"/>
    <x:tableColumn id="13" name="Corroboration / scope"/>
    <x:tableColumn id="14" name="Source IDs"/>
  </x:tableColumns>
  <x:tableStyleInfo name="TableStyleLight9" showFirstColumn="0" showLastColumn="0" showRowStripes="1" showColumnStripes="0"/>
</x:table>
</file>

<file path=xl/tables/table5.xml><?xml version="1.0" encoding="utf-8"?>
<x:table xmlns:x="http://schemas.openxmlformats.org/spreadsheetml/2006/main" id="5" name="Timeline" displayName="Timeline" ref="A6:K39" headerRowCount="1" totalsRowCount="0" totalsRowShown="0">
  <x:autoFilter ref="A6:K39"/>
  <x:tableColumns count="11">
    <x:tableColumn id="1" name="Timeline ID"/>
    <x:tableColumn id="2" name="Date / period"/>
    <x:tableColumn id="3" name="Precision"/>
    <x:tableColumn id="4" name="Event"/>
    <x:tableColumn id="5" name="Event type"/>
    <x:tableColumn id="6" name="Record"/>
    <x:tableColumn id="7" name="Significance"/>
    <x:tableColumn id="8" name="Phase"/>
    <x:tableColumn id="9" name="Context IDs"/>
    <x:tableColumn id="10" name="Claim type"/>
    <x:tableColumn id="11" name="Source IDs"/>
  </x:tableColumns>
  <x:tableStyleInfo name="TableStyleLight9" showFirstColumn="0" showLastColumn="0" showRowStripes="1" showColumnStripes="0"/>
</x:table>
</file>

<file path=xl/tables/table6.xml><?xml version="1.0" encoding="utf-8"?>
<x:table xmlns:x="http://schemas.openxmlformats.org/spreadsheetml/2006/main" id="6" name="PersonalElections" displayName="PersonalElections" ref="A6:O22" headerRowCount="1" totalsRowCount="0" totalsRowShown="0">
  <x:autoFilter ref="A6:O22"/>
  <x:tableColumns count="15">
    <x:tableColumn id="1" name="Election ID"/>
    <x:tableColumn id="2" name="Year"/>
    <x:tableColumn id="3" name="Election / house"/>
    <x:tableColumn id="4" name="Constituency and jurisdiction"/>
    <x:tableColumn id="5" name="Party / alliance at election"/>
    <x:tableColumn id="6" name="Result"/>
    <x:tableColumn id="7" name="KCR votes"/>
    <x:tableColumn id="8" name="Principal opponent"/>
    <x:tableColumn id="9" name="Opponent party"/>
    <x:tableColumn id="10" name="Opponent votes"/>
    <x:tableColumn id="11" name="Signed margin (votes)"/>
    <x:tableColumn id="12" name="Phase"/>
    <x:tableColumn id="13" name="Context IDs"/>
    <x:tableColumn id="14" name="Source IDs"/>
    <x:tableColumn id="15" name="Evidence note"/>
  </x:tableColumns>
  <x:tableStyleInfo name="TableStyleLight9" showFirstColumn="0" showLastColumn="0" showRowStripes="1" showColumnStripes="0"/>
</x:table>
</file>

<file path=xl/tables/table7.xml><?xml version="1.0" encoding="utf-8"?>
<x:table xmlns:x="http://schemas.openxmlformats.org/spreadsheetml/2006/main" id="7" name="PartyResults" displayName="PartyResults" ref="A26:I33" headerRowCount="1" totalsRowCount="0" totalsRowShown="0">
  <x:autoFilter ref="A26:I33"/>
  <x:tableColumns count="9">
    <x:tableColumn id="1" name="Record ID"/>
    <x:tableColumn id="2" name="Year"/>
    <x:tableColumn id="3" name="House / territory"/>
    <x:tableColumn id="4" name="Party"/>
    <x:tableColumn id="5" name="Seats won"/>
    <x:tableColumn id="6" name="Seat denominator"/>
    <x:tableColumn id="7" name="KCR’s role"/>
    <x:tableColumn id="8" name="Source IDs"/>
    <x:tableColumn id="9" name="Scope note"/>
  </x:tableColumns>
  <x:tableStyleInfo name="TableStyleLight9" showFirstColumn="0" showLastColumn="0" showRowStripes="1" showColumnStripes="0"/>
</x:table>
</file>

<file path=xl/tables/table8.xml><?xml version="1.0" encoding="utf-8"?>
<x:table xmlns:x="http://schemas.openxmlformats.org/spreadsheetml/2006/main" id="8" name="Offices" displayName="Offices" ref="A6:L32" headerRowCount="1" totalsRowCount="0" totalsRowShown="0">
  <x:autoFilter ref="A6:L32"/>
  <x:tableColumns count="12">
    <x:tableColumn id="1" name="Position ID"/>
    <x:tableColumn id="2" name="Category"/>
    <x:tableColumn id="3" name="Position"/>
    <x:tableColumn id="4" name="Institution"/>
    <x:tableColumn id="5" name="Start"/>
    <x:tableColumn id="6" name="End / latest"/>
    <x:tableColumn id="7" name="Date precision"/>
    <x:tableColumn id="8" name="Selection / function"/>
    <x:tableColumn id="9" name="Phase"/>
    <x:tableColumn id="10" name="Context IDs"/>
    <x:tableColumn id="11" name="Source IDs"/>
    <x:tableColumn id="12" name="Research note"/>
  </x:tableColumns>
  <x:tableStyleInfo name="TableStyleLight9" showFirstColumn="0" showLastColumn="0" showRowStripes="1" showColumnStripes="0"/>
</x:table>
</file>

<file path=xl/tables/table9.xml><?xml version="1.0" encoding="utf-8"?>
<x:table xmlns:x="http://schemas.openxmlformats.org/spreadsheetml/2006/main" id="9" name="Policies" displayName="Policies" ref="A6:L22" headerRowCount="1" totalsRowCount="0" totalsRowShown="0">
  <x:autoFilter ref="A6:L22"/>
  <x:tableColumns count="12">
    <x:tableColumn id="1" name="Record ID"/>
    <x:tableColumn id="2" name="Domain"/>
    <x:tableColumn id="3" name="Initiative"/>
    <x:tableColumn id="4" name="Period"/>
    <x:tableColumn id="5" name="KCR’s documented role"/>
    <x:tableColumn id="6" name="Adoption / mechanism"/>
    <x:tableColumn id="7" name="Implementation / output / outcome"/>
    <x:tableColumn id="8" name="Attribution assessment"/>
    <x:tableColumn id="9" name="Limits / trade-offs"/>
    <x:tableColumn id="10" name="Phase"/>
    <x:tableColumn id="11" name="Context IDs"/>
    <x:tableColumn id="12" name="Source IDs"/>
  </x:tableColumns>
  <x:tableStyleInfo name="TableStyleLight9" showFirstColumn="0" showLastColumn="0" showRowStripes="1" showColumnStripes="0"/>
</x:table>
</file>

<file path=xl/tables/table10.xml><?xml version="1.0" encoding="utf-8"?>
<x:table xmlns:x="http://schemas.openxmlformats.org/spreadsheetml/2006/main" id="10" name="Measures" displayName="Measures" ref="A26:H42" headerRowCount="1" totalsRowCount="0" totalsRowShown="0">
  <x:autoFilter ref="A26:H42"/>
  <x:tableColumns count="8">
    <x:tableColumn id="1" name="Measure ID"/>
    <x:tableColumn id="2" name="Indicator"/>
    <x:tableColumn id="3" name="Value"/>
    <x:tableColumn id="4" name="Unit"/>
    <x:tableColumn id="5" name="Geography / observation period"/>
    <x:tableColumn id="6" name="Type of measure"/>
    <x:tableColumn id="7" name="Source IDs"/>
    <x:tableColumn id="8" name="Interpretation / limitation"/>
  </x:tableColumns>
  <x:tableStyleInfo name="TableStyleLight9" showFirstColumn="0" showLastColumn="0" showRowStripes="1" showColumnStripes="0"/>
</x:table>
</file>

<file path=xl/tables/table11.xml><?xml version="1.0" encoding="utf-8"?>
<x:table xmlns:x="http://schemas.openxmlformats.org/spreadsheetml/2006/main" id="11" name="PoliticalMethod" displayName="PoliticalMethod" ref="A6:J20" headerRowCount="1" totalsRowCount="0" totalsRowShown="0">
  <x:autoFilter ref="A6:J20"/>
  <x:tableColumns count="10">
    <x:tableColumn id="1" name="Record ID"/>
    <x:tableColumn id="2" name="Category"/>
    <x:tableColumn id="3" name="Topic"/>
    <x:tableColumn id="4" name="Phase"/>
    <x:tableColumn id="5" name="Position / method"/>
    <x:tableColumn id="6" name="Evidence basis"/>
    <x:tableColumn id="7" name="Change / consequence / limitation"/>
    <x:tableColumn id="8" name="Claim type"/>
    <x:tableColumn id="9" name="Context IDs"/>
    <x:tableColumn id="10" name="Source IDs"/>
  </x:tableColumns>
  <x:tableStyleInfo name="TableStyleLight9" showFirstColumn="0" showLastColumn="0" showRowStripes="1" showColumnStripes="0"/>
</x:table>
</file>

<file path=xl/tables/table12.xml><?xml version="1.0" encoding="utf-8"?>
<x:table xmlns:x="http://schemas.openxmlformats.org/spreadsheetml/2006/main" id="12" name="Accountability" displayName="Accountability" ref="A6:N16" headerRowCount="1" totalsRowCount="0" totalsRowShown="0">
  <x:autoFilter ref="A6:N16"/>
  <x:tableColumns count="14">
    <x:tableColumn id="1" name="Matter ID"/>
    <x:tableColumn id="2" name="Matter"/>
    <x:tableColumn id="3" name="Period"/>
    <x:tableColumn id="4" name="Allegation / criticism"/>
    <x:tableColumn id="5" name="Claimant / reviewer"/>
    <x:tableColumn id="6" name="Response"/>
    <x:tableColumn id="7" name="Forum"/>
    <x:tableColumn id="8" name="Latest verified status"/>
    <x:tableColumn id="9" name="Finding / disposition / limit"/>
    <x:tableColumn id="10" name="Consequence / open question"/>
    <x:tableColumn id="11" name="Claim type"/>
    <x:tableColumn id="12" name="Phase"/>
    <x:tableColumn id="13" name="Context IDs"/>
    <x:tableColumn id="14" name="Source IDs"/>
  </x:tableColumns>
  <x:tableStyleInfo name="TableStyleLight9" showFirstColumn="0" showLastColumn="0" showRowStripes="1" showColumnStripes="0"/>
</x:table>
</file>

<file path=xl/tables/table13.xml><?xml version="1.0" encoding="utf-8"?>
<x:table xmlns:x="http://schemas.openxmlformats.org/spreadsheetml/2006/main" id="13" name="Legacy" displayName="Legacy" ref="A6:L16" headerRowCount="1" totalsRowCount="0" totalsRowShown="0">
  <x:autoFilter ref="A6:L16"/>
  <x:tableColumns count="12">
    <x:tableColumn id="1" name="Assessment ID"/>
    <x:tableColumn id="2" name="Theme"/>
    <x:tableColumn id="3" name="Period assessed"/>
    <x:tableColumn id="4" name="Assessment"/>
    <x:tableColumn id="5" name="Assessor / standpoint"/>
    <x:tableColumn id="6" name="Evidence basis"/>
    <x:tableColumn id="7" name="Supporting view"/>
    <x:tableColumn id="8" name="Competing view"/>
    <x:tableColumn id="9" name="Consensus / dispute / limit"/>
    <x:tableColumn id="10" name="Phase"/>
    <x:tableColumn id="11" name="Context IDs"/>
    <x:tableColumn id="12" name="Source IDs"/>
  </x:tableColumns>
  <x:tableStyleInfo name="TableStyleLight9" showFirstColumn="0" showLastColumn="0" showRowStripes="1" showColumnStripes="0"/>
</x:table>
</file>

<file path=xl/tables/table14.xml><?xml version="1.0" encoding="utf-8"?>
<x:table xmlns:x="http://schemas.openxmlformats.org/spreadsheetml/2006/main" id="14" name="SourceRegister" displayName="SourceRegister" ref="A6:K53" headerRowCount="1" totalsRowCount="0" totalsRowShown="0">
  <x:autoFilter ref="A6:K53"/>
  <x:tableColumns count="11">
    <x:tableColumn id="1" name="Source ID"/>
    <x:tableColumn id="2" name="Title"/>
    <x:tableColumn id="3" name="Author / issuer"/>
    <x:tableColumn id="4" name="Publisher / site"/>
    <x:tableColumn id="5" name="Publication date / precision"/>
    <x:tableColumn id="6" name="Source class"/>
    <x:tableColumn id="7" name="Evidence role"/>
    <x:tableColumn id="8" name="Source link"/>
    <x:tableColumn id="9" name="Access date"/>
    <x:tableColumn id="10" name="Document locator / supported claims"/>
    <x:tableColumn id="11" name="Standpoint / reliability / limitati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fc0c5fb736d45c6" /><Relationship Type="http://schemas.openxmlformats.org/officeDocument/2006/relationships/table" Target="/xl/tables/table2.xml" Id="Rcd4732544f7c4773" /><Relationship Type="http://schemas.openxmlformats.org/officeDocument/2006/relationships/table" Target="/xl/tables/table3.xml" Id="R4f0d870320104f1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4.xml" Id="R438b91b59ecb4be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5.xml" Id="R9279f344defa49d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6.xml" Id="R9fac0573e3dd469e" /><Relationship Type="http://schemas.openxmlformats.org/officeDocument/2006/relationships/table" Target="/xl/tables/table7.xml" Id="R24067f30048e45e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a1b930decd9644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d237ed7af7da40ba" /><Relationship Type="http://schemas.openxmlformats.org/officeDocument/2006/relationships/table" Target="/xl/tables/table10.xml" Id="Rfa56ca7c920849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a55026cf432e41f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6af5d58833ee45c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5d012f4729e24994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ebdcdd72eb634704" /></Relationships>
</file>

<file path=xl/worksheets/sheet1.xml><?xml version="1.0" encoding="utf-8"?>
<x:worksheet xmlns:x="http://schemas.openxmlformats.org/spreadsheetml/2006/main">
  <x:sheetPr>
    <x:tabColor rgb="FF203C57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24" hidden="0" customWidth="1"/>
    <x:col min="3" max="3" width="79" hidden="0" customWidth="1"/>
    <x:col min="4" max="4" width="25" hidden="0" customWidth="1"/>
    <x:col min="5" max="5" width="24" hidden="0" customWidth="1"/>
    <x:col min="6" max="6" width="64" hidden="0" customWidth="1"/>
  </x:cols>
  <x:sheetData>
    <x:row r="1" ht="12" customHeight="1"/>
    <x:row r="2" ht="25" customHeight="1">
      <x:c r="A2" s="2" t="str">
        <x:v>KCR | Political research</x:v>
      </x:c>
    </x:row>
    <x:row r="3" ht="7" customHeight="1">
      <x:c r="A3" s="3"/>
      <x:c r="B3" s="3"/>
      <x:c r="C3" s="3"/>
      <x:c r="D3" s="3"/>
      <x:c r="E3" s="3"/>
      <x:c r="F3" s="3"/>
    </x:row>
    <x:row r="4" ht="22" customHeight="1">
      <x:c r="A4" s="5" t="str">
        <x:v>Research cutoff: 15 September 2026 • Five career phases • Sources, judgments and uncertainty are identified throughout.</x:v>
      </x:c>
    </x:row>
    <x:row r="5" ht="8" customHeight="1"/>
    <x:row r="6" ht="38" customHeight="1">
      <x:c r="A6" s="14" t="str">
        <x:v>Record ID</x:v>
      </x:c>
      <x:c r="B6" s="15" t="str">
        <x:v>Profile / theme</x:v>
      </x:c>
      <x:c r="C6" s="15" t="str">
        <x:v>Finding or synthesis</x:v>
      </x:c>
      <x:c r="D6" s="15" t="str">
        <x:v>Claim type</x:v>
      </x:c>
      <x:c r="E6" s="15" t="str">
        <x:v>Source IDs</x:v>
      </x:c>
      <x:c r="F6" s="16" t="str">
        <x:v>Evidence note</x:v>
      </x:c>
    </x:row>
    <x:row r="7" ht="40" customHeight="1">
      <x:c r="A7" s="9" t="str">
        <x:v>OV01</x:v>
      </x:c>
      <x:c r="B7" s="9" t="str">
        <x:v>Identity</x:v>
      </x:c>
      <x:c r="C7" s="9" t="str">
        <x:v>Kalvakuntla Chandrashekar Rao; commonly KCR. Also spelled Chandrasekhar / Chandrashekhar Rao.</x:v>
      </x:c>
      <x:c r="D7" s="9" t="str">
        <x:v>Recorded fact</x:v>
      </x:c>
      <x:c r="E7" s="18" t="str">
        <x:v>S001; S002</x:v>
      </x:c>
      <x:c r="F7" s="20" t="str">
        <x:v>Name variants refer to the same politician.</x:v>
      </x:c>
    </x:row>
    <x:row r="8" ht="40" customHeight="1">
      <x:c r="A8" s="17" t="str">
        <x:v>OV02</x:v>
      </x:c>
      <x:c r="B8" s="17" t="str">
        <x:v>Birth and geography</x:v>
      </x:c>
      <x:c r="C8" s="17" t="str">
        <x:v>Born 17 February 1954, Chintamadaka, then Hyderabad State; politically rooted in Siddipet and Telangana. Living at the research cutoff.</x:v>
      </x:c>
      <x:c r="D8" s="17" t="str">
        <x:v>Recorded fact</x:v>
      </x:c>
      <x:c r="E8" s="19" t="str">
        <x:v>S001; S009</x:v>
      </x:c>
      <x:c r="F8" s="21" t="str">
        <x:v>Modern district labels differ from the jurisdiction at birth. Exact birth date uses reference corroboration.</x:v>
      </x:c>
    </x:row>
    <x:row r="9" ht="54" customHeight="1">
      <x:c r="A9" s="9" t="str">
        <x:v>OV03</x:v>
      </x:c>
      <x:c r="B9" s="9" t="str">
        <x:v>Education and profession</x:v>
      </x:c>
      <x:c r="C9" s="9" t="str">
        <x:v>2023 affidavit records BA, Government Degree College, Siddipet, 1972–75; profession: agriculturist.</x:v>
      </x:c>
      <x:c r="D9" s="9" t="str">
        <x:v>Recorded declaration</x:v>
      </x:c>
      <x:c r="E9" s="18" t="str">
        <x:v>S002; S003</x:v>
      </x:c>
      <x:c r="F9" s="20" t="str">
        <x:v>Several biographies report an MA in Telugu literature from Osmania University. This workbook prioritizes the affidavit and records the conflict.</x:v>
      </x:c>
    </x:row>
    <x:row r="10" ht="54" customHeight="1">
      <x:c r="A10" s="17" t="str">
        <x:v>OV04</x:v>
      </x:c>
      <x:c r="B10" s="17" t="str">
        <x:v>Principal offices</x:v>
      </x:c>
      <x:c r="C10" s="17" t="str">
        <x:v>First Chief Minister of Telangana, June 2014–December 2023, across two ministries; Union Labour and Employment minister, 2004–06; earlier Andhra Pradesh minister and deputy speaker.</x:v>
      </x:c>
      <x:c r="D10" s="17" t="str">
        <x:v>Recorded fact</x:v>
      </x:c>
      <x:c r="E10" s="19" t="str">
        <x:v>S001; S009</x:v>
      </x:c>
      <x:c r="F10" s="21" t="str">
        <x:v>Early ministerial dates are less securely sourced than the CM period.</x:v>
      </x:c>
    </x:row>
    <x:row r="11" ht="40" customHeight="1">
      <x:c r="A11" s="9" t="str">
        <x:v>OV05</x:v>
      </x:c>
      <x:c r="B11" s="9" t="str">
        <x:v>Current political role</x:v>
      </x:c>
      <x:c r="C11" s="9" t="str">
        <x:v>BRS leader and Gajwel MLA; recognized as Leader of Opposition in December 2023 and described in that role in February 2026 reporting.</x:v>
      </x:c>
      <x:c r="D11" s="9" t="str">
        <x:v>Recorded fact, time qualified</x:v>
      </x:c>
      <x:c r="E11" s="18" t="str">
        <x:v>S009; S011; S038</x:v>
      </x:c>
      <x:c r="F11" s="20" t="str">
        <x:v>As of 15 September 2026 research cutoff; no contrary office change found.</x:v>
      </x:c>
    </x:row>
    <x:row r="12" ht="54" customHeight="1">
      <x:c r="A12" s="17" t="str">
        <x:v>OV06</x:v>
      </x:c>
      <x:c r="B12" s="17" t="str">
        <x:v>Party trajectory</x:v>
      </x:c>
      <x:c r="C12" s="17" t="str">
        <x:v>Early Congress/Youth Congress association → TDP in the 1980s → founded TRS on 27 April 2001 → party renamed BRS with ECI acceptance in December 2022.</x:v>
      </x:c>
      <x:c r="D12" s="17" t="str">
        <x:v>Recorded fact</x:v>
      </x:c>
      <x:c r="E12" s="19" t="str">
        <x:v>S004; S006; S013; S017</x:v>
      </x:c>
      <x:c r="F12" s="21" t="str">
        <x:v>1983 ballot coding is disputed in biographies; this workbook uses IND with a visible caveat. Rename did not itself confer national-party status.</x:v>
      </x:c>
    </x:row>
    <x:row r="13" ht="54" customHeight="1">
      <x:c r="A13" s="9" t="str">
        <x:v>OV07</x:v>
      </x:c>
      <x:c r="B13" s="9" t="str">
        <x:v>Political constituency</x:v>
      </x:c>
      <x:c r="C13" s="9" t="str">
        <x:v>Telangana regional identity combined with rural welfare, agricultural support and a Hyderabad-centered development pitch; caste and class interests did not move uniformly.</x:v>
      </x:c>
      <x:c r="D13" s="9" t="str">
        <x:v>Analysis</x:v>
      </x:c>
      <x:c r="E13" s="18" t="str">
        <x:v>S005; S014; S021; S032</x:v>
      </x:c>
      <x:c r="F13" s="20" t="str">
        <x:v>Velama identity is reported, but the workbook does not infer caste-wide voting behavior from identity.</x:v>
      </x:c>
    </x:row>
    <x:row r="14" ht="40" customHeight="1">
      <x:c r="A14" s="17" t="str">
        <x:v>OV08</x:v>
      </x:c>
      <x:c r="B14" s="17" t="str">
        <x:v>Consequential contribution</x:v>
      </x:c>
      <x:c r="C14" s="17" t="str">
        <x:v>Created a durable party vehicle for statehood and became the new state’s first CM. State formation also depended on Parliament, Union decisions and a broad movement.</x:v>
      </x:c>
      <x:c r="D14" s="17" t="str">
        <x:v>Analysis</x:v>
      </x:c>
      <x:c r="E14" s="19" t="str">
        <x:v>S005; S006; S007; S008</x:v>
      </x:c>
      <x:c r="F14" s="21" t="str">
        <x:v>Leadership contribution and exclusive authorship are different claims.</x:v>
      </x:c>
    </x:row>
    <x:row r="15" ht="40" customHeight="1">
      <x:c r="A15" s="9" t="str">
        <x:v>OV09</x:v>
      </x:c>
      <x:c r="B15" s="9" t="str">
        <x:v>Governing record</x:v>
      </x:c>
      <x:c r="C15" s="9" t="str">
        <x:v>Expanded transfers and social assistance; pursued water infrastructure and industrial approvals. Coverage, distribution, fiscal costs and service quality vary by programme.</x:v>
      </x:c>
      <x:c r="D15" s="9" t="str">
        <x:v>Analysis</x:v>
      </x:c>
      <x:c r="E15" s="18" t="str">
        <x:v>S018; S020; S021; S023; S024; S025; S034</x:v>
      </x:c>
      <x:c r="F15" s="20" t="str">
        <x:v>Do not equate a launch, expenditure or budget allocation with a measured social outcome.</x:v>
      </x:c>
    </x:row>
    <x:row r="16" ht="40" customHeight="1">
      <x:c r="A16" s="17" t="str">
        <x:v>OV10</x:v>
      </x:c>
      <x:c r="B16" s="17" t="str">
        <x:v>Leadership method</x:v>
      </x:c>
      <x:c r="C16" s="17" t="str">
        <x:v>Combined constituency organization, legislative tactics, coalition changes and public agitation; later relied heavily on centralized leadership and family office-holders.</x:v>
      </x:c>
      <x:c r="D16" s="17" t="str">
        <x:v>Analysis</x:v>
      </x:c>
      <x:c r="E16" s="19" t="str">
        <x:v>S005; S006; S028; S033; S014</x:v>
      </x:c>
      <x:c r="F16" s="21" t="str">
        <x:v>Claims about motives and the causes of electoral defeat remain interpretations.</x:v>
      </x:c>
    </x:row>
    <x:row r="17" ht="40" customHeight="1">
      <x:c r="A17" s="9" t="str">
        <x:v>OV11</x:v>
      </x:c>
      <x:c r="B17" s="9" t="str">
        <x:v>Electoral reversal</x:v>
      </x:c>
      <x:c r="C17" s="9" t="str">
        <x:v>TRS won 88 of 119 Assembly seats in 2018. BRS won 39 in 2023; KCR retained Gajwel but lost Kamareddy. BRS won no Lok Sabha seats in 2024.</x:v>
      </x:c>
      <x:c r="D17" s="9" t="str">
        <x:v>Recorded fact</x:v>
      </x:c>
      <x:c r="E17" s="18" t="str">
        <x:v>S004; S009; S011; S012; S014; S015; S016</x:v>
      </x:c>
      <x:c r="F17" s="20" t="str">
        <x:v>Party tallies are election-day outcomes, not current legislative strength.</x:v>
      </x:c>
    </x:row>
    <x:row r="18" ht="54" customHeight="1">
      <x:c r="A18" s="17" t="str">
        <x:v>OV12</x:v>
      </x:c>
      <x:c r="B18" s="17" t="str">
        <x:v>Accountability</x:v>
      </x:c>
      <x:c r="C18" s="17" t="str">
        <x:v>CAG criticized Kaleshwaram’s planning and economics. April 2026 court reporting describes procedural relief from adverse Ghose commission findings. KCR was questioned in the phone-tapping investigation in February 2026.</x:v>
      </x:c>
      <x:c r="D18" s="17" t="str">
        <x:v>Recorded / attributed, qualified</x:v>
      </x:c>
      <x:c r="E18" s="19" t="str">
        <x:v>S018; S036; S037; S038; S039; S040</x:v>
      </x:c>
      <x:c r="F18" s="21" t="str">
        <x:v>Separate audit findings, commission findings, investigation and criminal guilt. Latest verified dates are visible in Controversies.</x:v>
      </x:c>
    </x:row>
    <x:row r="19" ht="54" customHeight="1">
      <x:c r="A19" s="9" t="str">
        <x:v>OV13</x:v>
      </x:c>
      <x:c r="B19" s="9" t="str">
        <x:v>Gender and era</x:v>
      </x:c>
      <x:c r="C19" s="9" t="str">
        <x:v>No woman served in his first cabinet; two women joined in September 2019. Marriage and maternity assistance had gender-specific designs. Gender effects on KCR’s own recruitment and security are not established by this source set.</x:v>
      </x:c>
      <x:c r="D19" s="9" t="str">
        <x:v>Analysis with explicit gaps</x:v>
      </x:c>
      <x:c r="E19" s="18" t="str">
        <x:v>S023; S027; S028; S029; S030</x:v>
      </x:c>
      <x:c r="F19" s="20" t="str">
        <x:v>Context &amp; Constraints reviews ten gender and ten era items for each of five phases.</x:v>
      </x:c>
    </x:row>
    <x:row r="20" ht="40" customHeight="1">
      <x:c r="A20" s="17" t="str">
        <x:v>OV14</x:v>
      </x:c>
      <x:c r="B20" s="17" t="str">
        <x:v>Reading this workbook</x:v>
      </x:c>
      <x:c r="C20" s="17" t="str">
        <x:v>Filter tables by phase, claim type or Source IDs. Follow S-codes to Sources. Personal election counts include separate seats contested together and by-elections.</x:v>
      </x:c>
      <x:c r="D20" s="17" t="str">
        <x:v>Method</x:v>
      </x:c>
      <x:c r="E20" s="19" t="str">
        <x:v>Workbook method</x:v>
      </x:c>
      <x:c r="F20" s="21" t="str">
        <x:v>Missing/Not verified means no reliable value established; it is never zero. Provisional figures require primary-return verification.</x:v>
      </x:c>
    </x:row>
    <x:row r="21" ht="54" customHeight="1">
      <x:c r="A21" s="9" t="str">
        <x:v>OV15</x:v>
      </x:c>
      <x:c r="B21" s="9" t="str">
        <x:v>Evidence coverage</x:v>
      </x:c>
      <x:c r="C21" s="9" t="str">
        <x:v>Research prioritizes statutes, affidavits, CAG, budgets and field research, with independent and interested reporting labeled separately.</x:v>
      </x:c>
      <x:c r="D21" s="9" t="str">
        <x:v>Method</x:v>
      </x:c>
      <x:c r="E21" s="18" t="str">
        <x:v>S001–S047</x:v>
      </x:c>
      <x:c r="F21" s="20" t="str">
        <x:v>Older ECI/CEO returns and the full April 2026 judgment were not retrieved. English sources dominate; no systematic Telugu archive review or original interviews.</x:v>
      </x:c>
    </x:row>
    <x:row r="22" ht="40" customHeight="1">
      <x:c r="A22" s="17" t="str">
        <x:v>OV16</x:v>
      </x:c>
      <x:c r="B22" s="17" t="str">
        <x:v>Cutoff</x:v>
      </x:c>
      <x:c r="C22" s="17" t="str">
        <x:v>15 September 2026. Legal and political records retain their own latest verified dates.</x:v>
      </x:c>
      <x:c r="D22" s="17" t="str">
        <x:v>Method</x:v>
      </x:c>
      <x:c r="E22" s="19" t="str">
        <x:v>Workbook method</x:v>
      </x:c>
      <x:c r="F22" s="21" t="str">
        <x:v>The absence of a later retrieved report is not proof that no later event occurred.</x:v>
      </x:c>
    </x:row>
    <x:row r="25" ht="38" customHeight="1">
      <x:c r="A25" s="14" t="str">
        <x:v>Measure</x:v>
      </x:c>
      <x:c r="B25" s="15" t="str">
        <x:v>Value</x:v>
      </x:c>
      <x:c r="C25" s="15" t="str">
        <x:v>Counting rule</x:v>
      </x:c>
      <x:c r="D25" s="15" t="str">
        <x:v>Evidence basis</x:v>
      </x:c>
      <x:c r="E25" s="15" t="str">
        <x:v>Source IDs</x:v>
      </x:c>
      <x:c r="F25" s="16" t="str">
        <x:v>Limit</x:v>
      </x:c>
    </x:row>
    <x:row r="26" ht="40" customHeight="1">
      <x:c r="A26" s="9" t="str">
        <x:v>Personal contests</x:v>
      </x:c>
      <x:c r="B26" s="50" t="n">
        <x:f>COUNTA('Elections'!A7:A22)</x:f>
        <x:v>16</x:v>
      </x:c>
      <x:c r="C26" s="9" t="str">
        <x:v>Each constituency contested, including by-elections and dual-seat contests.</x:v>
      </x:c>
      <x:c r="D26" s="9" t="str">
        <x:v>Formula: Elections main table</x:v>
      </x:c>
      <x:c r="E26" s="18" t="str">
        <x:v>S006; S009; S010; S011; S012; S013</x:v>
      </x:c>
      <x:c r="F26" s="9" t="str">
        <x:v>Provisional vote counts do not change recorded win/loss totals.</x:v>
      </x:c>
    </x:row>
    <x:row r="27" ht="40" customHeight="1">
      <x:c r="A27" s="17" t="str">
        <x:v>Personal wins</x:v>
      </x:c>
      <x:c r="B27" s="52" t="n">
        <x:f>COUNTIF('Elections'!F7:F22,"Won")</x:f>
        <x:v>14</x:v>
      </x:c>
      <x:c r="C27" s="17" t="str">
        <x:v>Winning contests; includes seats subsequently relinquished.</x:v>
      </x:c>
      <x:c r="D27" s="17" t="str">
        <x:v>Formula: result = Won</x:v>
      </x:c>
      <x:c r="E27" s="19" t="str">
        <x:v>Elections</x:v>
      </x:c>
      <x:c r="F27" s="17" t="str">
        <x:v>Office tenure counts are different.</x:v>
      </x:c>
    </x:row>
    <x:row r="28" ht="40" customHeight="1">
      <x:c r="A28" s="9" t="str">
        <x:v>Personal losses</x:v>
      </x:c>
      <x:c r="B28" s="50" t="n">
        <x:f>COUNTIF('Elections'!F7:F22,"Lost")</x:f>
        <x:v>2</x:v>
      </x:c>
      <x:c r="C28" s="9" t="str">
        <x:v>1983 Siddipet and 2023 Kamareddy.</x:v>
      </x:c>
      <x:c r="D28" s="9" t="str">
        <x:v>Formula: result = Lost</x:v>
      </x:c>
      <x:c r="E28" s="18" t="str">
        <x:v>S009; S012; S013</x:v>
      </x:c>
      <x:c r="F28" s="9" t="str">
        <x:v>2023 Gajwel victory is separately counted.</x:v>
      </x:c>
    </x:row>
    <x:row r="29" ht="40" customHeight="1">
      <x:c r="A29" s="17" t="str">
        <x:v>Sources catalogued</x:v>
      </x:c>
      <x:c r="B29" s="52" t="n">
        <x:f>COUNTA('Sources'!A7:A53)</x:f>
        <x:v>47</x:v>
      </x:c>
      <x:c r="C29" s="17" t="str">
        <x:v>Distinct source records, not all independent reporting.</x:v>
      </x:c>
      <x:c r="D29" s="17" t="str">
        <x:v>Formula: Sources table</x:v>
      </x:c>
      <x:c r="E29" s="19" t="str">
        <x:v>Sources</x:v>
      </x:c>
      <x:c r="F29" s="17" t="str">
        <x:v>Joint or syndicated reports do not become independent merely by appearing twice.</x:v>
      </x:c>
    </x:row>
    <x:row r="30" ht="54" customHeight="1">
      <x:c r="A30" s="9" t="str">
        <x:v>Context coverage records</x:v>
      </x:c>
      <x:c r="B30" s="50" t="n">
        <x:f>COUNTA('Context &amp; Constraints'!A7:A106)</x:f>
        <x:v>100</x:v>
      </x:c>
      <x:c r="C30" s="9" t="str">
        <x:v>Ten era and ten gender items across five phases.</x:v>
      </x:c>
      <x:c r="D30" s="9" t="str">
        <x:v>Formula: Context table</x:v>
      </x:c>
      <x:c r="E30" s="18" t="str">
        <x:v>Context &amp; Constraints</x:v>
      </x:c>
      <x:c r="F30" s="9" t="str">
        <x:v>A coverage record may identify a gap rather than a positive finding.</x:v>
      </x:c>
    </x:row>
    <x:row r="33" ht="38" customHeight="1">
      <x:c r="A33" s="14" t="str">
        <x:v>Phase ID</x:v>
      </x:c>
      <x:c r="B33" s="15" t="str">
        <x:v>Career phase</x:v>
      </x:c>
      <x:c r="C33" s="15" t="str">
        <x:v>Period</x:v>
      </x:c>
      <x:c r="D33" s="15" t="str">
        <x:v>Transition / scope</x:v>
      </x:c>
      <x:c r="E33" s="15" t="str">
        <x:v>Source IDs</x:v>
      </x:c>
      <x:c r="F33" s="16" t="str">
        <x:v>Period note</x:v>
      </x:c>
    </x:row>
    <x:row r="34" ht="54" customHeight="1">
      <x:c r="A34" s="9" t="str">
        <x:v>P1</x:v>
      </x:c>
      <x:c r="B34" s="9" t="str">
        <x:v>Formative and TDP career</x:v>
      </x:c>
      <x:c r="C34" s="9" t="str">
        <x:v>1970s–26 Apr 2001</x:v>
      </x:c>
      <x:c r="D34" s="9" t="str">
        <x:v>Congress-linked entry; Siddipet base; TDP minister and deputy speaker.</x:v>
      </x:c>
      <x:c r="E34" s="18" t="str">
        <x:v>See phase records</x:v>
      </x:c>
      <x:c r="F34" s="20" t="str">
        <x:v>Analytical periodization; offices may overlap phase boundaries.</x:v>
      </x:c>
    </x:row>
    <x:row r="35" ht="54" customHeight="1">
      <x:c r="A35" s="17" t="str">
        <x:v>P2</x:v>
      </x:c>
      <x:c r="B35" s="17" t="str">
        <x:v>TRS movement and coalitions</x:v>
      </x:c>
      <x:c r="C35" s="17" t="str">
        <x:v>27 Apr 2001–1 Jun 2014</x:v>
      </x:c>
      <x:c r="D35" s="17" t="str">
        <x:v>Regional party creation; Union coalition bargaining; mass statehood campaign.</x:v>
      </x:c>
      <x:c r="E35" s="19" t="str">
        <x:v>See phase records</x:v>
      </x:c>
      <x:c r="F35" s="21" t="str">
        <x:v>Analytical periodization; offices may overlap phase boundaries.</x:v>
      </x:c>
    </x:row>
    <x:row r="36" ht="68" customHeight="1">
      <x:c r="A36" s="9" t="str">
        <x:v>P3</x:v>
      </x:c>
      <x:c r="B36" s="9" t="str">
        <x:v>State creation and first CM term</x:v>
      </x:c>
      <x:c r="C36" s="9" t="str">
        <x:v>2 Jun 2014–12 Dec 2018</x:v>
      </x:c>
      <x:c r="D36" s="9" t="str">
        <x:v>Build state institutions; launch welfare and infrastructure; win early election.</x:v>
      </x:c>
      <x:c r="E36" s="18" t="str">
        <x:v>See phase records</x:v>
      </x:c>
      <x:c r="F36" s="20" t="str">
        <x:v>Analytical periodization; offices may overlap phase boundaries.</x:v>
      </x:c>
    </x:row>
    <x:row r="37" ht="54" customHeight="1">
      <x:c r="A37" s="17" t="str">
        <x:v>P4</x:v>
      </x:c>
      <x:c r="B37" s="17" t="str">
        <x:v>Second CM term and BRS expansion</x:v>
      </x:c>
      <x:c r="C37" s="17" t="str">
        <x:v>13 Dec 2018–6 Dec 2023</x:v>
      </x:c>
      <x:c r="D37" s="17" t="str">
        <x:v>Larger mandate; pandemic; national ambition; Assembly defeat.</x:v>
      </x:c>
      <x:c r="E37" s="19" t="str">
        <x:v>See phase records</x:v>
      </x:c>
      <x:c r="F37" s="21" t="str">
        <x:v>Analytical periodization; offices may overlap phase boundaries.</x:v>
      </x:c>
    </x:row>
    <x:row r="38" ht="68" customHeight="1">
      <x:c r="A38" s="9" t="str">
        <x:v>P5</x:v>
      </x:c>
      <x:c r="B38" s="9" t="str">
        <x:v>Opposition and reassessment</x:v>
      </x:c>
      <x:c r="C38" s="9" t="str">
        <x:v>7 Dec 2023–15 Sep 2026</x:v>
      </x:c>
      <x:c r="D38" s="9" t="str">
        <x:v>Gajwel MLA and opposition leader; Lok Sabha losses; inquiries and party strains.</x:v>
      </x:c>
      <x:c r="E38" s="18" t="str">
        <x:v>See phase records</x:v>
      </x:c>
      <x:c r="F38" s="20" t="str">
        <x:v>Analytical periodization; offices may overlap phase boundaries.</x:v>
      </x:c>
    </x:row>
  </x:sheetData>
  <x:pageMargins left="0.7" right="0.7" top="0.75" bottom="0.75" header="0.3" footer="0.3"/>
  <x:tableParts count="3">
    <x:tablePart xmlns:r="http://schemas.openxmlformats.org/officeDocument/2006/relationships" r:id="R3fc0c5fb736d45c6"/>
    <x:tablePart xmlns:r="http://schemas.openxmlformats.org/officeDocument/2006/relationships" r:id="Rcd4732544f7c4773"/>
    <x:tablePart xmlns:r="http://schemas.openxmlformats.org/officeDocument/2006/relationships" r:id="R4f0d870320104f1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9" hidden="0" customWidth="1"/>
    <x:col min="3" max="3" width="25" hidden="0" customWidth="1"/>
    <x:col min="4" max="4" width="12" hidden="0" customWidth="1"/>
    <x:col min="5" max="5" width="29" hidden="0" customWidth="1"/>
    <x:col min="6" max="6" width="24" hidden="0" customWidth="1"/>
    <x:col min="7" max="7" width="55" hidden="0" customWidth="1"/>
    <x:col min="8" max="8" width="55" hidden="0" customWidth="1"/>
    <x:col min="9" max="9" width="50" hidden="0" customWidth="1"/>
    <x:col min="10" max="10" width="47" hidden="0" customWidth="1"/>
    <x:col min="11" max="11" width="45" hidden="0" customWidth="1"/>
    <x:col min="12" max="12" width="25" hidden="0" customWidth="1"/>
    <x:col min="13" max="13" width="30" hidden="0" customWidth="1"/>
    <x:col min="14" max="14" width="25" hidden="0" customWidth="1"/>
  </x:cols>
  <x:sheetData>
    <x:row r="1" ht="12" customHeight="1"/>
    <x:row r="2" ht="25" customHeight="1">
      <x:c r="A2" s="2" t="str">
        <x:v>Context and constraints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2" customHeight="1">
      <x:c r="A4" s="5" t="str">
        <x:v>Ten era and ten gender coverage items for each phase; “Evidence not found” is a research gap, not proof of absence.</x:v>
      </x:c>
    </x:row>
    <x:row r="5" ht="8" customHeight="1"/>
    <x:row r="6" ht="38" customHeight="1">
      <x:c r="A6" s="14" t="str">
        <x:v>Context ID</x:v>
      </x:c>
      <x:c r="B6" s="15" t="str">
        <x:v>Phase</x:v>
      </x:c>
      <x:c r="C6" s="15" t="str">
        <x:v>Period</x:v>
      </x:c>
      <x:c r="D6" s="15" t="str">
        <x:v>Dimension</x:v>
      </x:c>
      <x:c r="E6" s="15" t="str">
        <x:v>Coverage item</x:v>
      </x:c>
      <x:c r="F6" s="15" t="str">
        <x:v>Disposition</x:v>
      </x:c>
      <x:c r="G6" s="15" t="str">
        <x:v>Evidence / finding</x:v>
      </x:c>
      <x:c r="H6" s="15" t="str">
        <x:v>Mechanism / inference</x:v>
      </x:c>
      <x:c r="I6" s="15" t="str">
        <x:v>Contemporary comparison / alternatives</x:v>
      </x:c>
      <x:c r="J6" s="15" t="str">
        <x:v>Presentism caution</x:v>
      </x:c>
      <x:c r="K6" s="15" t="str">
        <x:v>Evidence limitation</x:v>
      </x:c>
      <x:c r="L6" s="15" t="str">
        <x:v>Claim type</x:v>
      </x:c>
      <x:c r="M6" s="15" t="str">
        <x:v>Corroboration / scope</x:v>
      </x:c>
      <x:c r="N6" s="16" t="str">
        <x:v>Source IDs</x:v>
      </x:c>
    </x:row>
    <x:row r="7" ht="54" customHeight="1">
      <x:c r="A7" s="9" t="str">
        <x:v>P1-E01</x:v>
      </x:c>
      <x:c r="B7" s="9" t="str">
        <x:v>P1</x:v>
      </x:c>
      <x:c r="C7" s="9" t="str">
        <x:v>1970s–26 Apr 2001</x:v>
      </x:c>
      <x:c r="D7" s="9" t="str">
        <x:v>Era</x:v>
      </x:c>
      <x:c r="E7" s="9" t="str">
        <x:v>Party system</x:v>
      </x:c>
      <x:c r="F7" s="9" t="str">
        <x:v>Material finding</x:v>
      </x:c>
      <x:c r="G7" s="9" t="str">
        <x:v>Congress and TDP framed the statewide arena; KCR built his Siddipet career within it.</x:v>
      </x:c>
      <x:c r="H7" s="9" t="str">
        <x:v>A territorial movement party was a later organizational choice.</x:v>
      </x:c>
      <x:c r="I7" s="9" t="str">
        <x:v>AP TDP and Congress legislators of the period; feasible alternatives included building a base inside a statewide party.</x:v>
      </x:c>
      <x:c r="J7" s="20" t="str">
        <x:v>Do not backdate Telangana state institutions or present-day constituencies to the 1980s.</x:v>
      </x:c>
      <x:c r="K7" s="20" t="str">
        <x:v>Sparse original appointment records and inconsistent retrospective biographies.</x:v>
      </x:c>
      <x:c r="L7" s="9" t="str">
        <x:v>Recorded premise + labeled analysis</x:v>
      </x:c>
      <x:c r="M7" s="9" t="str">
        <x:v>See cited sources; inference is not an additional observed fact</x:v>
      </x:c>
      <x:c r="N7" s="18" t="str">
        <x:v>S004; S005</x:v>
      </x:c>
    </x:row>
    <x:row r="8" ht="54" customHeight="1">
      <x:c r="A8" s="17" t="str">
        <x:v>P1-E02</x:v>
      </x:c>
      <x:c r="B8" s="17" t="str">
        <x:v>P1</x:v>
      </x:c>
      <x:c r="C8" s="17" t="str">
        <x:v>1970s–26 Apr 2001</x:v>
      </x:c>
      <x:c r="D8" s="17" t="str">
        <x:v>Era</x:v>
      </x:c>
      <x:c r="E8" s="17" t="str">
        <x:v>Constitutional and institutional environment</x:v>
      </x:c>
      <x:c r="F8" s="17" t="str">
        <x:v>Material finding</x:v>
      </x:c>
      <x:c r="G8" s="17" t="str">
        <x:v>Ministerial work and the deputy speakership preceded TRS.</x:v>
      </x:c>
      <x:c r="H8" s="17" t="str">
        <x:v>Experience in executive and legislative procedure provided institutional resources; its exact later effect is interpretive.</x:v>
      </x:c>
      <x:c r="I8" s="17" t="str">
        <x:v>AP TDP and Congress legislators of the period; feasible alternatives included building a base inside a statewide party.</x:v>
      </x:c>
      <x:c r="J8" s="21" t="str">
        <x:v>Do not backdate Telangana state institutions or present-day constituencies to the 1980s.</x:v>
      </x:c>
      <x:c r="K8" s="21" t="str">
        <x:v>Sparse original appointment records and inconsistent retrospective biographies.</x:v>
      </x:c>
      <x:c r="L8" s="17" t="str">
        <x:v>Recorded premise + labeled analysis</x:v>
      </x:c>
      <x:c r="M8" s="17" t="str">
        <x:v>See cited sources; inference is not an additional observed fact</x:v>
      </x:c>
      <x:c r="N8" s="19" t="str">
        <x:v>S001; S009</x:v>
      </x:c>
    </x:row>
    <x:row r="9" ht="54" customHeight="1">
      <x:c r="A9" s="9" t="str">
        <x:v>P1-E03</x:v>
      </x:c>
      <x:c r="B9" s="9" t="str">
        <x:v>P1</x:v>
      </x:c>
      <x:c r="C9" s="9" t="str">
        <x:v>1970s–26 Apr 2001</x:v>
      </x:c>
      <x:c r="D9" s="9" t="str">
        <x:v>Era</x:v>
      </x:c>
      <x:c r="E9" s="9" t="str">
        <x:v>Electoral environment</x:v>
      </x:c>
      <x:c r="F9" s="9" t="str">
        <x:v>Conflicting evidence</x:v>
      </x:c>
      <x:c r="G9" s="9" t="str">
        <x:v>Lost Siddipet in 1983, then won four general elections through 1999; 1983 ballot-party accounts differ.</x:v>
      </x:c>
      <x:c r="H9" s="9" t="str">
        <x:v>Separate ballot coding from later party identity; raw vote errors are visible in Elections.</x:v>
      </x:c>
      <x:c r="I9" s="9" t="str">
        <x:v>AP TDP and Congress legislators of the period; feasible alternatives included building a base inside a statewide party.</x:v>
      </x:c>
      <x:c r="J9" s="20" t="str">
        <x:v>Do not backdate Telangana state institutions or present-day constituencies to the 1980s.</x:v>
      </x:c>
      <x:c r="K9" s="20" t="str">
        <x:v>Sparse original appointment records and inconsistent retrospective biographies.</x:v>
      </x:c>
      <x:c r="L9" s="9" t="str">
        <x:v>Uncertain / research limitation</x:v>
      </x:c>
      <x:c r="M9" s="9" t="str">
        <x:v>Disposition limited to reviewed source set</x:v>
      </x:c>
      <x:c r="N9" s="18" t="str">
        <x:v>S004; S009; S013</x:v>
      </x:c>
    </x:row>
    <x:row r="10" ht="54" customHeight="1">
      <x:c r="A10" s="17" t="str">
        <x:v>P1-E04</x:v>
      </x:c>
      <x:c r="B10" s="17" t="str">
        <x:v>P1</x:v>
      </x:c>
      <x:c r="C10" s="17" t="str">
        <x:v>1970s–26 Apr 2001</x:v>
      </x:c>
      <x:c r="D10" s="17" t="str">
        <x:v>Era</x:v>
      </x:c>
      <x:c r="E10" s="17" t="str">
        <x:v>Economic regime</x:v>
      </x:c>
      <x:c r="F10" s="17" t="str">
        <x:v>Research limitation</x:v>
      </x:c>
      <x:c r="G10" s="17" t="str">
        <x:v>Source set establishes state office and a rural constituency, but does not reconstruct comparable 1980s–90s fiscal accounts.</x:v>
      </x:c>
      <x:c r="H10" s="17" t="str">
        <x:v>Do not assign a precise early economic policy legacy from later CM programmes.</x:v>
      </x:c>
      <x:c r="I10" s="17" t="str">
        <x:v>AP TDP and Congress legislators of the period; feasible alternatives included building a base inside a statewide party.</x:v>
      </x:c>
      <x:c r="J10" s="21" t="str">
        <x:v>Do not backdate Telangana state institutions or present-day constituencies to the 1980s.</x:v>
      </x:c>
      <x:c r="K10" s="21" t="str">
        <x:v>Sparse original appointment records and inconsistent retrospective biographies.</x:v>
      </x:c>
      <x:c r="L10" s="17" t="str">
        <x:v>Uncertain / research limitation</x:v>
      </x:c>
      <x:c r="M10" s="17" t="str">
        <x:v>Disposition limited to reviewed source set</x:v>
      </x:c>
      <x:c r="N10" s="19" t="str">
        <x:v>S001; S004; S009</x:v>
      </x:c>
    </x:row>
    <x:row r="11" ht="54" customHeight="1">
      <x:c r="A11" s="9" t="str">
        <x:v>P1-E05</x:v>
      </x:c>
      <x:c r="B11" s="9" t="str">
        <x:v>P1</x:v>
      </x:c>
      <x:c r="C11" s="9" t="str">
        <x:v>1970s–26 Apr 2001</x:v>
      </x:c>
      <x:c r="D11" s="9" t="str">
        <x:v>Era</x:v>
      </x:c>
      <x:c r="E11" s="9" t="str">
        <x:v>International system</x:v>
      </x:c>
      <x:c r="F11" s="9" t="str">
        <x:v>Not materially relevant</x:v>
      </x:c>
      <x:c r="G11" s="9" t="str">
        <x:v>No independent foreign-policy authority or specific international intervention is documented in his early roles.</x:v>
      </x:c>
      <x:c r="H11" s="9" t="str">
        <x:v>International background is indirect here; no causal effect on his rise is established.</x:v>
      </x:c>
      <x:c r="I11" s="9" t="str">
        <x:v>AP TDP and Congress legislators of the period; feasible alternatives included building a base inside a statewide party.</x:v>
      </x:c>
      <x:c r="J11" s="20" t="str">
        <x:v>Do not backdate Telangana state institutions or present-day constituencies to the 1980s.</x:v>
      </x:c>
      <x:c r="K11" s="20" t="str">
        <x:v>Sparse original appointment records and inconsistent retrospective biographies.</x:v>
      </x:c>
      <x:c r="L11" s="9" t="str">
        <x:v>Scope judgment</x:v>
      </x:c>
      <x:c r="M11" s="9" t="str">
        <x:v>Disposition limited to reviewed source set</x:v>
      </x:c>
      <x:c r="N11" s="18" t="str">
        <x:v>S001; S009</x:v>
      </x:c>
    </x:row>
    <x:row r="12" ht="54" customHeight="1">
      <x:c r="A12" s="17" t="str">
        <x:v>P1-E06</x:v>
      </x:c>
      <x:c r="B12" s="17" t="str">
        <x:v>P1</x:v>
      </x:c>
      <x:c r="C12" s="17" t="str">
        <x:v>1970s–26 Apr 2001</x:v>
      </x:c>
      <x:c r="D12" s="17" t="str">
        <x:v>Era</x:v>
      </x:c>
      <x:c r="E12" s="17" t="str">
        <x:v>Media and campaigning</x:v>
      </x:c>
      <x:c r="F12" s="17" t="str">
        <x:v>Material finding</x:v>
      </x:c>
      <x:c r="G12" s="17" t="str">
        <x:v>Retrospective accounts emphasize constituency work and speaking ability.</x:v>
      </x:c>
      <x:c r="H12" s="17" t="str">
        <x:v>An early base should not be explained with today’s social-media campaign model.</x:v>
      </x:c>
      <x:c r="I12" s="17" t="str">
        <x:v>AP TDP and Congress legislators of the period; feasible alternatives included building a base inside a statewide party.</x:v>
      </x:c>
      <x:c r="J12" s="21" t="str">
        <x:v>Do not backdate Telangana state institutions or present-day constituencies to the 1980s.</x:v>
      </x:c>
      <x:c r="K12" s="21" t="str">
        <x:v>Sparse original appointment records and inconsistent retrospective biographies.</x:v>
      </x:c>
      <x:c r="L12" s="17" t="str">
        <x:v>Recorded premise + labeled analysis</x:v>
      </x:c>
      <x:c r="M12" s="17" t="str">
        <x:v>See cited sources; inference is not an additional observed fact</x:v>
      </x:c>
      <x:c r="N12" s="19" t="str">
        <x:v>S001; S004</x:v>
      </x:c>
    </x:row>
    <x:row r="13" ht="54" customHeight="1">
      <x:c r="A13" s="9" t="str">
        <x:v>P1-E07</x:v>
      </x:c>
      <x:c r="B13" s="9" t="str">
        <x:v>P1</x:v>
      </x:c>
      <x:c r="C13" s="9" t="str">
        <x:v>1970s–26 Apr 2001</x:v>
      </x:c>
      <x:c r="D13" s="9" t="str">
        <x:v>Era</x:v>
      </x:c>
      <x:c r="E13" s="9" t="str">
        <x:v>Political organization</x:v>
      </x:c>
      <x:c r="F13" s="9" t="str">
        <x:v>Material finding</x:v>
      </x:c>
      <x:c r="G13" s="9" t="str">
        <x:v>Repeated Siddipet wins and TDP organizational positions preceded party founding.</x:v>
      </x:c>
      <x:c r="H13" s="9" t="str">
        <x:v>Local electoral resources were portable, although their exact contribution to TRS formation is unmeasured.</x:v>
      </x:c>
      <x:c r="I13" s="9" t="str">
        <x:v>AP TDP and Congress legislators of the period; feasible alternatives included building a base inside a statewide party.</x:v>
      </x:c>
      <x:c r="J13" s="20" t="str">
        <x:v>Do not backdate Telangana state institutions or present-day constituencies to the 1980s.</x:v>
      </x:c>
      <x:c r="K13" s="20" t="str">
        <x:v>Sparse original appointment records and inconsistent retrospective biographies.</x:v>
      </x:c>
      <x:c r="L13" s="9" t="str">
        <x:v>Recorded premise + labeled analysis</x:v>
      </x:c>
      <x:c r="M13" s="9" t="str">
        <x:v>See cited sources; inference is not an additional observed fact</x:v>
      </x:c>
      <x:c r="N13" s="18" t="str">
        <x:v>S004; S009</x:v>
      </x:c>
    </x:row>
    <x:row r="14" ht="54" customHeight="1">
      <x:c r="A14" s="17" t="str">
        <x:v>P1-E08</x:v>
      </x:c>
      <x:c r="B14" s="17" t="str">
        <x:v>P1</x:v>
      </x:c>
      <x:c r="C14" s="17" t="str">
        <x:v>1970s–26 Apr 2001</x:v>
      </x:c>
      <x:c r="D14" s="17" t="str">
        <x:v>Era</x:v>
      </x:c>
      <x:c r="E14" s="17" t="str">
        <x:v>Social environment</x:v>
      </x:c>
      <x:c r="F14" s="17" t="str">
        <x:v>Material finding</x:v>
      </x:c>
      <x:c r="G14" s="17" t="str">
        <x:v>Regional and linguistic identity later became a basis for breaking from TDP.</x:v>
      </x:c>
      <x:c r="H14" s="17" t="str">
        <x:v>Telugu statewide politics and Telangana regional claims were distinct political frames.</x:v>
      </x:c>
      <x:c r="I14" s="17" t="str">
        <x:v>AP TDP and Congress legislators of the period; feasible alternatives included building a base inside a statewide party.</x:v>
      </x:c>
      <x:c r="J14" s="21" t="str">
        <x:v>Do not backdate Telangana state institutions or present-day constituencies to the 1980s.</x:v>
      </x:c>
      <x:c r="K14" s="21" t="str">
        <x:v>Sparse original appointment records and inconsistent retrospective biographies.</x:v>
      </x:c>
      <x:c r="L14" s="17" t="str">
        <x:v>Recorded premise + labeled analysis</x:v>
      </x:c>
      <x:c r="M14" s="17" t="str">
        <x:v>See cited sources; inference is not an additional observed fact</x:v>
      </x:c>
      <x:c r="N14" s="19" t="str">
        <x:v>S005</x:v>
      </x:c>
    </x:row>
    <x:row r="15" ht="54" customHeight="1">
      <x:c r="A15" s="9" t="str">
        <x:v>P1-E09</x:v>
      </x:c>
      <x:c r="B15" s="9" t="str">
        <x:v>P1</x:v>
      </x:c>
      <x:c r="C15" s="9" t="str">
        <x:v>1970s–26 Apr 2001</x:v>
      </x:c>
      <x:c r="D15" s="9" t="str">
        <x:v>Era</x:v>
      </x:c>
      <x:c r="E15" s="9" t="str">
        <x:v>State structure and geography</x:v>
      </x:c>
      <x:c r="F15" s="9" t="str">
        <x:v>Material finding</x:v>
      </x:c>
      <x:c r="G15" s="9" t="str">
        <x:v>Siddipet was in undivided Andhra Pradesh during the early electoral career.</x:v>
      </x:c>
      <x:c r="H15" s="9" t="str">
        <x:v>Modern Telangana labels may orient readers but cannot replace historical jurisdiction.</x:v>
      </x:c>
      <x:c r="I15" s="9" t="str">
        <x:v>AP TDP and Congress legislators of the period; feasible alternatives included building a base inside a statewide party.</x:v>
      </x:c>
      <x:c r="J15" s="20" t="str">
        <x:v>Do not backdate Telangana state institutions or present-day constituencies to the 1980s.</x:v>
      </x:c>
      <x:c r="K15" s="20" t="str">
        <x:v>Sparse original appointment records and inconsistent retrospective biographies.</x:v>
      </x:c>
      <x:c r="L15" s="9" t="str">
        <x:v>Recorded premise + labeled analysis</x:v>
      </x:c>
      <x:c r="M15" s="9" t="str">
        <x:v>See cited sources; inference is not an additional observed fact</x:v>
      </x:c>
      <x:c r="N15" s="18" t="str">
        <x:v>S009; S007</x:v>
      </x:c>
    </x:row>
    <x:row r="16" ht="54" customHeight="1">
      <x:c r="A16" s="17" t="str">
        <x:v>P1-E10</x:v>
      </x:c>
      <x:c r="B16" s="17" t="str">
        <x:v>P1</x:v>
      </x:c>
      <x:c r="C16" s="17" t="str">
        <x:v>1970s–26 Apr 2001</x:v>
      </x:c>
      <x:c r="D16" s="17" t="str">
        <x:v>Era</x:v>
      </x:c>
      <x:c r="E16" s="17" t="str">
        <x:v>Evidence environment</x:v>
      </x:c>
      <x:c r="F16" s="17" t="str">
        <x:v>Research limitation</x:v>
      </x:c>
      <x:c r="G16" s="17" t="str">
        <x:v>Education and early portfolio dates conflict across biographies and declarations.</x:v>
      </x:c>
      <x:c r="H16" s="17" t="str">
        <x:v>Prioritize affidavit education; retain uncertain office chronology instead of false exact dates.</x:v>
      </x:c>
      <x:c r="I16" s="17" t="str">
        <x:v>AP TDP and Congress legislators of the period; feasible alternatives included building a base inside a statewide party.</x:v>
      </x:c>
      <x:c r="J16" s="21" t="str">
        <x:v>Do not backdate Telangana state institutions or present-day constituencies to the 1980s.</x:v>
      </x:c>
      <x:c r="K16" s="21" t="str">
        <x:v>Sparse original appointment records and inconsistent retrospective biographies.</x:v>
      </x:c>
      <x:c r="L16" s="17" t="str">
        <x:v>Uncertain / research limitation</x:v>
      </x:c>
      <x:c r="M16" s="17" t="str">
        <x:v>Disposition limited to reviewed source set</x:v>
      </x:c>
      <x:c r="N16" s="19" t="str">
        <x:v>S001; S002; S003; S004; S009</x:v>
      </x:c>
    </x:row>
    <x:row r="17" ht="54" customHeight="1">
      <x:c r="A17" s="9" t="str">
        <x:v>P1-G01</x:v>
      </x:c>
      <x:c r="B17" s="9" t="str">
        <x:v>P1</x:v>
      </x:c>
      <x:c r="C17" s="9" t="str">
        <x:v>1970s–26 Apr 2001</x:v>
      </x:c>
      <x:c r="D17" s="9" t="str">
        <x:v>Gender</x:v>
      </x:c>
      <x:c r="E17" s="9" t="str">
        <x:v>Entry and advancement</x:v>
      </x:c>
      <x:c r="F17" s="9" t="str">
        <x:v>Evidence not found</x:v>
      </x:c>
      <x:c r="G17" s="9" t="str">
        <x:v>No source establishes a specific gender barrier or advantage in KCR’s initial recruitment.</x:v>
      </x:c>
      <x:c r="H17" s="9" t="str">
        <x:v>Male identity alone is not proof of a causal recruitment advantage.</x:v>
      </x:c>
      <x:c r="I17" s="9" t="str">
        <x:v>AP TDP and Congress legislators of the period; feasible alternatives included building a base inside a statewide party.</x:v>
      </x:c>
      <x:c r="J17" s="20" t="str">
        <x:v>Do not backdate Telangana state institutions or present-day constituencies to the 1980s.</x:v>
      </x:c>
      <x:c r="K17" s="20" t="str">
        <x:v>Sparse original appointment records and inconsistent retrospective biographies.</x:v>
      </x:c>
      <x:c r="L17" s="9" t="str">
        <x:v>Uncertain / research limitation</x:v>
      </x:c>
      <x:c r="M17" s="9" t="str">
        <x:v>Disposition limited to reviewed source set</x:v>
      </x:c>
      <x:c r="N17" s="18" t="str">
        <x:v>S001; S004</x:v>
      </x:c>
    </x:row>
    <x:row r="18" ht="54" customHeight="1">
      <x:c r="A18" s="17" t="str">
        <x:v>P1-G02</x:v>
      </x:c>
      <x:c r="B18" s="17" t="str">
        <x:v>P1</x:v>
      </x:c>
      <x:c r="C18" s="17" t="str">
        <x:v>1970s–26 Apr 2001</x:v>
      </x:c>
      <x:c r="D18" s="17" t="str">
        <x:v>Gender</x:v>
      </x:c>
      <x:c r="E18" s="17" t="str">
        <x:v>Gender milestones</x:v>
      </x:c>
      <x:c r="F18" s="17" t="str">
        <x:v>Not materially relevant</x:v>
      </x:c>
      <x:c r="G18" s="17" t="str">
        <x:v>No gender-defined first is documented for his early legislative and ministerial roles.</x:v>
      </x:c>
      <x:c r="H18" s="17" t="str">
        <x:v>Do not invent a milestone from an ordinary male office-holder’s appointment.</x:v>
      </x:c>
      <x:c r="I18" s="17" t="str">
        <x:v>AP TDP and Congress legislators of the period; feasible alternatives included building a base inside a statewide party.</x:v>
      </x:c>
      <x:c r="J18" s="21" t="str">
        <x:v>Do not backdate Telangana state institutions or present-day constituencies to the 1980s.</x:v>
      </x:c>
      <x:c r="K18" s="21" t="str">
        <x:v>Sparse original appointment records and inconsistent retrospective biographies.</x:v>
      </x:c>
      <x:c r="L18" s="17" t="str">
        <x:v>Scope judgment</x:v>
      </x:c>
      <x:c r="M18" s="17" t="str">
        <x:v>Disposition limited to reviewed source set</x:v>
      </x:c>
      <x:c r="N18" s="19" t="str">
        <x:v>S001; S009</x:v>
      </x:c>
    </x:row>
    <x:row r="19" ht="54" customHeight="1">
      <x:c r="A19" s="9" t="str">
        <x:v>P1-G03</x:v>
      </x:c>
      <x:c r="B19" s="9" t="str">
        <x:v>P1</x:v>
      </x:c>
      <x:c r="C19" s="9" t="str">
        <x:v>1970s–26 Apr 2001</x:v>
      </x:c>
      <x:c r="D19" s="9" t="str">
        <x:v>Gender</x:v>
      </x:c>
      <x:c r="E19" s="9" t="str">
        <x:v>Networks and pathways</x:v>
      </x:c>
      <x:c r="F19" s="9" t="str">
        <x:v>Material finding</x:v>
      </x:c>
      <x:c r="G19" s="9" t="str">
        <x:v>Accounts place his rise in Congress/TDP networks and a Siddipet base, without established inherited political lineage.</x:v>
      </x:c>
      <x:c r="H19" s="9" t="str">
        <x:v>Apply the same family-pathway question to a male leader; later dynastic politics does not prove dynastic entry.</x:v>
      </x:c>
      <x:c r="I19" s="9" t="str">
        <x:v>AP TDP and Congress legislators of the period; feasible alternatives included building a base inside a statewide party.</x:v>
      </x:c>
      <x:c r="J19" s="20" t="str">
        <x:v>Do not backdate Telangana state institutions or present-day constituencies to the 1980s.</x:v>
      </x:c>
      <x:c r="K19" s="20" t="str">
        <x:v>Sparse original appointment records and inconsistent retrospective biographies.</x:v>
      </x:c>
      <x:c r="L19" s="9" t="str">
        <x:v>Recorded premise + labeled analysis</x:v>
      </x:c>
      <x:c r="M19" s="9" t="str">
        <x:v>See cited sources; inference is not an additional observed fact</x:v>
      </x:c>
      <x:c r="N19" s="18" t="str">
        <x:v>S004; S009</x:v>
      </x:c>
    </x:row>
    <x:row r="20" ht="54" customHeight="1">
      <x:c r="A20" s="17" t="str">
        <x:v>P1-G04</x:v>
      </x:c>
      <x:c r="B20" s="17" t="str">
        <x:v>P1</x:v>
      </x:c>
      <x:c r="C20" s="17" t="str">
        <x:v>1970s–26 Apr 2001</x:v>
      </x:c>
      <x:c r="D20" s="17" t="str">
        <x:v>Gender</x:v>
      </x:c>
      <x:c r="E20" s="17" t="str">
        <x:v>Role and portfolio allocation</x:v>
      </x:c>
      <x:c r="F20" s="17" t="str">
        <x:v>Evidence not found</x:v>
      </x:c>
      <x:c r="G20" s="17" t="str">
        <x:v>Early portfolios are recorded, but gender expectations behind their allocation are not established.</x:v>
      </x:c>
      <x:c r="H20" s="17" t="str">
        <x:v>Portfolio possession is evidence of role, not motive for selection.</x:v>
      </x:c>
      <x:c r="I20" s="17" t="str">
        <x:v>AP TDP and Congress legislators of the period; feasible alternatives included building a base inside a statewide party.</x:v>
      </x:c>
      <x:c r="J20" s="21" t="str">
        <x:v>Do not backdate Telangana state institutions or present-day constituencies to the 1980s.</x:v>
      </x:c>
      <x:c r="K20" s="21" t="str">
        <x:v>Sparse original appointment records and inconsistent retrospective biographies.</x:v>
      </x:c>
      <x:c r="L20" s="17" t="str">
        <x:v>Uncertain / research limitation</x:v>
      </x:c>
      <x:c r="M20" s="17" t="str">
        <x:v>Disposition limited to reviewed source set</x:v>
      </x:c>
      <x:c r="N20" s="19" t="str">
        <x:v>S001; S009</x:v>
      </x:c>
    </x:row>
    <x:row r="21" ht="54" customHeight="1">
      <x:c r="A21" s="9" t="str">
        <x:v>P1-G05</x:v>
      </x:c>
      <x:c r="B21" s="9" t="str">
        <x:v>P1</x:v>
      </x:c>
      <x:c r="C21" s="9" t="str">
        <x:v>1970s–26 Apr 2001</x:v>
      </x:c>
      <x:c r="D21" s="9" t="str">
        <x:v>Gender</x:v>
      </x:c>
      <x:c r="E21" s="9" t="str">
        <x:v>Campaign and media treatment</x:v>
      </x:c>
      <x:c r="F21" s="9" t="str">
        <x:v>Evidence not found</x:v>
      </x:c>
      <x:c r="G21" s="9" t="str">
        <x:v>No systematic contemporaneous gender-coded press sample was located for his early career.</x:v>
      </x:c>
      <x:c r="H21" s="9" t="str">
        <x:v>Retrospective praise of speaking ability cannot support a gender-comparative treatment claim.</x:v>
      </x:c>
      <x:c r="I21" s="9" t="str">
        <x:v>AP TDP and Congress legislators of the period; feasible alternatives included building a base inside a statewide party.</x:v>
      </x:c>
      <x:c r="J21" s="20" t="str">
        <x:v>Do not backdate Telangana state institutions or present-day constituencies to the 1980s.</x:v>
      </x:c>
      <x:c r="K21" s="20" t="str">
        <x:v>Sparse original appointment records and inconsistent retrospective biographies.</x:v>
      </x:c>
      <x:c r="L21" s="9" t="str">
        <x:v>Uncertain / research limitation</x:v>
      </x:c>
      <x:c r="M21" s="9" t="str">
        <x:v>Disposition limited to reviewed source set</x:v>
      </x:c>
      <x:c r="N21" s="18" t="str">
        <x:v>S001; S004</x:v>
      </x:c>
    </x:row>
    <x:row r="22" ht="54" customHeight="1">
      <x:c r="A22" s="17" t="str">
        <x:v>P1-G06</x:v>
      </x:c>
      <x:c r="B22" s="17" t="str">
        <x:v>P1</x:v>
      </x:c>
      <x:c r="C22" s="17" t="str">
        <x:v>1970s–26 Apr 2001</x:v>
      </x:c>
      <x:c r="D22" s="17" t="str">
        <x:v>Gender</x:v>
      </x:c>
      <x:c r="E22" s="17" t="str">
        <x:v>Threats and security</x:v>
      </x:c>
      <x:c r="F22" s="17" t="str">
        <x:v>Evidence not found</x:v>
      </x:c>
      <x:c r="G22" s="17" t="str">
        <x:v>No specific gender-related harassment or mobility restriction is established in reviewed early-career sources.</x:v>
      </x:c>
      <x:c r="H22" s="17" t="str">
        <x:v>This is a research gap, not proof that such experiences did not occur.</x:v>
      </x:c>
      <x:c r="I22" s="17" t="str">
        <x:v>AP TDP and Congress legislators of the period; feasible alternatives included building a base inside a statewide party.</x:v>
      </x:c>
      <x:c r="J22" s="21" t="str">
        <x:v>Do not backdate Telangana state institutions or present-day constituencies to the 1980s.</x:v>
      </x:c>
      <x:c r="K22" s="21" t="str">
        <x:v>Sparse original appointment records and inconsistent retrospective biographies.</x:v>
      </x:c>
      <x:c r="L22" s="17" t="str">
        <x:v>Uncertain / research limitation</x:v>
      </x:c>
      <x:c r="M22" s="17" t="str">
        <x:v>Disposition limited to reviewed source set</x:v>
      </x:c>
      <x:c r="N22" s="19" t="str">
        <x:v>S001; S004</x:v>
      </x:c>
    </x:row>
    <x:row r="23" ht="54" customHeight="1">
      <x:c r="A23" s="9" t="str">
        <x:v>P1-G07</x:v>
      </x:c>
      <x:c r="B23" s="9" t="str">
        <x:v>P1</x:v>
      </x:c>
      <x:c r="C23" s="9" t="str">
        <x:v>1970s–26 Apr 2001</x:v>
      </x:c>
      <x:c r="D23" s="9" t="str">
        <x:v>Gender</x:v>
      </x:c>
      <x:c r="E23" s="9" t="str">
        <x:v>Gender policy and organizations</x:v>
      </x:c>
      <x:c r="F23" s="9" t="str">
        <x:v>Evidence not found</x:v>
      </x:c>
      <x:c r="G23" s="9" t="str">
        <x:v>No independently documented early gender-policy intervention was located.</x:v>
      </x:c>
      <x:c r="H23" s="9" t="str">
        <x:v>Later CM schemes cannot be backdated to his earlier ministerial career.</x:v>
      </x:c>
      <x:c r="I23" s="9" t="str">
        <x:v>AP TDP and Congress legislators of the period; feasible alternatives included building a base inside a statewide party.</x:v>
      </x:c>
      <x:c r="J23" s="20" t="str">
        <x:v>Do not backdate Telangana state institutions or present-day constituencies to the 1980s.</x:v>
      </x:c>
      <x:c r="K23" s="20" t="str">
        <x:v>Sparse original appointment records and inconsistent retrospective biographies.</x:v>
      </x:c>
      <x:c r="L23" s="9" t="str">
        <x:v>Uncertain / research limitation</x:v>
      </x:c>
      <x:c r="M23" s="9" t="str">
        <x:v>Disposition limited to reviewed source set</x:v>
      </x:c>
      <x:c r="N23" s="18" t="str">
        <x:v>S001; S009</x:v>
      </x:c>
    </x:row>
    <x:row r="24" ht="54" customHeight="1">
      <x:c r="A24" s="17" t="str">
        <x:v>P1-G08</x:v>
      </x:c>
      <x:c r="B24" s="17" t="str">
        <x:v>P1</x:v>
      </x:c>
      <x:c r="C24" s="17" t="str">
        <x:v>1970s–26 Apr 2001</x:v>
      </x:c>
      <x:c r="D24" s="17" t="str">
        <x:v>Gender</x:v>
      </x:c>
      <x:c r="E24" s="17" t="str">
        <x:v>Political use of gender identity</x:v>
      </x:c>
      <x:c r="F24" s="17" t="str">
        <x:v>Evidence not found</x:v>
      </x:c>
      <x:c r="G24" s="17" t="str">
        <x:v>No explicit gender-identity strategy is established for this phase.</x:v>
      </x:c>
      <x:c r="H24" s="17" t="str">
        <x:v>Do not infer masculine political strategy simply from forceful speech or male leadership.</x:v>
      </x:c>
      <x:c r="I24" s="17" t="str">
        <x:v>AP TDP and Congress legislators of the period; feasible alternatives included building a base inside a statewide party.</x:v>
      </x:c>
      <x:c r="J24" s="21" t="str">
        <x:v>Do not backdate Telangana state institutions or present-day constituencies to the 1980s.</x:v>
      </x:c>
      <x:c r="K24" s="21" t="str">
        <x:v>Sparse original appointment records and inconsistent retrospective biographies.</x:v>
      </x:c>
      <x:c r="L24" s="17" t="str">
        <x:v>Uncertain / research limitation</x:v>
      </x:c>
      <x:c r="M24" s="17" t="str">
        <x:v>Disposition limited to reviewed source set</x:v>
      </x:c>
      <x:c r="N24" s="19" t="str">
        <x:v>S004</x:v>
      </x:c>
    </x:row>
    <x:row r="25" ht="54" customHeight="1">
      <x:c r="A25" s="9" t="str">
        <x:v>P1-G09</x:v>
      </x:c>
      <x:c r="B25" s="9" t="str">
        <x:v>P1</x:v>
      </x:c>
      <x:c r="C25" s="9" t="str">
        <x:v>1970s–26 Apr 2001</x:v>
      </x:c>
      <x:c r="D25" s="9" t="str">
        <x:v>Gender</x:v>
      </x:c>
      <x:c r="E25" s="9" t="str">
        <x:v>Representation and effects</x:v>
      </x:c>
      <x:c r="F25" s="9" t="str">
        <x:v>Evidence not found</x:v>
      </x:c>
      <x:c r="G25" s="9" t="str">
        <x:v>No measured early representative effect on women’s political participation was found.</x:v>
      </x:c>
      <x:c r="H25" s="9" t="str">
        <x:v>Electoral success alone does not establish broader gender representation effects.</x:v>
      </x:c>
      <x:c r="I25" s="9" t="str">
        <x:v>AP TDP and Congress legislators of the period; feasible alternatives included building a base inside a statewide party.</x:v>
      </x:c>
      <x:c r="J25" s="20" t="str">
        <x:v>Do not backdate Telangana state institutions or present-day constituencies to the 1980s.</x:v>
      </x:c>
      <x:c r="K25" s="20" t="str">
        <x:v>Sparse original appointment records and inconsistent retrospective biographies.</x:v>
      </x:c>
      <x:c r="L25" s="9" t="str">
        <x:v>Uncertain / research limitation</x:v>
      </x:c>
      <x:c r="M25" s="9" t="str">
        <x:v>Disposition limited to reviewed source set</x:v>
      </x:c>
      <x:c r="N25" s="18" t="str">
        <x:v>S004; S009</x:v>
      </x:c>
    </x:row>
    <x:row r="26" ht="54" customHeight="1">
      <x:c r="A26" s="17" t="str">
        <x:v>P1-G10</x:v>
      </x:c>
      <x:c r="B26" s="17" t="str">
        <x:v>P1</x:v>
      </x:c>
      <x:c r="C26" s="17" t="str">
        <x:v>1970s–26 Apr 2001</x:v>
      </x:c>
      <x:c r="D26" s="17" t="str">
        <x:v>Gender</x:v>
      </x:c>
      <x:c r="E26" s="17" t="str">
        <x:v>Assessment over time</x:v>
      </x:c>
      <x:c r="F26" s="17" t="str">
        <x:v>Research limitation</x:v>
      </x:c>
      <x:c r="G26" s="17" t="str">
        <x:v>Available biographies foreground career progression, with little contemporary gender analysis.</x:v>
      </x:c>
      <x:c r="H26" s="17" t="str">
        <x:v>A later feminist framework can ask questions but cannot supply missing historical evidence.</x:v>
      </x:c>
      <x:c r="I26" s="17" t="str">
        <x:v>AP TDP and Congress legislators of the period; feasible alternatives included building a base inside a statewide party.</x:v>
      </x:c>
      <x:c r="J26" s="21" t="str">
        <x:v>Do not backdate Telangana state institutions or present-day constituencies to the 1980s.</x:v>
      </x:c>
      <x:c r="K26" s="21" t="str">
        <x:v>Sparse original appointment records and inconsistent retrospective biographies.</x:v>
      </x:c>
      <x:c r="L26" s="17" t="str">
        <x:v>Uncertain / research limitation</x:v>
      </x:c>
      <x:c r="M26" s="17" t="str">
        <x:v>Disposition limited to reviewed source set</x:v>
      </x:c>
      <x:c r="N26" s="19" t="str">
        <x:v>S001; S004</x:v>
      </x:c>
    </x:row>
    <x:row r="27" ht="54" customHeight="1">
      <x:c r="A27" s="9" t="str">
        <x:v>P2-E01</x:v>
      </x:c>
      <x:c r="B27" s="9" t="str">
        <x:v>P2</x:v>
      </x:c>
      <x:c r="C27" s="9" t="str">
        <x:v>27 Apr 2001–1 Jun 2014</x:v>
      </x:c>
      <x:c r="D27" s="9" t="str">
        <x:v>Era</x:v>
      </x:c>
      <x:c r="E27" s="9" t="str">
        <x:v>Party system</x:v>
      </x:c>
      <x:c r="F27" s="9" t="str">
        <x:v>Material finding</x:v>
      </x:c>
      <x:c r="G27" s="9" t="str">
        <x:v>TRS sought leverage in coalition politics, including the 2004 Congress alliance.</x:v>
      </x:c>
      <x:c r="H27" s="9" t="str">
        <x:v>Coalition access offered one route to a statehood commitment but did not guarantee implementation.</x:v>
      </x:c>
      <x:c r="I27" s="9" t="str">
        <x:v>Other Telangana leaders, TJAC organizers and regional coalition parties; bargaining and autonomous mobilization were alternative routes.</x:v>
      </x:c>
      <x:c r="J27" s="20" t="str">
        <x:v>A future state’s boundaries and later popularity should not be assumed in earlier strategic choices.</x:v>
      </x:c>
      <x:c r="K27" s="20" t="str">
        <x:v>Party chronology is selective; surviving English reporting underrepresents local and Telugu archives.</x:v>
      </x:c>
      <x:c r="L27" s="9" t="str">
        <x:v>Recorded premise + labeled analysis</x:v>
      </x:c>
      <x:c r="M27" s="9" t="str">
        <x:v>See cited sources; inference is not an additional observed fact</x:v>
      </x:c>
      <x:c r="N27" s="18" t="str">
        <x:v>S006; S004</x:v>
      </x:c>
    </x:row>
    <x:row r="28" ht="54" customHeight="1">
      <x:c r="A28" s="17" t="str">
        <x:v>P2-E02</x:v>
      </x:c>
      <x:c r="B28" s="17" t="str">
        <x:v>P2</x:v>
      </x:c>
      <x:c r="C28" s="17" t="str">
        <x:v>27 Apr 2001–1 Jun 2014</x:v>
      </x:c>
      <x:c r="D28" s="17" t="str">
        <x:v>Era</x:v>
      </x:c>
      <x:c r="E28" s="17" t="str">
        <x:v>Constitutional and institutional environment</x:v>
      </x:c>
      <x:c r="F28" s="17" t="str">
        <x:v>Material finding</x:v>
      </x:c>
      <x:c r="G28" s="17" t="str">
        <x:v>Union and parliamentary action was necessary for the new state; a party demand alone had no constitutive legal force.</x:v>
      </x:c>
      <x:c r="H28" s="17" t="str">
        <x:v>Agitation exerted political pressure; the Reorganisation Act supplied the legal mechanism.</x:v>
      </x:c>
      <x:c r="I28" s="17" t="str">
        <x:v>Other Telangana leaders, TJAC organizers and regional coalition parties; bargaining and autonomous mobilization were alternative routes.</x:v>
      </x:c>
      <x:c r="J28" s="21" t="str">
        <x:v>A future state’s boundaries and later popularity should not be assumed in earlier strategic choices.</x:v>
      </x:c>
      <x:c r="K28" s="21" t="str">
        <x:v>Party chronology is selective; surviving English reporting underrepresents local and Telugu archives.</x:v>
      </x:c>
      <x:c r="L28" s="17" t="str">
        <x:v>Recorded premise + labeled analysis</x:v>
      </x:c>
      <x:c r="M28" s="17" t="str">
        <x:v>See cited sources; inference is not an additional observed fact</x:v>
      </x:c>
      <x:c r="N28" s="19" t="str">
        <x:v>S007; S008; S006</x:v>
      </x:c>
    </x:row>
    <x:row r="29" ht="54" customHeight="1">
      <x:c r="A29" s="9" t="str">
        <x:v>P2-E03</x:v>
      </x:c>
      <x:c r="B29" s="9" t="str">
        <x:v>P2</x:v>
      </x:c>
      <x:c r="C29" s="9" t="str">
        <x:v>27 Apr 2001–1 Jun 2014</x:v>
      </x:c>
      <x:c r="D29" s="9" t="str">
        <x:v>Era</x:v>
      </x:c>
      <x:c r="E29" s="9" t="str">
        <x:v>Electoral environment</x:v>
      </x:c>
      <x:c r="F29" s="9" t="str">
        <x:v>Material finding</x:v>
      </x:c>
      <x:c r="G29" s="9" t="str">
        <x:v>Resignations, by-elections and dual candidacies were part of the strategy.</x:v>
      </x:c>
      <x:c r="H29" s="9" t="str">
        <x:v>Count each personal constituency contest separately; party losses and personal wins can coexist.</x:v>
      </x:c>
      <x:c r="I29" s="9" t="str">
        <x:v>Other Telangana leaders, TJAC organizers and regional coalition parties; bargaining and autonomous mobilization were alternative routes.</x:v>
      </x:c>
      <x:c r="J29" s="20" t="str">
        <x:v>A future state’s boundaries and later popularity should not be assumed in earlier strategic choices.</x:v>
      </x:c>
      <x:c r="K29" s="20" t="str">
        <x:v>Party chronology is selective; surviving English reporting underrepresents local and Telugu archives.</x:v>
      </x:c>
      <x:c r="L29" s="9" t="str">
        <x:v>Recorded premise + labeled analysis</x:v>
      </x:c>
      <x:c r="M29" s="9" t="str">
        <x:v>See cited sources; inference is not an additional observed fact</x:v>
      </x:c>
      <x:c r="N29" s="18" t="str">
        <x:v>S006; S009; S010</x:v>
      </x:c>
    </x:row>
    <x:row r="30" ht="54" customHeight="1">
      <x:c r="A30" s="17" t="str">
        <x:v>P2-E04</x:v>
      </x:c>
      <x:c r="B30" s="17" t="str">
        <x:v>P2</x:v>
      </x:c>
      <x:c r="C30" s="17" t="str">
        <x:v>27 Apr 2001–1 Jun 2014</x:v>
      </x:c>
      <x:c r="D30" s="17" t="str">
        <x:v>Era</x:v>
      </x:c>
      <x:c r="E30" s="17" t="str">
        <x:v>Economic regime</x:v>
      </x:c>
      <x:c r="F30" s="17" t="str">
        <x:v>Material finding</x:v>
      </x:c>
      <x:c r="G30" s="17" t="str">
        <x:v>Statehood claims concerned jobs, water and the distribution of development.</x:v>
      </x:c>
      <x:c r="H30" s="17" t="str">
        <x:v>Regional recognition and economic redistribution were connected objectives, not guaranteed equivalent outcomes.</x:v>
      </x:c>
      <x:c r="I30" s="17" t="str">
        <x:v>Other Telangana leaders, TJAC organizers and regional coalition parties; bargaining and autonomous mobilization were alternative routes.</x:v>
      </x:c>
      <x:c r="J30" s="21" t="str">
        <x:v>A future state’s boundaries and later popularity should not be assumed in earlier strategic choices.</x:v>
      </x:c>
      <x:c r="K30" s="21" t="str">
        <x:v>Party chronology is selective; surviving English reporting underrepresents local and Telugu archives.</x:v>
      </x:c>
      <x:c r="L30" s="17" t="str">
        <x:v>Recorded premise + labeled analysis</x:v>
      </x:c>
      <x:c r="M30" s="17" t="str">
        <x:v>See cited sources; inference is not an additional observed fact</x:v>
      </x:c>
      <x:c r="N30" s="19" t="str">
        <x:v>S005; S006</x:v>
      </x:c>
    </x:row>
    <x:row r="31" ht="54" customHeight="1">
      <x:c r="A31" s="9" t="str">
        <x:v>P2-E05</x:v>
      </x:c>
      <x:c r="B31" s="9" t="str">
        <x:v>P2</x:v>
      </x:c>
      <x:c r="C31" s="9" t="str">
        <x:v>27 Apr 2001–1 Jun 2014</x:v>
      </x:c>
      <x:c r="D31" s="9" t="str">
        <x:v>Era</x:v>
      </x:c>
      <x:c r="E31" s="9" t="str">
        <x:v>International system</x:v>
      </x:c>
      <x:c r="F31" s="9" t="str">
        <x:v>Material finding</x:v>
      </x:c>
      <x:c r="G31" s="9" t="str">
        <x:v>Party chronology records voting against the UPA in the 2008 confidence motion associated with the US nuclear agreement.</x:v>
      </x:c>
      <x:c r="H31" s="9" t="str">
        <x:v>A regional party engaged a national/international issue through parliamentary coalition politics; no independent diplomacy inferred.</x:v>
      </x:c>
      <x:c r="I31" s="9" t="str">
        <x:v>Other Telangana leaders, TJAC organizers and regional coalition parties; bargaining and autonomous mobilization were alternative routes.</x:v>
      </x:c>
      <x:c r="J31" s="20" t="str">
        <x:v>A future state’s boundaries and later popularity should not be assumed in earlier strategic choices.</x:v>
      </x:c>
      <x:c r="K31" s="20" t="str">
        <x:v>Party chronology is selective; surviving English reporting underrepresents local and Telugu archives.</x:v>
      </x:c>
      <x:c r="L31" s="9" t="str">
        <x:v>Recorded premise + labeled analysis</x:v>
      </x:c>
      <x:c r="M31" s="9" t="str">
        <x:v>See cited sources; inference is not an additional observed fact</x:v>
      </x:c>
      <x:c r="N31" s="18" t="str">
        <x:v>S006</x:v>
      </x:c>
    </x:row>
    <x:row r="32" ht="54" customHeight="1">
      <x:c r="A32" s="17" t="str">
        <x:v>P2-E06</x:v>
      </x:c>
      <x:c r="B32" s="17" t="str">
        <x:v>P2</x:v>
      </x:c>
      <x:c r="C32" s="17" t="str">
        <x:v>27 Apr 2001–1 Jun 2014</x:v>
      </x:c>
      <x:c r="D32" s="17" t="str">
        <x:v>Era</x:v>
      </x:c>
      <x:c r="E32" s="17" t="str">
        <x:v>Media and campaigning</x:v>
      </x:c>
      <x:c r="F32" s="17" t="str">
        <x:v>Material finding</x:v>
      </x:c>
      <x:c r="G32" s="17" t="str">
        <x:v>Rallies, speeches, folk culture and coverage of the fast helped make statehood visible.</x:v>
      </x:c>
      <x:c r="H32" s="17" t="str">
        <x:v>Media and culture amplified mobilization alongside formal organization.</x:v>
      </x:c>
      <x:c r="I32" s="17" t="str">
        <x:v>Other Telangana leaders, TJAC organizers and regional coalition parties; bargaining and autonomous mobilization were alternative routes.</x:v>
      </x:c>
      <x:c r="J32" s="21" t="str">
        <x:v>A future state’s boundaries and later popularity should not be assumed in earlier strategic choices.</x:v>
      </x:c>
      <x:c r="K32" s="21" t="str">
        <x:v>Party chronology is selective; surviving English reporting underrepresents local and Telugu archives.</x:v>
      </x:c>
      <x:c r="L32" s="17" t="str">
        <x:v>Recorded premise + labeled analysis</x:v>
      </x:c>
      <x:c r="M32" s="17" t="str">
        <x:v>See cited sources; inference is not an additional observed fact</x:v>
      </x:c>
      <x:c r="N32" s="19" t="str">
        <x:v>S001; S005</x:v>
      </x:c>
    </x:row>
    <x:row r="33" ht="54" customHeight="1">
      <x:c r="A33" s="9" t="str">
        <x:v>P2-E07</x:v>
      </x:c>
      <x:c r="B33" s="9" t="str">
        <x:v>P2</x:v>
      </x:c>
      <x:c r="C33" s="9" t="str">
        <x:v>27 Apr 2001–1 Jun 2014</x:v>
      </x:c>
      <x:c r="D33" s="9" t="str">
        <x:v>Era</x:v>
      </x:c>
      <x:c r="E33" s="9" t="str">
        <x:v>Political organization</x:v>
      </x:c>
      <x:c r="F33" s="9" t="str">
        <x:v>Material finding</x:v>
      </x:c>
      <x:c r="G33" s="9" t="str">
        <x:v>TRS worked alongside TJAC, student bodies, employees and cultural activists.</x:v>
      </x:c>
      <x:c r="H33" s="9" t="str">
        <x:v>A networked movement could mobilize beyond party membership; leadership claims were contested.</x:v>
      </x:c>
      <x:c r="I33" s="9" t="str">
        <x:v>Other Telangana leaders, TJAC organizers and regional coalition parties; bargaining and autonomous mobilization were alternative routes.</x:v>
      </x:c>
      <x:c r="J33" s="20" t="str">
        <x:v>A future state’s boundaries and later popularity should not be assumed in earlier strategic choices.</x:v>
      </x:c>
      <x:c r="K33" s="20" t="str">
        <x:v>Party chronology is selective; surviving English reporting underrepresents local and Telugu archives.</x:v>
      </x:c>
      <x:c r="L33" s="9" t="str">
        <x:v>Recorded premise + labeled analysis</x:v>
      </x:c>
      <x:c r="M33" s="9" t="str">
        <x:v>See cited sources; inference is not an additional observed fact</x:v>
      </x:c>
      <x:c r="N33" s="18" t="str">
        <x:v>S005; S006</x:v>
      </x:c>
    </x:row>
    <x:row r="34" ht="54" customHeight="1">
      <x:c r="A34" s="17" t="str">
        <x:v>P2-E08</x:v>
      </x:c>
      <x:c r="B34" s="17" t="str">
        <x:v>P2</x:v>
      </x:c>
      <x:c r="C34" s="17" t="str">
        <x:v>27 Apr 2001–1 Jun 2014</x:v>
      </x:c>
      <x:c r="D34" s="17" t="str">
        <x:v>Era</x:v>
      </x:c>
      <x:c r="E34" s="17" t="str">
        <x:v>Social environment</x:v>
      </x:c>
      <x:c r="F34" s="17" t="str">
        <x:v>Material finding</x:v>
      </x:c>
      <x:c r="G34" s="17" t="str">
        <x:v>Caste, class, gender and cultural participation intersected with a shared regional demand.</x:v>
      </x:c>
      <x:c r="H34" s="17" t="str">
        <x:v>Unity on territory did not remove disagreements over who would govern or benefit.</x:v>
      </x:c>
      <x:c r="I34" s="17" t="str">
        <x:v>Other Telangana leaders, TJAC organizers and regional coalition parties; bargaining and autonomous mobilization were alternative routes.</x:v>
      </x:c>
      <x:c r="J34" s="21" t="str">
        <x:v>A future state’s boundaries and later popularity should not be assumed in earlier strategic choices.</x:v>
      </x:c>
      <x:c r="K34" s="21" t="str">
        <x:v>Party chronology is selective; surviving English reporting underrepresents local and Telugu archives.</x:v>
      </x:c>
      <x:c r="L34" s="17" t="str">
        <x:v>Recorded premise + labeled analysis</x:v>
      </x:c>
      <x:c r="M34" s="17" t="str">
        <x:v>See cited sources; inference is not an additional observed fact</x:v>
      </x:c>
      <x:c r="N34" s="19" t="str">
        <x:v>S005; S032</x:v>
      </x:c>
    </x:row>
    <x:row r="35" ht="54" customHeight="1">
      <x:c r="A35" s="9" t="str">
        <x:v>P2-E09</x:v>
      </x:c>
      <x:c r="B35" s="9" t="str">
        <x:v>P2</x:v>
      </x:c>
      <x:c r="C35" s="9" t="str">
        <x:v>27 Apr 2001–1 Jun 2014</x:v>
      </x:c>
      <x:c r="D35" s="9" t="str">
        <x:v>Era</x:v>
      </x:c>
      <x:c r="E35" s="9" t="str">
        <x:v>State structure and geography</x:v>
      </x:c>
      <x:c r="F35" s="9" t="str">
        <x:v>Material finding</x:v>
      </x:c>
      <x:c r="G35" s="9" t="str">
        <x:v>The movement operated within Andhra Pradesh; legislation created successor-state arrangements.</x:v>
      </x:c>
      <x:c r="H35" s="9" t="str">
        <x:v>Statehood changed the relevant governmental scale and resource-allocation institutions.</x:v>
      </x:c>
      <x:c r="I35" s="9" t="str">
        <x:v>Other Telangana leaders, TJAC organizers and regional coalition parties; bargaining and autonomous mobilization were alternative routes.</x:v>
      </x:c>
      <x:c r="J35" s="20" t="str">
        <x:v>A future state’s boundaries and later popularity should not be assumed in earlier strategic choices.</x:v>
      </x:c>
      <x:c r="K35" s="20" t="str">
        <x:v>Party chronology is selective; surviving English reporting underrepresents local and Telugu archives.</x:v>
      </x:c>
      <x:c r="L35" s="9" t="str">
        <x:v>Recorded premise + labeled analysis</x:v>
      </x:c>
      <x:c r="M35" s="9" t="str">
        <x:v>See cited sources; inference is not an additional observed fact</x:v>
      </x:c>
      <x:c r="N35" s="18" t="str">
        <x:v>S007; S008</x:v>
      </x:c>
    </x:row>
    <x:row r="36" ht="54" customHeight="1">
      <x:c r="A36" s="17" t="str">
        <x:v>P2-E10</x:v>
      </x:c>
      <x:c r="B36" s="17" t="str">
        <x:v>P2</x:v>
      </x:c>
      <x:c r="C36" s="17" t="str">
        <x:v>27 Apr 2001–1 Jun 2014</x:v>
      </x:c>
      <x:c r="D36" s="17" t="str">
        <x:v>Era</x:v>
      </x:c>
      <x:c r="E36" s="17" t="str">
        <x:v>Evidence environment</x:v>
      </x:c>
      <x:c r="F36" s="17" t="str">
        <x:v>Research limitation</x:v>
      </x:c>
      <x:c r="G36" s="17" t="str">
        <x:v>Party chronicles and later newspaper histories select different protagonists.</x:v>
      </x:c>
      <x:c r="H36" s="17" t="str">
        <x:v>Cross-read them; avoid using crowd estimates, martyr counts or exclusive-credit claims without stronger corroboration.</x:v>
      </x:c>
      <x:c r="I36" s="17" t="str">
        <x:v>Other Telangana leaders, TJAC organizers and regional coalition parties; bargaining and autonomous mobilization were alternative routes.</x:v>
      </x:c>
      <x:c r="J36" s="21" t="str">
        <x:v>A future state’s boundaries and later popularity should not be assumed in earlier strategic choices.</x:v>
      </x:c>
      <x:c r="K36" s="21" t="str">
        <x:v>Party chronology is selective; surviving English reporting underrepresents local and Telugu archives.</x:v>
      </x:c>
      <x:c r="L36" s="17" t="str">
        <x:v>Uncertain / research limitation</x:v>
      </x:c>
      <x:c r="M36" s="17" t="str">
        <x:v>Disposition limited to reviewed source set</x:v>
      </x:c>
      <x:c r="N36" s="19" t="str">
        <x:v>S005; S006</x:v>
      </x:c>
    </x:row>
    <x:row r="37" ht="54" customHeight="1">
      <x:c r="A37" s="9" t="str">
        <x:v>P2-G01</x:v>
      </x:c>
      <x:c r="B37" s="9" t="str">
        <x:v>P2</x:v>
      </x:c>
      <x:c r="C37" s="9" t="str">
        <x:v>27 Apr 2001–1 Jun 2014</x:v>
      </x:c>
      <x:c r="D37" s="9" t="str">
        <x:v>Gender</x:v>
      </x:c>
      <x:c r="E37" s="9" t="str">
        <x:v>Entry and advancement</x:v>
      </x:c>
      <x:c r="F37" s="9" t="str">
        <x:v>Evidence not found</x:v>
      </x:c>
      <x:c r="G37" s="9" t="str">
        <x:v>TRS entry and leadership are documented, but a gender-specific recruitment mechanism for KCR is not established.</x:v>
      </x:c>
      <x:c r="H37" s="9" t="str">
        <x:v>Treat territorial strategy as documented; gender causation needs separate evidence.</x:v>
      </x:c>
      <x:c r="I37" s="9" t="str">
        <x:v>Other Telangana leaders, TJAC organizers and regional coalition parties; bargaining and autonomous mobilization were alternative routes.</x:v>
      </x:c>
      <x:c r="J37" s="20" t="str">
        <x:v>A future state’s boundaries and later popularity should not be assumed in earlier strategic choices.</x:v>
      </x:c>
      <x:c r="K37" s="20" t="str">
        <x:v>Party chronology is selective; surviving English reporting underrepresents local and Telugu archives.</x:v>
      </x:c>
      <x:c r="L37" s="9" t="str">
        <x:v>Uncertain / research limitation</x:v>
      </x:c>
      <x:c r="M37" s="9" t="str">
        <x:v>Disposition limited to reviewed source set</x:v>
      </x:c>
      <x:c r="N37" s="18" t="str">
        <x:v>S005; S006</x:v>
      </x:c>
    </x:row>
    <x:row r="38" ht="54" customHeight="1">
      <x:c r="A38" s="17" t="str">
        <x:v>P2-G02</x:v>
      </x:c>
      <x:c r="B38" s="17" t="str">
        <x:v>P2</x:v>
      </x:c>
      <x:c r="C38" s="17" t="str">
        <x:v>27 Apr 2001–1 Jun 2014</x:v>
      </x:c>
      <x:c r="D38" s="17" t="str">
        <x:v>Gender</x:v>
      </x:c>
      <x:c r="E38" s="17" t="str">
        <x:v>Gender milestones</x:v>
      </x:c>
      <x:c r="F38" s="17" t="str">
        <x:v>Not materially relevant</x:v>
      </x:c>
      <x:c r="G38" s="17" t="str">
        <x:v>Party founding and statehood leadership are political milestones, not gender firsts for KCR.</x:v>
      </x:c>
      <x:c r="H38" s="17" t="str">
        <x:v>Territorial representative significance differs from gender pioneering.</x:v>
      </x:c>
      <x:c r="I38" s="17" t="str">
        <x:v>Other Telangana leaders, TJAC organizers and regional coalition parties; bargaining and autonomous mobilization were alternative routes.</x:v>
      </x:c>
      <x:c r="J38" s="21" t="str">
        <x:v>A future state’s boundaries and later popularity should not be assumed in earlier strategic choices.</x:v>
      </x:c>
      <x:c r="K38" s="21" t="str">
        <x:v>Party chronology is selective; surviving English reporting underrepresents local and Telugu archives.</x:v>
      </x:c>
      <x:c r="L38" s="17" t="str">
        <x:v>Scope judgment</x:v>
      </x:c>
      <x:c r="M38" s="17" t="str">
        <x:v>Disposition limited to reviewed source set</x:v>
      </x:c>
      <x:c r="N38" s="19" t="str">
        <x:v>S005; S006</x:v>
      </x:c>
    </x:row>
    <x:row r="39" ht="54" customHeight="1">
      <x:c r="A39" s="9" t="str">
        <x:v>P2-G03</x:v>
      </x:c>
      <x:c r="B39" s="9" t="str">
        <x:v>P2</x:v>
      </x:c>
      <x:c r="C39" s="9" t="str">
        <x:v>27 Apr 2001–1 Jun 2014</x:v>
      </x:c>
      <x:c r="D39" s="9" t="str">
        <x:v>Gender</x:v>
      </x:c>
      <x:c r="E39" s="9" t="str">
        <x:v>Networks and pathways</x:v>
      </x:c>
      <x:c r="F39" s="9" t="str">
        <x:v>Material finding</x:v>
      </x:c>
      <x:c r="G39" s="9" t="str">
        <x:v>Jayashankar’s mentorship and wider movement networks feature prominently.</x:v>
      </x:c>
      <x:c r="H39" s="9" t="str">
        <x:v>Mentorship is established; a gendered exclusion mechanism in that relationship is not.</x:v>
      </x:c>
      <x:c r="I39" s="9" t="str">
        <x:v>Other Telangana leaders, TJAC organizers and regional coalition parties; bargaining and autonomous mobilization were alternative routes.</x:v>
      </x:c>
      <x:c r="J39" s="20" t="str">
        <x:v>A future state’s boundaries and later popularity should not be assumed in earlier strategic choices.</x:v>
      </x:c>
      <x:c r="K39" s="20" t="str">
        <x:v>Party chronology is selective; surviving English reporting underrepresents local and Telugu archives.</x:v>
      </x:c>
      <x:c r="L39" s="9" t="str">
        <x:v>Recorded premise + labeled analysis</x:v>
      </x:c>
      <x:c r="M39" s="9" t="str">
        <x:v>See cited sources; inference is not an additional observed fact</x:v>
      </x:c>
      <x:c r="N39" s="18" t="str">
        <x:v>S005</x:v>
      </x:c>
    </x:row>
    <x:row r="40" ht="54" customHeight="1">
      <x:c r="A40" s="17" t="str">
        <x:v>P2-G04</x:v>
      </x:c>
      <x:c r="B40" s="17" t="str">
        <x:v>P2</x:v>
      </x:c>
      <x:c r="C40" s="17" t="str">
        <x:v>27 Apr 2001–1 Jun 2014</x:v>
      </x:c>
      <x:c r="D40" s="17" t="str">
        <x:v>Gender</x:v>
      </x:c>
      <x:c r="E40" s="17" t="str">
        <x:v>Role and portfolio allocation</x:v>
      </x:c>
      <x:c r="F40" s="17" t="str">
        <x:v>Evidence not found</x:v>
      </x:c>
      <x:c r="G40" s="17" t="str">
        <x:v>No source in this review identifies a gender rationale for KCR’s Union Labour portfolio.</x:v>
      </x:c>
      <x:c r="H40" s="17" t="str">
        <x:v>A substantive ministerial role should not be treated as proof of a gender allocation pattern.</x:v>
      </x:c>
      <x:c r="I40" s="17" t="str">
        <x:v>Other Telangana leaders, TJAC organizers and regional coalition parties; bargaining and autonomous mobilization were alternative routes.</x:v>
      </x:c>
      <x:c r="J40" s="21" t="str">
        <x:v>A future state’s boundaries and later popularity should not be assumed in earlier strategic choices.</x:v>
      </x:c>
      <x:c r="K40" s="21" t="str">
        <x:v>Party chronology is selective; surviving English reporting underrepresents local and Telugu archives.</x:v>
      </x:c>
      <x:c r="L40" s="17" t="str">
        <x:v>Uncertain / research limitation</x:v>
      </x:c>
      <x:c r="M40" s="17" t="str">
        <x:v>Disposition limited to reviewed source set</x:v>
      </x:c>
      <x:c r="N40" s="19" t="str">
        <x:v>S001; S009</x:v>
      </x:c>
    </x:row>
    <x:row r="41" ht="54" customHeight="1">
      <x:c r="A41" s="9" t="str">
        <x:v>P2-G05</x:v>
      </x:c>
      <x:c r="B41" s="9" t="str">
        <x:v>P2</x:v>
      </x:c>
      <x:c r="C41" s="9" t="str">
        <x:v>27 Apr 2001–1 Jun 2014</x:v>
      </x:c>
      <x:c r="D41" s="9" t="str">
        <x:v>Gender</x:v>
      </x:c>
      <x:c r="E41" s="9" t="str">
        <x:v>Campaign and media treatment</x:v>
      </x:c>
      <x:c r="F41" s="9" t="str">
        <x:v>Evidence not found</x:v>
      </x:c>
      <x:c r="G41" s="9" t="str">
        <x:v>Coverage foregrounds fasting, regional identity and mobilization; no systematic gender-comparative campaign evidence was found.</x:v>
      </x:c>
      <x:c r="H41" s="9" t="str">
        <x:v>Gendered treatment requires a comparator, not an inference from political rhetoric alone.</x:v>
      </x:c>
      <x:c r="I41" s="9" t="str">
        <x:v>Other Telangana leaders, TJAC organizers and regional coalition parties; bargaining and autonomous mobilization were alternative routes.</x:v>
      </x:c>
      <x:c r="J41" s="20" t="str">
        <x:v>A future state’s boundaries and later popularity should not be assumed in earlier strategic choices.</x:v>
      </x:c>
      <x:c r="K41" s="20" t="str">
        <x:v>Party chronology is selective; surviving English reporting underrepresents local and Telugu archives.</x:v>
      </x:c>
      <x:c r="L41" s="9" t="str">
        <x:v>Uncertain / research limitation</x:v>
      </x:c>
      <x:c r="M41" s="9" t="str">
        <x:v>Disposition limited to reviewed source set</x:v>
      </x:c>
      <x:c r="N41" s="18" t="str">
        <x:v>S005; S006</x:v>
      </x:c>
    </x:row>
    <x:row r="42" ht="54" customHeight="1">
      <x:c r="A42" s="17" t="str">
        <x:v>P2-G06</x:v>
      </x:c>
      <x:c r="B42" s="17" t="str">
        <x:v>P2</x:v>
      </x:c>
      <x:c r="C42" s="17" t="str">
        <x:v>27 Apr 2001–1 Jun 2014</x:v>
      </x:c>
      <x:c r="D42" s="17" t="str">
        <x:v>Gender</x:v>
      </x:c>
      <x:c r="E42" s="17" t="str">
        <x:v>Threats and security</x:v>
      </x:c>
      <x:c r="F42" s="17" t="str">
        <x:v>Material finding</x:v>
      </x:c>
      <x:c r="G42" s="17" t="str">
        <x:v>Arrest and security constraints during the 2009 fast are documented in party chronology.</x:v>
      </x:c>
      <x:c r="H42" s="17" t="str">
        <x:v>A political-security constraint is established; a specifically gender-based cause is not.</x:v>
      </x:c>
      <x:c r="I42" s="17" t="str">
        <x:v>Other Telangana leaders, TJAC organizers and regional coalition parties; bargaining and autonomous mobilization were alternative routes.</x:v>
      </x:c>
      <x:c r="J42" s="21" t="str">
        <x:v>A future state’s boundaries and later popularity should not be assumed in earlier strategic choices.</x:v>
      </x:c>
      <x:c r="K42" s="21" t="str">
        <x:v>Party chronology is selective; surviving English reporting underrepresents local and Telugu archives.</x:v>
      </x:c>
      <x:c r="L42" s="17" t="str">
        <x:v>Recorded premise + labeled analysis</x:v>
      </x:c>
      <x:c r="M42" s="17" t="str">
        <x:v>See cited sources; inference is not an additional observed fact</x:v>
      </x:c>
      <x:c r="N42" s="19" t="str">
        <x:v>S006; S005</x:v>
      </x:c>
    </x:row>
    <x:row r="43" ht="54" customHeight="1">
      <x:c r="A43" s="9" t="str">
        <x:v>P2-G07</x:v>
      </x:c>
      <x:c r="B43" s="9" t="str">
        <x:v>P2</x:v>
      </x:c>
      <x:c r="C43" s="9" t="str">
        <x:v>27 Apr 2001–1 Jun 2014</x:v>
      </x:c>
      <x:c r="D43" s="9" t="str">
        <x:v>Gender</x:v>
      </x:c>
      <x:c r="E43" s="9" t="str">
        <x:v>Gender policy and organizations</x:v>
      </x:c>
      <x:c r="F43" s="9" t="str">
        <x:v>Material finding</x:v>
      </x:c>
      <x:c r="G43" s="9" t="str">
        <x:v>Women’s cultural participation and Bathukamma featured in statehood mobilization.</x:v>
      </x:c>
      <x:c r="H43" s="9" t="str">
        <x:v>This documents participation and cultural organization, not a verified KCR-led women’s rights policy.</x:v>
      </x:c>
      <x:c r="I43" s="9" t="str">
        <x:v>Other Telangana leaders, TJAC organizers and regional coalition parties; bargaining and autonomous mobilization were alternative routes.</x:v>
      </x:c>
      <x:c r="J43" s="20" t="str">
        <x:v>A future state’s boundaries and later popularity should not be assumed in earlier strategic choices.</x:v>
      </x:c>
      <x:c r="K43" s="20" t="str">
        <x:v>Party chronology is selective; surviving English reporting underrepresents local and Telugu archives.</x:v>
      </x:c>
      <x:c r="L43" s="9" t="str">
        <x:v>Recorded premise + labeled analysis</x:v>
      </x:c>
      <x:c r="M43" s="9" t="str">
        <x:v>See cited sources; inference is not an additional observed fact</x:v>
      </x:c>
      <x:c r="N43" s="18" t="str">
        <x:v>S005</x:v>
      </x:c>
    </x:row>
    <x:row r="44" ht="54" customHeight="1">
      <x:c r="A44" s="17" t="str">
        <x:v>P2-G08</x:v>
      </x:c>
      <x:c r="B44" s="17" t="str">
        <x:v>P2</x:v>
      </x:c>
      <x:c r="C44" s="17" t="str">
        <x:v>27 Apr 2001–1 Jun 2014</x:v>
      </x:c>
      <x:c r="D44" s="17" t="str">
        <x:v>Gender</x:v>
      </x:c>
      <x:c r="E44" s="17" t="str">
        <x:v>Political use of gender identity</x:v>
      </x:c>
      <x:c r="F44" s="17" t="str">
        <x:v>Material finding</x:v>
      </x:c>
      <x:c r="G44" s="17" t="str">
        <x:v>Gendered cultural symbols and women’s participation helped express regional belonging.</x:v>
      </x:c>
      <x:c r="H44" s="17" t="str">
        <x:v>The identity use belongs to a collective movement; do not assign every instance personally to KCR.</x:v>
      </x:c>
      <x:c r="I44" s="17" t="str">
        <x:v>Other Telangana leaders, TJAC organizers and regional coalition parties; bargaining and autonomous mobilization were alternative routes.</x:v>
      </x:c>
      <x:c r="J44" s="21" t="str">
        <x:v>A future state’s boundaries and later popularity should not be assumed in earlier strategic choices.</x:v>
      </x:c>
      <x:c r="K44" s="21" t="str">
        <x:v>Party chronology is selective; surviving English reporting underrepresents local and Telugu archives.</x:v>
      </x:c>
      <x:c r="L44" s="17" t="str">
        <x:v>Recorded premise + labeled analysis</x:v>
      </x:c>
      <x:c r="M44" s="17" t="str">
        <x:v>See cited sources; inference is not an additional observed fact</x:v>
      </x:c>
      <x:c r="N44" s="19" t="str">
        <x:v>S005</x:v>
      </x:c>
    </x:row>
    <x:row r="45" ht="54" customHeight="1">
      <x:c r="A45" s="9" t="str">
        <x:v>P2-G09</x:v>
      </x:c>
      <x:c r="B45" s="9" t="str">
        <x:v>P2</x:v>
      </x:c>
      <x:c r="C45" s="9" t="str">
        <x:v>27 Apr 2001–1 Jun 2014</x:v>
      </x:c>
      <x:c r="D45" s="9" t="str">
        <x:v>Gender</x:v>
      </x:c>
      <x:c r="E45" s="9" t="str">
        <x:v>Representation and effects</x:v>
      </x:c>
      <x:c r="F45" s="9" t="str">
        <x:v>Material finding</x:v>
      </x:c>
      <x:c r="G45" s="9" t="str">
        <x:v>Women’s movement participation did not automatically create later cabinet access.</x:v>
      </x:c>
      <x:c r="H45" s="9" t="str">
        <x:v>Assess movement inclusion and governing power as distinct stages.</x:v>
      </x:c>
      <x:c r="I45" s="9" t="str">
        <x:v>Other Telangana leaders, TJAC organizers and regional coalition parties; bargaining and autonomous mobilization were alternative routes.</x:v>
      </x:c>
      <x:c r="J45" s="20" t="str">
        <x:v>A future state’s boundaries and later popularity should not be assumed in earlier strategic choices.</x:v>
      </x:c>
      <x:c r="K45" s="20" t="str">
        <x:v>Party chronology is selective; surviving English reporting underrepresents local and Telugu archives.</x:v>
      </x:c>
      <x:c r="L45" s="9" t="str">
        <x:v>Recorded premise + labeled analysis</x:v>
      </x:c>
      <x:c r="M45" s="9" t="str">
        <x:v>See cited sources; inference is not an additional observed fact</x:v>
      </x:c>
      <x:c r="N45" s="18" t="str">
        <x:v>S005; S029</x:v>
      </x:c>
    </x:row>
    <x:row r="46" ht="54" customHeight="1">
      <x:c r="A46" s="17" t="str">
        <x:v>P2-G10</x:v>
      </x:c>
      <x:c r="B46" s="17" t="str">
        <x:v>P2</x:v>
      </x:c>
      <x:c r="C46" s="17" t="str">
        <x:v>27 Apr 2001–1 Jun 2014</x:v>
      </x:c>
      <x:c r="D46" s="17" t="str">
        <x:v>Gender</x:v>
      </x:c>
      <x:c r="E46" s="17" t="str">
        <x:v>Assessment over time</x:v>
      </x:c>
      <x:c r="F46" s="17" t="str">
        <x:v>Research limitation</x:v>
      </x:c>
      <x:c r="G46" s="17" t="str">
        <x:v>Movement histories celebrate participation but provide limited gender-disaggregated leadership evidence.</x:v>
      </x:c>
      <x:c r="H46" s="17" t="str">
        <x:v>Retrospective recognition should preserve women’s agency rather than subsume it into a male leader’s biography.</x:v>
      </x:c>
      <x:c r="I46" s="17" t="str">
        <x:v>Other Telangana leaders, TJAC organizers and regional coalition parties; bargaining and autonomous mobilization were alternative routes.</x:v>
      </x:c>
      <x:c r="J46" s="21" t="str">
        <x:v>A future state’s boundaries and later popularity should not be assumed in earlier strategic choices.</x:v>
      </x:c>
      <x:c r="K46" s="21" t="str">
        <x:v>Party chronology is selective; surviving English reporting underrepresents local and Telugu archives.</x:v>
      </x:c>
      <x:c r="L46" s="17" t="str">
        <x:v>Uncertain / research limitation</x:v>
      </x:c>
      <x:c r="M46" s="17" t="str">
        <x:v>Disposition limited to reviewed source set</x:v>
      </x:c>
      <x:c r="N46" s="19" t="str">
        <x:v>S005; S006</x:v>
      </x:c>
    </x:row>
    <x:row r="47" ht="54" customHeight="1">
      <x:c r="A47" s="9" t="str">
        <x:v>P3-E01</x:v>
      </x:c>
      <x:c r="B47" s="9" t="str">
        <x:v>P3</x:v>
      </x:c>
      <x:c r="C47" s="9" t="str">
        <x:v>2 Jun 2014–12 Dec 2018</x:v>
      </x:c>
      <x:c r="D47" s="9" t="str">
        <x:v>Era</x:v>
      </x:c>
      <x:c r="E47" s="9" t="str">
        <x:v>Party system</x:v>
      </x:c>
      <x:c r="F47" s="9" t="str">
        <x:v>Material finding</x:v>
      </x:c>
      <x:c r="G47" s="9" t="str">
        <x:v>TRS moved from statehood party to governing party and secured a larger mandate in 2018.</x:v>
      </x:c>
      <x:c r="H47" s="9" t="str">
        <x:v>The basis of accountability expanded from advocacy to public-service performance.</x:v>
      </x:c>
      <x:c r="I47" s="9" t="str">
        <x:v>New-state administrators and contemporary state governments; targeted transfers and service investment were available choices.</x:v>
      </x:c>
      <x:c r="J47" s="20" t="str">
        <x:v>State formation did not create an economy or bureaucracy from nothing; compare equivalent responsibilities.</x:v>
      </x:c>
      <x:c r="K47" s="20" t="str">
        <x:v>Administrative programme descriptions establish design more readily than actual reach or causal effects.</x:v>
      </x:c>
      <x:c r="L47" s="9" t="str">
        <x:v>Recorded premise + labeled analysis</x:v>
      </x:c>
      <x:c r="M47" s="9" t="str">
        <x:v>See cited sources; inference is not an additional observed fact</x:v>
      </x:c>
      <x:c r="N47" s="18" t="str">
        <x:v>S001; S004; S009</x:v>
      </x:c>
    </x:row>
    <x:row r="48" ht="54" customHeight="1">
      <x:c r="A48" s="17" t="str">
        <x:v>P3-E02</x:v>
      </x:c>
      <x:c r="B48" s="17" t="str">
        <x:v>P3</x:v>
      </x:c>
      <x:c r="C48" s="17" t="str">
        <x:v>2 Jun 2014–12 Dec 2018</x:v>
      </x:c>
      <x:c r="D48" s="17" t="str">
        <x:v>Era</x:v>
      </x:c>
      <x:c r="E48" s="17" t="str">
        <x:v>Constitutional and institutional environment</x:v>
      </x:c>
      <x:c r="F48" s="17" t="str">
        <x:v>Material finding</x:v>
      </x:c>
      <x:c r="G48" s="17" t="str">
        <x:v>The CM held executive responsibility in a new state with inherited administrative systems.</x:v>
      </x:c>
      <x:c r="H48" s="17" t="str">
        <x:v>State formation created room for new policies while retaining constitutional checks and intergovernmental constraints.</x:v>
      </x:c>
      <x:c r="I48" s="17" t="str">
        <x:v>New-state administrators and contemporary state governments; targeted transfers and service investment were available choices.</x:v>
      </x:c>
      <x:c r="J48" s="21" t="str">
        <x:v>State formation did not create an economy or bureaucracy from nothing; compare equivalent responsibilities.</x:v>
      </x:c>
      <x:c r="K48" s="21" t="str">
        <x:v>Administrative programme descriptions establish design more readily than actual reach or causal effects.</x:v>
      </x:c>
      <x:c r="L48" s="17" t="str">
        <x:v>Recorded premise + labeled analysis</x:v>
      </x:c>
      <x:c r="M48" s="17" t="str">
        <x:v>See cited sources; inference is not an additional observed fact</x:v>
      </x:c>
      <x:c r="N48" s="19" t="str">
        <x:v>S007; S020</x:v>
      </x:c>
    </x:row>
    <x:row r="49" ht="54" customHeight="1">
      <x:c r="A49" s="9" t="str">
        <x:v>P3-E03</x:v>
      </x:c>
      <x:c r="B49" s="9" t="str">
        <x:v>P3</x:v>
      </x:c>
      <x:c r="C49" s="9" t="str">
        <x:v>2 Jun 2014–12 Dec 2018</x:v>
      </x:c>
      <x:c r="D49" s="9" t="str">
        <x:v>Era</x:v>
      </x:c>
      <x:c r="E49" s="9" t="str">
        <x:v>Electoral environment</x:v>
      </x:c>
      <x:c r="F49" s="9" t="str">
        <x:v>Material finding</x:v>
      </x:c>
      <x:c r="G49" s="9" t="str">
        <x:v>The 2014 election preceded the appointed day; 2018 was an early Assembly election.</x:v>
      </x:c>
      <x:c r="H49" s="9" t="str">
        <x:v>Use the 119-seat Telangana denominator and distinguish a term from an election date.</x:v>
      </x:c>
      <x:c r="I49" s="9" t="str">
        <x:v>New-state administrators and contemporary state governments; targeted transfers and service investment were available choices.</x:v>
      </x:c>
      <x:c r="J49" s="20" t="str">
        <x:v>State formation did not create an economy or bureaucracy from nothing; compare equivalent responsibilities.</x:v>
      </x:c>
      <x:c r="K49" s="20" t="str">
        <x:v>Administrative programme descriptions establish design more readily than actual reach or causal effects.</x:v>
      </x:c>
      <x:c r="L49" s="9" t="str">
        <x:v>Recorded premise + labeled analysis</x:v>
      </x:c>
      <x:c r="M49" s="9" t="str">
        <x:v>See cited sources; inference is not an additional observed fact</x:v>
      </x:c>
      <x:c r="N49" s="18" t="str">
        <x:v>S004; S007; S009</x:v>
      </x:c>
    </x:row>
    <x:row r="50" ht="54" customHeight="1">
      <x:c r="A50" s="17" t="str">
        <x:v>P3-E04</x:v>
      </x:c>
      <x:c r="B50" s="17" t="str">
        <x:v>P3</x:v>
      </x:c>
      <x:c r="C50" s="17" t="str">
        <x:v>2 Jun 2014–12 Dec 2018</x:v>
      </x:c>
      <x:c r="D50" s="17" t="str">
        <x:v>Era</x:v>
      </x:c>
      <x:c r="E50" s="17" t="str">
        <x:v>Economic regime</x:v>
      </x:c>
      <x:c r="F50" s="17" t="str">
        <x:v>Material finding</x:v>
      </x:c>
      <x:c r="G50" s="17" t="str">
        <x:v>Transfers, irrigation and industrial approvals became prominent policy instruments.</x:v>
      </x:c>
      <x:c r="H50" s="17" t="str">
        <x:v>Capital programmes and recurrent benefits require different fiscal and outcome tests.</x:v>
      </x:c>
      <x:c r="I50" s="17" t="str">
        <x:v>New-state administrators and contemporary state governments; targeted transfers and service investment were available choices.</x:v>
      </x:c>
      <x:c r="J50" s="21" t="str">
        <x:v>State formation did not create an economy or bureaucracy from nothing; compare equivalent responsibilities.</x:v>
      </x:c>
      <x:c r="K50" s="21" t="str">
        <x:v>Administrative programme descriptions establish design more readily than actual reach or causal effects.</x:v>
      </x:c>
      <x:c r="L50" s="17" t="str">
        <x:v>Recorded premise + labeled analysis</x:v>
      </x:c>
      <x:c r="M50" s="17" t="str">
        <x:v>See cited sources; inference is not an additional observed fact</x:v>
      </x:c>
      <x:c r="N50" s="19" t="str">
        <x:v>S021; S023; S025; S035</x:v>
      </x:c>
    </x:row>
    <x:row r="51" ht="54" customHeight="1">
      <x:c r="A51" s="9" t="str">
        <x:v>P3-E05</x:v>
      </x:c>
      <x:c r="B51" s="9" t="str">
        <x:v>P3</x:v>
      </x:c>
      <x:c r="C51" s="9" t="str">
        <x:v>2 Jun 2014–12 Dec 2018</x:v>
      </x:c>
      <x:c r="D51" s="9" t="str">
        <x:v>Era</x:v>
      </x:c>
      <x:c r="E51" s="9" t="str">
        <x:v>International system</x:v>
      </x:c>
      <x:c r="F51" s="9" t="str">
        <x:v>Material finding</x:v>
      </x:c>
      <x:c r="G51" s="9" t="str">
        <x:v>Industrial facilitation addressed investment decisions extending beyond the state.</x:v>
      </x:c>
      <x:c r="H51" s="9" t="str">
        <x:v>Global markets are an indirect context; approvals cannot establish the CM’s causal contribution to realized investment.</x:v>
      </x:c>
      <x:c r="I51" s="9" t="str">
        <x:v>New-state administrators and contemporary state governments; targeted transfers and service investment were available choices.</x:v>
      </x:c>
      <x:c r="J51" s="20" t="str">
        <x:v>State formation did not create an economy or bureaucracy from nothing; compare equivalent responsibilities.</x:v>
      </x:c>
      <x:c r="K51" s="20" t="str">
        <x:v>Administrative programme descriptions establish design more readily than actual reach or causal effects.</x:v>
      </x:c>
      <x:c r="L51" s="9" t="str">
        <x:v>Recorded premise + labeled analysis</x:v>
      </x:c>
      <x:c r="M51" s="9" t="str">
        <x:v>See cited sources; inference is not an additional observed fact</x:v>
      </x:c>
      <x:c r="N51" s="18" t="str">
        <x:v>S034; S035</x:v>
      </x:c>
    </x:row>
    <x:row r="52" ht="54" customHeight="1">
      <x:c r="A52" s="17" t="str">
        <x:v>P3-E06</x:v>
      </x:c>
      <x:c r="B52" s="17" t="str">
        <x:v>P3</x:v>
      </x:c>
      <x:c r="C52" s="17" t="str">
        <x:v>2 Jun 2014–12 Dec 2018</x:v>
      </x:c>
      <x:c r="D52" s="17" t="str">
        <x:v>Era</x:v>
      </x:c>
      <x:c r="E52" s="17" t="str">
        <x:v>Media and campaigning</x:v>
      </x:c>
      <x:c r="F52" s="17" t="str">
        <x:v>Material finding</x:v>
      </x:c>
      <x:c r="G52" s="17" t="str">
        <x:v>Schemes and the statehood leadership image featured in the 2018 campaign assessment.</x:v>
      </x:c>
      <x:c r="H52" s="17" t="str">
        <x:v>A public promise can influence voting before long-run outcomes are observable.</x:v>
      </x:c>
      <x:c r="I52" s="17" t="str">
        <x:v>New-state administrators and contemporary state governments; targeted transfers and service investment were available choices.</x:v>
      </x:c>
      <x:c r="J52" s="21" t="str">
        <x:v>State formation did not create an economy or bureaucracy from nothing; compare equivalent responsibilities.</x:v>
      </x:c>
      <x:c r="K52" s="21" t="str">
        <x:v>Administrative programme descriptions establish design more readily than actual reach or causal effects.</x:v>
      </x:c>
      <x:c r="L52" s="17" t="str">
        <x:v>Recorded premise + labeled analysis</x:v>
      </x:c>
      <x:c r="M52" s="17" t="str">
        <x:v>See cited sources; inference is not an additional observed fact</x:v>
      </x:c>
      <x:c r="N52" s="19" t="str">
        <x:v>S004; S021</x:v>
      </x:c>
    </x:row>
    <x:row r="53" ht="54" customHeight="1">
      <x:c r="A53" s="9" t="str">
        <x:v>P3-E07</x:v>
      </x:c>
      <x:c r="B53" s="9" t="str">
        <x:v>P3</x:v>
      </x:c>
      <x:c r="C53" s="9" t="str">
        <x:v>2 Jun 2014–12 Dec 2018</x:v>
      </x:c>
      <x:c r="D53" s="9" t="str">
        <x:v>Era</x:v>
      </x:c>
      <x:c r="E53" s="9" t="str">
        <x:v>Political organization</x:v>
      </x:c>
      <x:c r="F53" s="9" t="str">
        <x:v>Material finding</x:v>
      </x:c>
      <x:c r="G53" s="9" t="str">
        <x:v>Governing authority and major portfolios were concentrated around the CM and prominent relatives.</x:v>
      </x:c>
      <x:c r="H53" s="9" t="str">
        <x:v>Party leadership and state appointments jointly shaped access, though influence is not fully measurable.</x:v>
      </x:c>
      <x:c r="I53" s="9" t="str">
        <x:v>New-state administrators and contemporary state governments; targeted transfers and service investment were available choices.</x:v>
      </x:c>
      <x:c r="J53" s="20" t="str">
        <x:v>State formation did not create an economy or bureaucracy from nothing; compare equivalent responsibilities.</x:v>
      </x:c>
      <x:c r="K53" s="20" t="str">
        <x:v>Administrative programme descriptions establish design more readily than actual reach or causal effects.</x:v>
      </x:c>
      <x:c r="L53" s="9" t="str">
        <x:v>Recorded premise + labeled analysis</x:v>
      </x:c>
      <x:c r="M53" s="9" t="str">
        <x:v>See cited sources; inference is not an additional observed fact</x:v>
      </x:c>
      <x:c r="N53" s="18" t="str">
        <x:v>S028; S033</x:v>
      </x:c>
    </x:row>
    <x:row r="54" ht="54" customHeight="1">
      <x:c r="A54" s="17" t="str">
        <x:v>P3-E08</x:v>
      </x:c>
      <x:c r="B54" s="17" t="str">
        <x:v>P3</x:v>
      </x:c>
      <x:c r="C54" s="17" t="str">
        <x:v>2 Jun 2014–12 Dec 2018</x:v>
      </x:c>
      <x:c r="D54" s="17" t="str">
        <x:v>Era</x:v>
      </x:c>
      <x:c r="E54" s="17" t="str">
        <x:v>Social environment</x:v>
      </x:c>
      <x:c r="F54" s="17" t="str">
        <x:v>Material finding</x:v>
      </x:c>
      <x:c r="G54" s="17" t="str">
        <x:v>Ownership-linked farm aid and gender- or caste-targeted support used different eligibility categories.</x:v>
      </x:c>
      <x:c r="H54" s="17" t="str">
        <x:v>Overlapping identities produce different inclusion and exclusion mechanisms; avoid one undifferentiated beneficiary group.</x:v>
      </x:c>
      <x:c r="I54" s="17" t="str">
        <x:v>New-state administrators and contemporary state governments; targeted transfers and service investment were available choices.</x:v>
      </x:c>
      <x:c r="J54" s="21" t="str">
        <x:v>State formation did not create an economy or bureaucracy from nothing; compare equivalent responsibilities.</x:v>
      </x:c>
      <x:c r="K54" s="21" t="str">
        <x:v>Administrative programme descriptions establish design more readily than actual reach or causal effects.</x:v>
      </x:c>
      <x:c r="L54" s="17" t="str">
        <x:v>Recorded premise + labeled analysis</x:v>
      </x:c>
      <x:c r="M54" s="17" t="str">
        <x:v>See cited sources; inference is not an additional observed fact</x:v>
      </x:c>
      <x:c r="N54" s="19" t="str">
        <x:v>S021; S023; S032</x:v>
      </x:c>
    </x:row>
    <x:row r="55" ht="54" customHeight="1">
      <x:c r="A55" s="9" t="str">
        <x:v>P3-E09</x:v>
      </x:c>
      <x:c r="B55" s="9" t="str">
        <x:v>P3</x:v>
      </x:c>
      <x:c r="C55" s="9" t="str">
        <x:v>2 Jun 2014–12 Dec 2018</x:v>
      </x:c>
      <x:c r="D55" s="9" t="str">
        <x:v>Era</x:v>
      </x:c>
      <x:c r="E55" s="9" t="str">
        <x:v>State structure and geography</x:v>
      </x:c>
      <x:c r="F55" s="9" t="str">
        <x:v>Material finding</x:v>
      </x:c>
      <x:c r="G55" s="9" t="str">
        <x:v>Telangana began as a separate state with Hyderabad shared as capital under a time-limited statutory arrangement.</x:v>
      </x:c>
      <x:c r="H55" s="9" t="str">
        <x:v>Territory, capital and resource arrangements were institutional inputs to governing.</x:v>
      </x:c>
      <x:c r="I55" s="9" t="str">
        <x:v>New-state administrators and contemporary state governments; targeted transfers and service investment were available choices.</x:v>
      </x:c>
      <x:c r="J55" s="20" t="str">
        <x:v>State formation did not create an economy or bureaucracy from nothing; compare equivalent responsibilities.</x:v>
      </x:c>
      <x:c r="K55" s="20" t="str">
        <x:v>Administrative programme descriptions establish design more readily than actual reach or causal effects.</x:v>
      </x:c>
      <x:c r="L55" s="9" t="str">
        <x:v>Recorded premise + labeled analysis</x:v>
      </x:c>
      <x:c r="M55" s="9" t="str">
        <x:v>See cited sources; inference is not an additional observed fact</x:v>
      </x:c>
      <x:c r="N55" s="18" t="str">
        <x:v>S007</x:v>
      </x:c>
    </x:row>
    <x:row r="56" ht="54" customHeight="1">
      <x:c r="A56" s="17" t="str">
        <x:v>P3-E10</x:v>
      </x:c>
      <x:c r="B56" s="17" t="str">
        <x:v>P3</x:v>
      </x:c>
      <x:c r="C56" s="17" t="str">
        <x:v>2 Jun 2014–12 Dec 2018</x:v>
      </x:c>
      <x:c r="D56" s="17" t="str">
        <x:v>Era</x:v>
      </x:c>
      <x:c r="E56" s="17" t="str">
        <x:v>Evidence environment</x:v>
      </x:c>
      <x:c r="F56" s="17" t="str">
        <x:v>Research limitation</x:v>
      </x:c>
      <x:c r="G56" s="17" t="str">
        <x:v>Official scheme descriptions often mix goals, implementation statements and benefit revisions.</x:v>
      </x:c>
      <x:c r="H56" s="17" t="str">
        <x:v>Keep administrative claims distinct from independently measured household outcomes.</x:v>
      </x:c>
      <x:c r="I56" s="17" t="str">
        <x:v>New-state administrators and contemporary state governments; targeted transfers and service investment were available choices.</x:v>
      </x:c>
      <x:c r="J56" s="21" t="str">
        <x:v>State formation did not create an economy or bureaucracy from nothing; compare equivalent responsibilities.</x:v>
      </x:c>
      <x:c r="K56" s="21" t="str">
        <x:v>Administrative programme descriptions establish design more readily than actual reach or causal effects.</x:v>
      </x:c>
      <x:c r="L56" s="17" t="str">
        <x:v>Uncertain / research limitation</x:v>
      </x:c>
      <x:c r="M56" s="17" t="str">
        <x:v>Disposition limited to reviewed source set</x:v>
      </x:c>
      <x:c r="N56" s="19" t="str">
        <x:v>S022; S023; S024; S025; S027</x:v>
      </x:c>
    </x:row>
    <x:row r="57" ht="54" customHeight="1">
      <x:c r="A57" s="9" t="str">
        <x:v>P3-G01</x:v>
      </x:c>
      <x:c r="B57" s="9" t="str">
        <x:v>P3</x:v>
      </x:c>
      <x:c r="C57" s="9" t="str">
        <x:v>2 Jun 2014–12 Dec 2018</x:v>
      </x:c>
      <x:c r="D57" s="9" t="str">
        <x:v>Gender</x:v>
      </x:c>
      <x:c r="E57" s="9" t="str">
        <x:v>Entry and advancement</x:v>
      </x:c>
      <x:c r="F57" s="9" t="str">
        <x:v>Evidence not found</x:v>
      </x:c>
      <x:c r="G57" s="9" t="str">
        <x:v>KCR’s move to CM is tied to statehood leadership and the electoral mandate; a specific gender-selection mechanism is not proven.</x:v>
      </x:c>
      <x:c r="H57" s="9" t="str">
        <x:v>This does not erase structural gender questions; it limits the individual causal claim.</x:v>
      </x:c>
      <x:c r="I57" s="9" t="str">
        <x:v>New-state administrators and contemporary state governments; targeted transfers and service investment were available choices.</x:v>
      </x:c>
      <x:c r="J57" s="20" t="str">
        <x:v>State formation did not create an economy or bureaucracy from nothing; compare equivalent responsibilities.</x:v>
      </x:c>
      <x:c r="K57" s="20" t="str">
        <x:v>Administrative programme descriptions establish design more readily than actual reach or causal effects.</x:v>
      </x:c>
      <x:c r="L57" s="9" t="str">
        <x:v>Uncertain / research limitation</x:v>
      </x:c>
      <x:c r="M57" s="9" t="str">
        <x:v>Disposition limited to reviewed source set</x:v>
      </x:c>
      <x:c r="N57" s="18" t="str">
        <x:v>S001; S004</x:v>
      </x:c>
    </x:row>
    <x:row r="58" ht="54" customHeight="1">
      <x:c r="A58" s="17" t="str">
        <x:v>P3-G02</x:v>
      </x:c>
      <x:c r="B58" s="17" t="str">
        <x:v>P3</x:v>
      </x:c>
      <x:c r="C58" s="17" t="str">
        <x:v>2 Jun 2014–12 Dec 2018</x:v>
      </x:c>
      <x:c r="D58" s="17" t="str">
        <x:v>Gender</x:v>
      </x:c>
      <x:c r="E58" s="17" t="str">
        <x:v>Gender milestones</x:v>
      </x:c>
      <x:c r="F58" s="17" t="str">
        <x:v>Not materially relevant</x:v>
      </x:c>
      <x:c r="G58" s="17" t="str">
        <x:v>He became the first CM of a new state, not a gender-first chief minister.</x:v>
      </x:c>
      <x:c r="H58" s="17" t="str">
        <x:v>Describe the territorial milestone accurately.</x:v>
      </x:c>
      <x:c r="I58" s="17" t="str">
        <x:v>New-state administrators and contemporary state governments; targeted transfers and service investment were available choices.</x:v>
      </x:c>
      <x:c r="J58" s="21" t="str">
        <x:v>State formation did not create an economy or bureaucracy from nothing; compare equivalent responsibilities.</x:v>
      </x:c>
      <x:c r="K58" s="21" t="str">
        <x:v>Administrative programme descriptions establish design more readily than actual reach or causal effects.</x:v>
      </x:c>
      <x:c r="L58" s="17" t="str">
        <x:v>Scope judgment</x:v>
      </x:c>
      <x:c r="M58" s="17" t="str">
        <x:v>Disposition limited to reviewed source set</x:v>
      </x:c>
      <x:c r="N58" s="19" t="str">
        <x:v>S001; S007</x:v>
      </x:c>
    </x:row>
    <x:row r="59" ht="54" customHeight="1">
      <x:c r="A59" s="9" t="str">
        <x:v>P3-G03</x:v>
      </x:c>
      <x:c r="B59" s="9" t="str">
        <x:v>P3</x:v>
      </x:c>
      <x:c r="C59" s="9" t="str">
        <x:v>2 Jun 2014–12 Dec 2018</x:v>
      </x:c>
      <x:c r="D59" s="9" t="str">
        <x:v>Gender</x:v>
      </x:c>
      <x:c r="E59" s="9" t="str">
        <x:v>Networks and pathways</x:v>
      </x:c>
      <x:c r="F59" s="9" t="str">
        <x:v>Material finding</x:v>
      </x:c>
      <x:c r="G59" s="9" t="str">
        <x:v>KTR and Harish Rao held prominent government roles; Kavitha held a parliamentary role.</x:v>
      </x:c>
      <x:c r="H59" s="9" t="str">
        <x:v>Gender and kinship intersect in pathways, but relatives’ roles and capabilities should be evaluated separately.</x:v>
      </x:c>
      <x:c r="I59" s="9" t="str">
        <x:v>New-state administrators and contemporary state governments; targeted transfers and service investment were available choices.</x:v>
      </x:c>
      <x:c r="J59" s="20" t="str">
        <x:v>State formation did not create an economy or bureaucracy from nothing; compare equivalent responsibilities.</x:v>
      </x:c>
      <x:c r="K59" s="20" t="str">
        <x:v>Administrative programme descriptions establish design more readily than actual reach or causal effects.</x:v>
      </x:c>
      <x:c r="L59" s="9" t="str">
        <x:v>Recorded premise + labeled analysis</x:v>
      </x:c>
      <x:c r="M59" s="9" t="str">
        <x:v>See cited sources; inference is not an additional observed fact</x:v>
      </x:c>
      <x:c r="N59" s="18" t="str">
        <x:v>S028; S033</x:v>
      </x:c>
    </x:row>
    <x:row r="60" ht="54" customHeight="1">
      <x:c r="A60" s="17" t="str">
        <x:v>P3-G04</x:v>
      </x:c>
      <x:c r="B60" s="17" t="str">
        <x:v>P3</x:v>
      </x:c>
      <x:c r="C60" s="17" t="str">
        <x:v>2 Jun 2014–12 Dec 2018</x:v>
      </x:c>
      <x:c r="D60" s="17" t="str">
        <x:v>Gender</x:v>
      </x:c>
      <x:c r="E60" s="17" t="str">
        <x:v>Role and portfolio allocation</x:v>
      </x:c>
      <x:c r="F60" s="17" t="str">
        <x:v>Material finding</x:v>
      </x:c>
      <x:c r="G60" s="17" t="str">
        <x:v>No women served in the first KCR cabinet.</x:v>
      </x:c>
      <x:c r="H60" s="17" t="str">
        <x:v>Descriptive executive exclusion is directly observable; individual motives remain unverified.</x:v>
      </x:c>
      <x:c r="I60" s="17" t="str">
        <x:v>New-state administrators and contemporary state governments; targeted transfers and service investment were available choices.</x:v>
      </x:c>
      <x:c r="J60" s="21" t="str">
        <x:v>State formation did not create an economy or bureaucracy from nothing; compare equivalent responsibilities.</x:v>
      </x:c>
      <x:c r="K60" s="21" t="str">
        <x:v>Administrative programme descriptions establish design more readily than actual reach or causal effects.</x:v>
      </x:c>
      <x:c r="L60" s="17" t="str">
        <x:v>Recorded premise + labeled analysis</x:v>
      </x:c>
      <x:c r="M60" s="17" t="str">
        <x:v>See cited sources; inference is not an additional observed fact</x:v>
      </x:c>
      <x:c r="N60" s="19" t="str">
        <x:v>S029; S030</x:v>
      </x:c>
    </x:row>
    <x:row r="61" ht="54" customHeight="1">
      <x:c r="A61" s="9" t="str">
        <x:v>P3-G05</x:v>
      </x:c>
      <x:c r="B61" s="9" t="str">
        <x:v>P3</x:v>
      </x:c>
      <x:c r="C61" s="9" t="str">
        <x:v>2 Jun 2014–12 Dec 2018</x:v>
      </x:c>
      <x:c r="D61" s="9" t="str">
        <x:v>Gender</x:v>
      </x:c>
      <x:c r="E61" s="9" t="str">
        <x:v>Campaign and media treatment</x:v>
      </x:c>
      <x:c r="F61" s="9" t="str">
        <x:v>Material finding</x:v>
      </x:c>
      <x:c r="G61" s="9" t="str">
        <x:v>The absence of women ministers attracted public criticism that continued into 2019.</x:v>
      </x:c>
      <x:c r="H61" s="9" t="str">
        <x:v>Use actual criticism as evidence; avoid inventing gendered attacks on KCR’s appearance or private family role.</x:v>
      </x:c>
      <x:c r="I61" s="9" t="str">
        <x:v>New-state administrators and contemporary state governments; targeted transfers and service investment were available choices.</x:v>
      </x:c>
      <x:c r="J61" s="20" t="str">
        <x:v>State formation did not create an economy or bureaucracy from nothing; compare equivalent responsibilities.</x:v>
      </x:c>
      <x:c r="K61" s="20" t="str">
        <x:v>Administrative programme descriptions establish design more readily than actual reach or causal effects.</x:v>
      </x:c>
      <x:c r="L61" s="9" t="str">
        <x:v>Recorded premise + labeled analysis</x:v>
      </x:c>
      <x:c r="M61" s="9" t="str">
        <x:v>See cited sources; inference is not an additional observed fact</x:v>
      </x:c>
      <x:c r="N61" s="18" t="str">
        <x:v>S029; S030</x:v>
      </x:c>
    </x:row>
    <x:row r="62" ht="54" customHeight="1">
      <x:c r="A62" s="17" t="str">
        <x:v>P3-G06</x:v>
      </x:c>
      <x:c r="B62" s="17" t="str">
        <x:v>P3</x:v>
      </x:c>
      <x:c r="C62" s="17" t="str">
        <x:v>2 Jun 2014–12 Dec 2018</x:v>
      </x:c>
      <x:c r="D62" s="17" t="str">
        <x:v>Gender</x:v>
      </x:c>
      <x:c r="E62" s="17" t="str">
        <x:v>Threats and security</x:v>
      </x:c>
      <x:c r="F62" s="17" t="str">
        <x:v>Evidence not found</x:v>
      </x:c>
      <x:c r="G62" s="17" t="str">
        <x:v>No material gender-specific security constraint on KCR is established for this term.</x:v>
      </x:c>
      <x:c r="H62" s="17" t="str">
        <x:v>Ordinary executive security arrangements cannot substantiate gender-targeted threat claims.</x:v>
      </x:c>
      <x:c r="I62" s="17" t="str">
        <x:v>New-state administrators and contemporary state governments; targeted transfers and service investment were available choices.</x:v>
      </x:c>
      <x:c r="J62" s="21" t="str">
        <x:v>State formation did not create an economy or bureaucracy from nothing; compare equivalent responsibilities.</x:v>
      </x:c>
      <x:c r="K62" s="21" t="str">
        <x:v>Administrative programme descriptions establish design more readily than actual reach or causal effects.</x:v>
      </x:c>
      <x:c r="L62" s="17" t="str">
        <x:v>Uncertain / research limitation</x:v>
      </x:c>
      <x:c r="M62" s="17" t="str">
        <x:v>Disposition limited to reviewed source set</x:v>
      </x:c>
      <x:c r="N62" s="19" t="str">
        <x:v>S001; S029</x:v>
      </x:c>
    </x:row>
    <x:row r="63" ht="54" customHeight="1">
      <x:c r="A63" s="9" t="str">
        <x:v>P3-G07</x:v>
      </x:c>
      <x:c r="B63" s="9" t="str">
        <x:v>P3</x:v>
      </x:c>
      <x:c r="C63" s="9" t="str">
        <x:v>2 Jun 2014–12 Dec 2018</x:v>
      </x:c>
      <x:c r="D63" s="9" t="str">
        <x:v>Gender</x:v>
      </x:c>
      <x:c r="E63" s="9" t="str">
        <x:v>Gender policy and organizations</x:v>
      </x:c>
      <x:c r="F63" s="9" t="str">
        <x:v>Material finding</x:v>
      </x:c>
      <x:c r="G63" s="9" t="str">
        <x:v>Marriage assistance and KCR Kit had explicitly gendered eligibility and benefit designs.</x:v>
      </x:c>
      <x:c r="H63" s="9" t="str">
        <x:v>Support for household costs and maternity differs from measured agency or equal political authority.</x:v>
      </x:c>
      <x:c r="I63" s="9" t="str">
        <x:v>New-state administrators and contemporary state governments; targeted transfers and service investment were available choices.</x:v>
      </x:c>
      <x:c r="J63" s="20" t="str">
        <x:v>State formation did not create an economy or bureaucracy from nothing; compare equivalent responsibilities.</x:v>
      </x:c>
      <x:c r="K63" s="20" t="str">
        <x:v>Administrative programme descriptions establish design more readily than actual reach or causal effects.</x:v>
      </x:c>
      <x:c r="L63" s="9" t="str">
        <x:v>Recorded premise + labeled analysis</x:v>
      </x:c>
      <x:c r="M63" s="9" t="str">
        <x:v>See cited sources; inference is not an additional observed fact</x:v>
      </x:c>
      <x:c r="N63" s="18" t="str">
        <x:v>S023; S027</x:v>
      </x:c>
    </x:row>
    <x:row r="64" ht="54" customHeight="1">
      <x:c r="A64" s="17" t="str">
        <x:v>P3-G08</x:v>
      </x:c>
      <x:c r="B64" s="17" t="str">
        <x:v>P3</x:v>
      </x:c>
      <x:c r="C64" s="17" t="str">
        <x:v>2 Jun 2014–12 Dec 2018</x:v>
      </x:c>
      <x:c r="D64" s="17" t="str">
        <x:v>Gender</x:v>
      </x:c>
      <x:c r="E64" s="17" t="str">
        <x:v>Political use of gender identity</x:v>
      </x:c>
      <x:c r="F64" s="17" t="str">
        <x:v>Research limitation</x:v>
      </x:c>
      <x:c r="G64" s="17" t="str">
        <x:v>Personalized welfare branding is visible, but explicit paternal identity as a causal strategy is not established by this source set.</x:v>
      </x:c>
      <x:c r="H64" s="17" t="str">
        <x:v>Avoid converting a leader’s named programme into an unsupported psychological or gender claim.</x:v>
      </x:c>
      <x:c r="I64" s="17" t="str">
        <x:v>New-state administrators and contemporary state governments; targeted transfers and service investment were available choices.</x:v>
      </x:c>
      <x:c r="J64" s="21" t="str">
        <x:v>State formation did not create an economy or bureaucracy from nothing; compare equivalent responsibilities.</x:v>
      </x:c>
      <x:c r="K64" s="21" t="str">
        <x:v>Administrative programme descriptions establish design more readily than actual reach or causal effects.</x:v>
      </x:c>
      <x:c r="L64" s="17" t="str">
        <x:v>Uncertain / research limitation</x:v>
      </x:c>
      <x:c r="M64" s="17" t="str">
        <x:v>Disposition limited to reviewed source set</x:v>
      </x:c>
      <x:c r="N64" s="19" t="str">
        <x:v>S023; S027</x:v>
      </x:c>
    </x:row>
    <x:row r="65" ht="54" customHeight="1">
      <x:c r="A65" s="9" t="str">
        <x:v>P3-G09</x:v>
      </x:c>
      <x:c r="B65" s="9" t="str">
        <x:v>P3</x:v>
      </x:c>
      <x:c r="C65" s="9" t="str">
        <x:v>2 Jun 2014–12 Dec 2018</x:v>
      </x:c>
      <x:c r="D65" s="9" t="str">
        <x:v>Gender</x:v>
      </x:c>
      <x:c r="E65" s="9" t="str">
        <x:v>Representation and effects</x:v>
      </x:c>
      <x:c r="F65" s="9" t="str">
        <x:v>Material finding</x:v>
      </x:c>
      <x:c r="G65" s="9" t="str">
        <x:v>Targeted assistance coexisted with the absence of women ministers; land assistance targeted poor SC agricultural women.</x:v>
      </x:c>
      <x:c r="H65" s="9" t="str">
        <x:v>Substantive transfers, asset access and executive representation need separate indicators.</x:v>
      </x:c>
      <x:c r="I65" s="9" t="str">
        <x:v>New-state administrators and contemporary state governments; targeted transfers and service investment were available choices.</x:v>
      </x:c>
      <x:c r="J65" s="20" t="str">
        <x:v>State formation did not create an economy or bureaucracy from nothing; compare equivalent responsibilities.</x:v>
      </x:c>
      <x:c r="K65" s="20" t="str">
        <x:v>Administrative programme descriptions establish design more readily than actual reach or causal effects.</x:v>
      </x:c>
      <x:c r="L65" s="9" t="str">
        <x:v>Recorded premise + labeled analysis</x:v>
      </x:c>
      <x:c r="M65" s="9" t="str">
        <x:v>See cited sources; inference is not an additional observed fact</x:v>
      </x:c>
      <x:c r="N65" s="18" t="str">
        <x:v>S023; S029; S032</x:v>
      </x:c>
    </x:row>
    <x:row r="66" ht="54" customHeight="1">
      <x:c r="A66" s="17" t="str">
        <x:v>P3-G10</x:v>
      </x:c>
      <x:c r="B66" s="17" t="str">
        <x:v>P3</x:v>
      </x:c>
      <x:c r="C66" s="17" t="str">
        <x:v>2 Jun 2014–12 Dec 2018</x:v>
      </x:c>
      <x:c r="D66" s="17" t="str">
        <x:v>Gender</x:v>
      </x:c>
      <x:c r="E66" s="17" t="str">
        <x:v>Assessment over time</x:v>
      </x:c>
      <x:c r="F66" s="17" t="str">
        <x:v>Material finding</x:v>
      </x:c>
      <x:c r="G66" s="17" t="str">
        <x:v>Later 2019 gender analysis identified the first-term cabinet gap as part of a wider representation problem.</x:v>
      </x:c>
      <x:c r="H66" s="17" t="str">
        <x:v>Apply contemporary cabinet comparators; national prevalence does not excuse a state’s exclusion.</x:v>
      </x:c>
      <x:c r="I66" s="17" t="str">
        <x:v>New-state administrators and contemporary state governments; targeted transfers and service investment were available choices.</x:v>
      </x:c>
      <x:c r="J66" s="21" t="str">
        <x:v>State formation did not create an economy or bureaucracy from nothing; compare equivalent responsibilities.</x:v>
      </x:c>
      <x:c r="K66" s="21" t="str">
        <x:v>Administrative programme descriptions establish design more readily than actual reach or causal effects.</x:v>
      </x:c>
      <x:c r="L66" s="17" t="str">
        <x:v>Recorded premise + labeled analysis</x:v>
      </x:c>
      <x:c r="M66" s="17" t="str">
        <x:v>See cited sources; inference is not an additional observed fact</x:v>
      </x:c>
      <x:c r="N66" s="19" t="str">
        <x:v>S029; S030</x:v>
      </x:c>
    </x:row>
    <x:row r="67" ht="54" customHeight="1">
      <x:c r="A67" s="9" t="str">
        <x:v>P4-E01</x:v>
      </x:c>
      <x:c r="B67" s="9" t="str">
        <x:v>P4</x:v>
      </x:c>
      <x:c r="C67" s="9" t="str">
        <x:v>13 Dec 2018–6 Dec 2023</x:v>
      </x:c>
      <x:c r="D67" s="9" t="str">
        <x:v>Era</x:v>
      </x:c>
      <x:c r="E67" s="9" t="str">
        <x:v>Party system</x:v>
      </x:c>
      <x:c r="F67" s="9" t="str">
        <x:v>Material finding</x:v>
      </x:c>
      <x:c r="G67" s="9" t="str">
        <x:v>A large TRS Assembly majority preceded BRS renaming and Congress’s 2023 victory.</x:v>
      </x:c>
      <x:c r="H67" s="9" t="str">
        <x:v>State and national ambitions may compete for organizational attention; a precise causal trade-off is not established.</x:v>
      </x:c>
      <x:c r="I67" s="9" t="str">
        <x:v>Contemporary Indian chief ministers and Telangana rival parties; broader recruitment and less concentrated decision-making were available choices.</x:v>
      </x:c>
      <x:c r="J67" s="20" t="str">
        <x:v>Separate pandemic shock, national conditions and inherited assets from choices within state executive control.</x:v>
      </x:c>
      <x:c r="K67" s="20" t="str">
        <x:v>Budgets contain estimates; interviews identify experiences, not a representative statewide causal estimate.</x:v>
      </x:c>
      <x:c r="L67" s="9" t="str">
        <x:v>Recorded premise + labeled analysis</x:v>
      </x:c>
      <x:c r="M67" s="9" t="str">
        <x:v>See cited sources; inference is not an additional observed fact</x:v>
      </x:c>
      <x:c r="N67" s="18" t="str">
        <x:v>S017; S014; S009</x:v>
      </x:c>
    </x:row>
    <x:row r="68" ht="54" customHeight="1">
      <x:c r="A68" s="17" t="str">
        <x:v>P4-E02</x:v>
      </x:c>
      <x:c r="B68" s="17" t="str">
        <x:v>P4</x:v>
      </x:c>
      <x:c r="C68" s="17" t="str">
        <x:v>13 Dec 2018–6 Dec 2023</x:v>
      </x:c>
      <x:c r="D68" s="17" t="str">
        <x:v>Era</x:v>
      </x:c>
      <x:c r="E68" s="17" t="str">
        <x:v>Constitutional and institutional environment</x:v>
      </x:c>
      <x:c r="F68" s="17" t="str">
        <x:v>Material finding</x:v>
      </x:c>
      <x:c r="G68" s="17" t="str">
        <x:v>Large executive discretion remained subject to audits, courts, the legislature and elections.</x:v>
      </x:c>
      <x:c r="H68" s="17" t="str">
        <x:v>Legislative strength does not eliminate procedural duties or spending accountability.</x:v>
      </x:c>
      <x:c r="I68" s="17" t="str">
        <x:v>Contemporary Indian chief ministers and Telangana rival parties; broader recruitment and less concentrated decision-making were available choices.</x:v>
      </x:c>
      <x:c r="J68" s="21" t="str">
        <x:v>Separate pandemic shock, national conditions and inherited assets from choices within state executive control.</x:v>
      </x:c>
      <x:c r="K68" s="21" t="str">
        <x:v>Budgets contain estimates; interviews identify experiences, not a representative statewide causal estimate.</x:v>
      </x:c>
      <x:c r="L68" s="17" t="str">
        <x:v>Recorded premise + labeled analysis</x:v>
      </x:c>
      <x:c r="M68" s="17" t="str">
        <x:v>See cited sources; inference is not an additional observed fact</x:v>
      </x:c>
      <x:c r="N68" s="19" t="str">
        <x:v>S018; S020; S028; S036</x:v>
      </x:c>
    </x:row>
    <x:row r="69" ht="54" customHeight="1">
      <x:c r="A69" s="9" t="str">
        <x:v>P4-E03</x:v>
      </x:c>
      <x:c r="B69" s="9" t="str">
        <x:v>P4</x:v>
      </x:c>
      <x:c r="C69" s="9" t="str">
        <x:v>13 Dec 2018–6 Dec 2023</x:v>
      </x:c>
      <x:c r="D69" s="9" t="str">
        <x:v>Era</x:v>
      </x:c>
      <x:c r="E69" s="9" t="str">
        <x:v>Electoral environment</x:v>
      </x:c>
      <x:c r="F69" s="9" t="str">
        <x:v>Material finding</x:v>
      </x:c>
      <x:c r="G69" s="9" t="str">
        <x:v>KCR won Gajwel but lost Kamareddy in 2023; BRS lost government.</x:v>
      </x:c>
      <x:c r="H69" s="9" t="str">
        <x:v>Personal dual-seat outcomes differ from party vote and seat aggregates.</x:v>
      </x:c>
      <x:c r="I69" s="9" t="str">
        <x:v>Contemporary Indian chief ministers and Telangana rival parties; broader recruitment and less concentrated decision-making were available choices.</x:v>
      </x:c>
      <x:c r="J69" s="20" t="str">
        <x:v>Separate pandemic shock, national conditions and inherited assets from choices within state executive control.</x:v>
      </x:c>
      <x:c r="K69" s="20" t="str">
        <x:v>Budgets contain estimates; interviews identify experiences, not a representative statewide causal estimate.</x:v>
      </x:c>
      <x:c r="L69" s="9" t="str">
        <x:v>Recorded premise + labeled analysis</x:v>
      </x:c>
      <x:c r="M69" s="9" t="str">
        <x:v>See cited sources; inference is not an additional observed fact</x:v>
      </x:c>
      <x:c r="N69" s="18" t="str">
        <x:v>S011; S012; S014</x:v>
      </x:c>
    </x:row>
    <x:row r="70" ht="54" customHeight="1">
      <x:c r="A70" s="17" t="str">
        <x:v>P4-E04</x:v>
      </x:c>
      <x:c r="B70" s="17" t="str">
        <x:v>P4</x:v>
      </x:c>
      <x:c r="C70" s="17" t="str">
        <x:v>13 Dec 2018–6 Dec 2023</x:v>
      </x:c>
      <x:c r="D70" s="17" t="str">
        <x:v>Era</x:v>
      </x:c>
      <x:c r="E70" s="17" t="str">
        <x:v>Economic regime</x:v>
      </x:c>
      <x:c r="F70" s="17" t="str">
        <x:v>Material finding</x:v>
      </x:c>
      <x:c r="G70" s="17" t="str">
        <x:v>Pandemic-era disruption overlapped with large transfers, capital projects and off-budget financing.</x:v>
      </x:c>
      <x:c r="H70" s="17" t="str">
        <x:v>Compare liabilities on a consistent perimeter and isolate shocks before assigning personal economic credit or blame.</x:v>
      </x:c>
      <x:c r="I70" s="17" t="str">
        <x:v>Contemporary Indian chief ministers and Telangana rival parties; broader recruitment and less concentrated decision-making were available choices.</x:v>
      </x:c>
      <x:c r="J70" s="21" t="str">
        <x:v>Separate pandemic shock, national conditions and inherited assets from choices within state executive control.</x:v>
      </x:c>
      <x:c r="K70" s="21" t="str">
        <x:v>Budgets contain estimates; interviews identify experiences, not a representative statewide causal estimate.</x:v>
      </x:c>
      <x:c r="L70" s="17" t="str">
        <x:v>Recorded premise + labeled analysis</x:v>
      </x:c>
      <x:c r="M70" s="17" t="str">
        <x:v>See cited sources; inference is not an additional observed fact</x:v>
      </x:c>
      <x:c r="N70" s="19" t="str">
        <x:v>S020; S018; S033</x:v>
      </x:c>
    </x:row>
    <x:row r="71" ht="54" customHeight="1">
      <x:c r="A71" s="9" t="str">
        <x:v>P4-E05</x:v>
      </x:c>
      <x:c r="B71" s="9" t="str">
        <x:v>P4</x:v>
      </x:c>
      <x:c r="C71" s="9" t="str">
        <x:v>13 Dec 2018–6 Dec 2023</x:v>
      </x:c>
      <x:c r="D71" s="9" t="str">
        <x:v>Era</x:v>
      </x:c>
      <x:c r="E71" s="9" t="str">
        <x:v>International system</x:v>
      </x:c>
      <x:c r="F71" s="9" t="str">
        <x:v>Material finding</x:v>
      </x:c>
      <x:c r="G71" s="9" t="str">
        <x:v>IT-led development remained exposed to firms and market conditions beyond state authority.</x:v>
      </x:c>
      <x:c r="H71" s="9" t="str">
        <x:v>State averages and sector narratives cannot identify how much growth one leader caused.</x:v>
      </x:c>
      <x:c r="I71" s="9" t="str">
        <x:v>Contemporary Indian chief ministers and Telangana rival parties; broader recruitment and less concentrated decision-making were available choices.</x:v>
      </x:c>
      <x:c r="J71" s="20" t="str">
        <x:v>Separate pandemic shock, national conditions and inherited assets from choices within state executive control.</x:v>
      </x:c>
      <x:c r="K71" s="20" t="str">
        <x:v>Budgets contain estimates; interviews identify experiences, not a representative statewide causal estimate.</x:v>
      </x:c>
      <x:c r="L71" s="9" t="str">
        <x:v>Recorded premise + labeled analysis</x:v>
      </x:c>
      <x:c r="M71" s="9" t="str">
        <x:v>See cited sources; inference is not an additional observed fact</x:v>
      </x:c>
      <x:c r="N71" s="18" t="str">
        <x:v>S020; S028; S014</x:v>
      </x:c>
    </x:row>
    <x:row r="72" ht="54" customHeight="1">
      <x:c r="A72" s="17" t="str">
        <x:v>P4-E06</x:v>
      </x:c>
      <x:c r="B72" s="17" t="str">
        <x:v>P4</x:v>
      </x:c>
      <x:c r="C72" s="17" t="str">
        <x:v>13 Dec 2018–6 Dec 2023</x:v>
      </x:c>
      <x:c r="D72" s="17" t="str">
        <x:v>Era</x:v>
      </x:c>
      <x:c r="E72" s="17" t="str">
        <x:v>Media and campaigning</x:v>
      </x:c>
      <x:c r="F72" s="17" t="str">
        <x:v>Material finding</x:v>
      </x:c>
      <x:c r="G72" s="17" t="str">
        <x:v>Social-media discussion of unemployment and campaign claims about welfare appeared in post-election reporting.</x:v>
      </x:c>
      <x:c r="H72" s="17" t="str">
        <x:v>Digital visibility changes issue circulation, but the sources do not isolate persuasion effects.</x:v>
      </x:c>
      <x:c r="I72" s="17" t="str">
        <x:v>Contemporary Indian chief ministers and Telangana rival parties; broader recruitment and less concentrated decision-making were available choices.</x:v>
      </x:c>
      <x:c r="J72" s="21" t="str">
        <x:v>Separate pandemic shock, national conditions and inherited assets from choices within state executive control.</x:v>
      </x:c>
      <x:c r="K72" s="21" t="str">
        <x:v>Budgets contain estimates; interviews identify experiences, not a representative statewide causal estimate.</x:v>
      </x:c>
      <x:c r="L72" s="17" t="str">
        <x:v>Recorded premise + labeled analysis</x:v>
      </x:c>
      <x:c r="M72" s="17" t="str">
        <x:v>See cited sources; inference is not an additional observed fact</x:v>
      </x:c>
      <x:c r="N72" s="19" t="str">
        <x:v>S033; S014</x:v>
      </x:c>
    </x:row>
    <x:row r="73" ht="54" customHeight="1">
      <x:c r="A73" s="9" t="str">
        <x:v>P4-E07</x:v>
      </x:c>
      <x:c r="B73" s="9" t="str">
        <x:v>P4</x:v>
      </x:c>
      <x:c r="C73" s="9" t="str">
        <x:v>13 Dec 2018–6 Dec 2023</x:v>
      </x:c>
      <x:c r="D73" s="9" t="str">
        <x:v>Era</x:v>
      </x:c>
      <x:c r="E73" s="9" t="str">
        <x:v>Political organization</x:v>
      </x:c>
      <x:c r="F73" s="9" t="str">
        <x:v>Material finding</x:v>
      </x:c>
      <x:c r="G73" s="9" t="str">
        <x:v>KTR became working president; he and Harish Rao held major ministries.</x:v>
      </x:c>
      <x:c r="H73" s="9" t="str">
        <x:v>Family networks shaped leadership pathways without establishing that relatives had identical interests.</x:v>
      </x:c>
      <x:c r="I73" s="9" t="str">
        <x:v>Contemporary Indian chief ministers and Telangana rival parties; broader recruitment and less concentrated decision-making were available choices.</x:v>
      </x:c>
      <x:c r="J73" s="20" t="str">
        <x:v>Separate pandemic shock, national conditions and inherited assets from choices within state executive control.</x:v>
      </x:c>
      <x:c r="K73" s="20" t="str">
        <x:v>Budgets contain estimates; interviews identify experiences, not a representative statewide causal estimate.</x:v>
      </x:c>
      <x:c r="L73" s="9" t="str">
        <x:v>Recorded premise + labeled analysis</x:v>
      </x:c>
      <x:c r="M73" s="9" t="str">
        <x:v>See cited sources; inference is not an additional observed fact</x:v>
      </x:c>
      <x:c r="N73" s="18" t="str">
        <x:v>S028</x:v>
      </x:c>
    </x:row>
    <x:row r="74" ht="54" customHeight="1">
      <x:c r="A74" s="17" t="str">
        <x:v>P4-E08</x:v>
      </x:c>
      <x:c r="B74" s="17" t="str">
        <x:v>P4</x:v>
      </x:c>
      <x:c r="C74" s="17" t="str">
        <x:v>13 Dec 2018–6 Dec 2023</x:v>
      </x:c>
      <x:c r="D74" s="17" t="str">
        <x:v>Era</x:v>
      </x:c>
      <x:c r="E74" s="17" t="str">
        <x:v>Social environment</x:v>
      </x:c>
      <x:c r="F74" s="17" t="str">
        <x:v>Material finding</x:v>
      </x:c>
      <x:c r="G74" s="17" t="str">
        <x:v>Dalit entrepreneurship assistance and land promises faced questions over selection and coverage.</x:v>
      </x:c>
      <x:c r="H74" s="17" t="str">
        <x:v>Policy recipients, excluded households and activists can have divergent interests within the same caste category.</x:v>
      </x:c>
      <x:c r="I74" s="17" t="str">
        <x:v>Contemporary Indian chief ministers and Telangana rival parties; broader recruitment and less concentrated decision-making were available choices.</x:v>
      </x:c>
      <x:c r="J74" s="21" t="str">
        <x:v>Separate pandemic shock, national conditions and inherited assets from choices within state executive control.</x:v>
      </x:c>
      <x:c r="K74" s="21" t="str">
        <x:v>Budgets contain estimates; interviews identify experiences, not a representative statewide causal estimate.</x:v>
      </x:c>
      <x:c r="L74" s="17" t="str">
        <x:v>Recorded premise + labeled analysis</x:v>
      </x:c>
      <x:c r="M74" s="17" t="str">
        <x:v>See cited sources; inference is not an additional observed fact</x:v>
      </x:c>
      <x:c r="N74" s="19" t="str">
        <x:v>S031; S032</x:v>
      </x:c>
    </x:row>
    <x:row r="75" ht="54" customHeight="1">
      <x:c r="A75" s="9" t="str">
        <x:v>P4-E09</x:v>
      </x:c>
      <x:c r="B75" s="9" t="str">
        <x:v>P4</x:v>
      </x:c>
      <x:c r="C75" s="9" t="str">
        <x:v>13 Dec 2018–6 Dec 2023</x:v>
      </x:c>
      <x:c r="D75" s="9" t="str">
        <x:v>Era</x:v>
      </x:c>
      <x:c r="E75" s="9" t="str">
        <x:v>State structure and geography</x:v>
      </x:c>
      <x:c r="F75" s="9" t="str">
        <x:v>Material finding</x:v>
      </x:c>
      <x:c r="G75" s="9" t="str">
        <x:v>Development and electoral strength differed between Hyderabad-region and other constituencies in 2023 reporting.</x:v>
      </x:c>
      <x:c r="H75" s="9" t="str">
        <x:v>Avoid projecting a metropolitan growth indicator onto every district or constituency.</x:v>
      </x:c>
      <x:c r="I75" s="9" t="str">
        <x:v>Contemporary Indian chief ministers and Telangana rival parties; broader recruitment and less concentrated decision-making were available choices.</x:v>
      </x:c>
      <x:c r="J75" s="20" t="str">
        <x:v>Separate pandemic shock, national conditions and inherited assets from choices within state executive control.</x:v>
      </x:c>
      <x:c r="K75" s="20" t="str">
        <x:v>Budgets contain estimates; interviews identify experiences, not a representative statewide causal estimate.</x:v>
      </x:c>
      <x:c r="L75" s="9" t="str">
        <x:v>Recorded premise + labeled analysis</x:v>
      </x:c>
      <x:c r="M75" s="9" t="str">
        <x:v>See cited sources; inference is not an additional observed fact</x:v>
      </x:c>
      <x:c r="N75" s="18" t="str">
        <x:v>S014; S020</x:v>
      </x:c>
    </x:row>
    <x:row r="76" ht="54" customHeight="1">
      <x:c r="A76" s="17" t="str">
        <x:v>P4-E10</x:v>
      </x:c>
      <x:c r="B76" s="17" t="str">
        <x:v>P4</x:v>
      </x:c>
      <x:c r="C76" s="17" t="str">
        <x:v>13 Dec 2018–6 Dec 2023</x:v>
      </x:c>
      <x:c r="D76" s="17" t="str">
        <x:v>Era</x:v>
      </x:c>
      <x:c r="E76" s="17" t="str">
        <x:v>Evidence environment</x:v>
      </x:c>
      <x:c r="F76" s="17" t="str">
        <x:v>Research limitation</x:v>
      </x:c>
      <x:c r="G76" s="17" t="str">
        <x:v>Contemporary reporting, budget estimates and later audit findings use different observation windows.</x:v>
      </x:c>
      <x:c r="H76" s="17" t="str">
        <x:v>No single source captures the entire term; retain publication and measurement dates separately.</x:v>
      </x:c>
      <x:c r="I76" s="17" t="str">
        <x:v>Contemporary Indian chief ministers and Telangana rival parties; broader recruitment and less concentrated decision-making were available choices.</x:v>
      </x:c>
      <x:c r="J76" s="21" t="str">
        <x:v>Separate pandemic shock, national conditions and inherited assets from choices within state executive control.</x:v>
      </x:c>
      <x:c r="K76" s="21" t="str">
        <x:v>Budgets contain estimates; interviews identify experiences, not a representative statewide causal estimate.</x:v>
      </x:c>
      <x:c r="L76" s="17" t="str">
        <x:v>Uncertain / research limitation</x:v>
      </x:c>
      <x:c r="M76" s="17" t="str">
        <x:v>Disposition limited to reviewed source set</x:v>
      </x:c>
      <x:c r="N76" s="19" t="str">
        <x:v>S018; S020; S033</x:v>
      </x:c>
    </x:row>
    <x:row r="77" ht="54" customHeight="1">
      <x:c r="A77" s="9" t="str">
        <x:v>P4-G01</x:v>
      </x:c>
      <x:c r="B77" s="9" t="str">
        <x:v>P4</x:v>
      </x:c>
      <x:c r="C77" s="9" t="str">
        <x:v>13 Dec 2018–6 Dec 2023</x:v>
      </x:c>
      <x:c r="D77" s="9" t="str">
        <x:v>Gender</x:v>
      </x:c>
      <x:c r="E77" s="9" t="str">
        <x:v>Entry and advancement</x:v>
      </x:c>
      <x:c r="F77" s="9" t="str">
        <x:v>Material finding</x:v>
      </x:c>
      <x:c r="G77" s="9" t="str">
        <x:v>Two women entered the cabinet in September 2019 after earlier exclusion.</x:v>
      </x:c>
      <x:c r="H77" s="9" t="str">
        <x:v>A changed selection outcome is documented; complete internal selection criteria are not.</x:v>
      </x:c>
      <x:c r="I77" s="9" t="str">
        <x:v>Contemporary Indian chief ministers and Telangana rival parties; broader recruitment and less concentrated decision-making were available choices.</x:v>
      </x:c>
      <x:c r="J77" s="20" t="str">
        <x:v>Separate pandemic shock, national conditions and inherited assets from choices within state executive control.</x:v>
      </x:c>
      <x:c r="K77" s="20" t="str">
        <x:v>Budgets contain estimates; interviews identify experiences, not a representative statewide causal estimate.</x:v>
      </x:c>
      <x:c r="L77" s="9" t="str">
        <x:v>Recorded premise + labeled analysis</x:v>
      </x:c>
      <x:c r="M77" s="9" t="str">
        <x:v>See cited sources; inference is not an additional observed fact</x:v>
      </x:c>
      <x:c r="N77" s="18" t="str">
        <x:v>S028; S029</x:v>
      </x:c>
    </x:row>
    <x:row r="78" ht="54" customHeight="1">
      <x:c r="A78" s="17" t="str">
        <x:v>P4-G02</x:v>
      </x:c>
      <x:c r="B78" s="17" t="str">
        <x:v>P4</x:v>
      </x:c>
      <x:c r="C78" s="17" t="str">
        <x:v>13 Dec 2018–6 Dec 2023</x:v>
      </x:c>
      <x:c r="D78" s="17" t="str">
        <x:v>Gender</x:v>
      </x:c>
      <x:c r="E78" s="17" t="str">
        <x:v>Gender milestones</x:v>
      </x:c>
      <x:c r="F78" s="17" t="str">
        <x:v>Material finding</x:v>
      </x:c>
      <x:c r="G78" s="17" t="str">
        <x:v>Sabitha Indra Reddy and Satyavati Rathod became the state’s first women ministers.</x:v>
      </x:c>
      <x:c r="H78" s="17" t="str">
        <x:v>The milestone belongs to their appointments, not to KCR as a male gender pioneer.</x:v>
      </x:c>
      <x:c r="I78" s="17" t="str">
        <x:v>Contemporary Indian chief ministers and Telangana rival parties; broader recruitment and less concentrated decision-making were available choices.</x:v>
      </x:c>
      <x:c r="J78" s="21" t="str">
        <x:v>Separate pandemic shock, national conditions and inherited assets from choices within state executive control.</x:v>
      </x:c>
      <x:c r="K78" s="21" t="str">
        <x:v>Budgets contain estimates; interviews identify experiences, not a representative statewide causal estimate.</x:v>
      </x:c>
      <x:c r="L78" s="17" t="str">
        <x:v>Recorded premise + labeled analysis</x:v>
      </x:c>
      <x:c r="M78" s="17" t="str">
        <x:v>See cited sources; inference is not an additional observed fact</x:v>
      </x:c>
      <x:c r="N78" s="19" t="str">
        <x:v>S028; S030</x:v>
      </x:c>
    </x:row>
    <x:row r="79" ht="54" customHeight="1">
      <x:c r="A79" s="9" t="str">
        <x:v>P4-G03</x:v>
      </x:c>
      <x:c r="B79" s="9" t="str">
        <x:v>P4</x:v>
      </x:c>
      <x:c r="C79" s="9" t="str">
        <x:v>13 Dec 2018–6 Dec 2023</x:v>
      </x:c>
      <x:c r="D79" s="9" t="str">
        <x:v>Gender</x:v>
      </x:c>
      <x:c r="E79" s="9" t="str">
        <x:v>Networks and pathways</x:v>
      </x:c>
      <x:c r="F79" s="9" t="str">
        <x:v>Material finding</x:v>
      </x:c>
      <x:c r="G79" s="9" t="str">
        <x:v>Male relatives held Finance and IT/urban-development authority; women entrants had their own political careers.</x:v>
      </x:c>
      <x:c r="H79" s="9" t="str">
        <x:v>Do not erase women’s independent experience or infer equal informal influence from formal office alone.</x:v>
      </x:c>
      <x:c r="I79" s="9" t="str">
        <x:v>Contemporary Indian chief ministers and Telangana rival parties; broader recruitment and less concentrated decision-making were available choices.</x:v>
      </x:c>
      <x:c r="J79" s="20" t="str">
        <x:v>Separate pandemic shock, national conditions and inherited assets from choices within state executive control.</x:v>
      </x:c>
      <x:c r="K79" s="20" t="str">
        <x:v>Budgets contain estimates; interviews identify experiences, not a representative statewide causal estimate.</x:v>
      </x:c>
      <x:c r="L79" s="9" t="str">
        <x:v>Recorded premise + labeled analysis</x:v>
      </x:c>
      <x:c r="M79" s="9" t="str">
        <x:v>See cited sources; inference is not an additional observed fact</x:v>
      </x:c>
      <x:c r="N79" s="18" t="str">
        <x:v>S028</x:v>
      </x:c>
    </x:row>
    <x:row r="80" ht="54" customHeight="1">
      <x:c r="A80" s="17" t="str">
        <x:v>P4-G04</x:v>
      </x:c>
      <x:c r="B80" s="17" t="str">
        <x:v>P4</x:v>
      </x:c>
      <x:c r="C80" s="17" t="str">
        <x:v>13 Dec 2018–6 Dec 2023</x:v>
      </x:c>
      <x:c r="D80" s="17" t="str">
        <x:v>Gender</x:v>
      </x:c>
      <x:c r="E80" s="17" t="str">
        <x:v>Role and portfolio allocation</x:v>
      </x:c>
      <x:c r="F80" s="17" t="str">
        <x:v>Material finding</x:v>
      </x:c>
      <x:c r="G80" s="17" t="str">
        <x:v>Sabitha received Education; Satyavati received ST Welfare and Women/Child Welfare.</x:v>
      </x:c>
      <x:c r="H80" s="17" t="str">
        <x:v>Gendered portfolio concentration is a legitimate comparison question; appointments alone do not prove a motive.</x:v>
      </x:c>
      <x:c r="I80" s="17" t="str">
        <x:v>Contemporary Indian chief ministers and Telangana rival parties; broader recruitment and less concentrated decision-making were available choices.</x:v>
      </x:c>
      <x:c r="J80" s="21" t="str">
        <x:v>Separate pandemic shock, national conditions and inherited assets from choices within state executive control.</x:v>
      </x:c>
      <x:c r="K80" s="21" t="str">
        <x:v>Budgets contain estimates; interviews identify experiences, not a representative statewide causal estimate.</x:v>
      </x:c>
      <x:c r="L80" s="17" t="str">
        <x:v>Recorded premise + labeled analysis</x:v>
      </x:c>
      <x:c r="M80" s="17" t="str">
        <x:v>See cited sources; inference is not an additional observed fact</x:v>
      </x:c>
      <x:c r="N80" s="19" t="str">
        <x:v>S028; S030</x:v>
      </x:c>
    </x:row>
    <x:row r="81" ht="54" customHeight="1">
      <x:c r="A81" s="9" t="str">
        <x:v>P4-G05</x:v>
      </x:c>
      <x:c r="B81" s="9" t="str">
        <x:v>P4</x:v>
      </x:c>
      <x:c r="C81" s="9" t="str">
        <x:v>13 Dec 2018–6 Dec 2023</x:v>
      </x:c>
      <x:c r="D81" s="9" t="str">
        <x:v>Gender</x:v>
      </x:c>
      <x:c r="E81" s="9" t="str">
        <x:v>Campaign and media treatment</x:v>
      </x:c>
      <x:c r="F81" s="9" t="str">
        <x:v>Material finding</x:v>
      </x:c>
      <x:c r="G81" s="9" t="str">
        <x:v>Gender-focused analysis compared women’s ministerial share across states in 2019.</x:v>
      </x:c>
      <x:c r="H81" s="9" t="str">
        <x:v>This is evidence of contemporary critical framing, not of all media treatment of KCR.</x:v>
      </x:c>
      <x:c r="I81" s="9" t="str">
        <x:v>Contemporary Indian chief ministers and Telangana rival parties; broader recruitment and less concentrated decision-making were available choices.</x:v>
      </x:c>
      <x:c r="J81" s="20" t="str">
        <x:v>Separate pandemic shock, national conditions and inherited assets from choices within state executive control.</x:v>
      </x:c>
      <x:c r="K81" s="20" t="str">
        <x:v>Budgets contain estimates; interviews identify experiences, not a representative statewide causal estimate.</x:v>
      </x:c>
      <x:c r="L81" s="9" t="str">
        <x:v>Recorded premise + labeled analysis</x:v>
      </x:c>
      <x:c r="M81" s="9" t="str">
        <x:v>See cited sources; inference is not an additional observed fact</x:v>
      </x:c>
      <x:c r="N81" s="18" t="str">
        <x:v>S030</x:v>
      </x:c>
    </x:row>
    <x:row r="82" ht="54" customHeight="1">
      <x:c r="A82" s="17" t="str">
        <x:v>P4-G06</x:v>
      </x:c>
      <x:c r="B82" s="17" t="str">
        <x:v>P4</x:v>
      </x:c>
      <x:c r="C82" s="17" t="str">
        <x:v>13 Dec 2018–6 Dec 2023</x:v>
      </x:c>
      <x:c r="D82" s="17" t="str">
        <x:v>Gender</x:v>
      </x:c>
      <x:c r="E82" s="17" t="str">
        <x:v>Threats and security</x:v>
      </x:c>
      <x:c r="F82" s="17" t="str">
        <x:v>Evidence not found</x:v>
      </x:c>
      <x:c r="G82" s="17" t="str">
        <x:v>No specific gender-related threat or harassment directed at KCR is established in the reviewed second-term record.</x:v>
      </x:c>
      <x:c r="H82" s="17" t="str">
        <x:v>Absence in these sources is not evidence of absence in the full historical record.</x:v>
      </x:c>
      <x:c r="I82" s="17" t="str">
        <x:v>Contemporary Indian chief ministers and Telangana rival parties; broader recruitment and less concentrated decision-making were available choices.</x:v>
      </x:c>
      <x:c r="J82" s="21" t="str">
        <x:v>Separate pandemic shock, national conditions and inherited assets from choices within state executive control.</x:v>
      </x:c>
      <x:c r="K82" s="21" t="str">
        <x:v>Budgets contain estimates; interviews identify experiences, not a representative statewide causal estimate.</x:v>
      </x:c>
      <x:c r="L82" s="17" t="str">
        <x:v>Uncertain / research limitation</x:v>
      </x:c>
      <x:c r="M82" s="17" t="str">
        <x:v>Disposition limited to reviewed source set</x:v>
      </x:c>
      <x:c r="N82" s="19" t="str">
        <x:v>S028; S033</x:v>
      </x:c>
    </x:row>
    <x:row r="83" ht="54" customHeight="1">
      <x:c r="A83" s="9" t="str">
        <x:v>P4-G07</x:v>
      </x:c>
      <x:c r="B83" s="9" t="str">
        <x:v>P4</x:v>
      </x:c>
      <x:c r="C83" s="9" t="str">
        <x:v>13 Dec 2018–6 Dec 2023</x:v>
      </x:c>
      <x:c r="D83" s="9" t="str">
        <x:v>Gender</x:v>
      </x:c>
      <x:c r="E83" s="9" t="str">
        <x:v>Gender policy and organizations</x:v>
      </x:c>
      <x:c r="F83" s="9" t="str">
        <x:v>Material finding</x:v>
      </x:c>
      <x:c r="G83" s="9" t="str">
        <x:v>Gender-specific welfare continued; poor SC women were intended beneficiaries of the land programme.</x:v>
      </x:c>
      <x:c r="H83" s="9" t="str">
        <x:v>Intersectional design must be tested against actual coverage and control over assets.</x:v>
      </x:c>
      <x:c r="I83" s="9" t="str">
        <x:v>Contemporary Indian chief ministers and Telangana rival parties; broader recruitment and less concentrated decision-making were available choices.</x:v>
      </x:c>
      <x:c r="J83" s="20" t="str">
        <x:v>Separate pandemic shock, national conditions and inherited assets from choices within state executive control.</x:v>
      </x:c>
      <x:c r="K83" s="20" t="str">
        <x:v>Budgets contain estimates; interviews identify experiences, not a representative statewide causal estimate.</x:v>
      </x:c>
      <x:c r="L83" s="9" t="str">
        <x:v>Recorded premise + labeled analysis</x:v>
      </x:c>
      <x:c r="M83" s="9" t="str">
        <x:v>See cited sources; inference is not an additional observed fact</x:v>
      </x:c>
      <x:c r="N83" s="18" t="str">
        <x:v>S023; S027; S032</x:v>
      </x:c>
    </x:row>
    <x:row r="84" ht="54" customHeight="1">
      <x:c r="A84" s="17" t="str">
        <x:v>P4-G08</x:v>
      </x:c>
      <x:c r="B84" s="17" t="str">
        <x:v>P4</x:v>
      </x:c>
      <x:c r="C84" s="17" t="str">
        <x:v>13 Dec 2018–6 Dec 2023</x:v>
      </x:c>
      <x:c r="D84" s="17" t="str">
        <x:v>Gender</x:v>
      </x:c>
      <x:c r="E84" s="17" t="str">
        <x:v>Political use of gender identity</x:v>
      </x:c>
      <x:c r="F84" s="17" t="str">
        <x:v>Evidence not found</x:v>
      </x:c>
      <x:c r="G84" s="17" t="str">
        <x:v>No defensible estimate links KCR’s own gender presentation to electoral support.</x:v>
      </x:c>
      <x:c r="H84" s="17" t="str">
        <x:v>Do not equate male leadership, family politics or welfare branding with a proven identity effect.</x:v>
      </x:c>
      <x:c r="I84" s="17" t="str">
        <x:v>Contemporary Indian chief ministers and Telangana rival parties; broader recruitment and less concentrated decision-making were available choices.</x:v>
      </x:c>
      <x:c r="J84" s="21" t="str">
        <x:v>Separate pandemic shock, national conditions and inherited assets from choices within state executive control.</x:v>
      </x:c>
      <x:c r="K84" s="21" t="str">
        <x:v>Budgets contain estimates; interviews identify experiences, not a representative statewide causal estimate.</x:v>
      </x:c>
      <x:c r="L84" s="17" t="str">
        <x:v>Uncertain / research limitation</x:v>
      </x:c>
      <x:c r="M84" s="17" t="str">
        <x:v>Disposition limited to reviewed source set</x:v>
      </x:c>
      <x:c r="N84" s="19" t="str">
        <x:v>S014; S033</x:v>
      </x:c>
    </x:row>
    <x:row r="85" ht="54" customHeight="1">
      <x:c r="A85" s="9" t="str">
        <x:v>P4-G09</x:v>
      </x:c>
      <x:c r="B85" s="9" t="str">
        <x:v>P4</x:v>
      </x:c>
      <x:c r="C85" s="9" t="str">
        <x:v>13 Dec 2018–6 Dec 2023</x:v>
      </x:c>
      <x:c r="D85" s="9" t="str">
        <x:v>Gender</x:v>
      </x:c>
      <x:c r="E85" s="9" t="str">
        <x:v>Representation and effects</x:v>
      </x:c>
      <x:c r="F85" s="9" t="str">
        <x:v>Material finding</x:v>
      </x:c>
      <x:c r="G85" s="9" t="str">
        <x:v>Two cabinet appointments improved descriptive inclusion; policy empowerment outcomes remain incompletely measured.</x:v>
      </x:c>
      <x:c r="H85" s="9" t="str">
        <x:v>Separate number of women ministers, portfolio authority, benefit receipt and agency.</x:v>
      </x:c>
      <x:c r="I85" s="9" t="str">
        <x:v>Contemporary Indian chief ministers and Telangana rival parties; broader recruitment and less concentrated decision-making were available choices.</x:v>
      </x:c>
      <x:c r="J85" s="20" t="str">
        <x:v>Separate pandemic shock, national conditions and inherited assets from choices within state executive control.</x:v>
      </x:c>
      <x:c r="K85" s="20" t="str">
        <x:v>Budgets contain estimates; interviews identify experiences, not a representative statewide causal estimate.</x:v>
      </x:c>
      <x:c r="L85" s="9" t="str">
        <x:v>Recorded premise + labeled analysis</x:v>
      </x:c>
      <x:c r="M85" s="9" t="str">
        <x:v>See cited sources; inference is not an additional observed fact</x:v>
      </x:c>
      <x:c r="N85" s="18" t="str">
        <x:v>S028; S030; S023; S027</x:v>
      </x:c>
    </x:row>
    <x:row r="86" ht="54" customHeight="1">
      <x:c r="A86" s="17" t="str">
        <x:v>P4-G10</x:v>
      </x:c>
      <x:c r="B86" s="17" t="str">
        <x:v>P4</x:v>
      </x:c>
      <x:c r="C86" s="17" t="str">
        <x:v>13 Dec 2018–6 Dec 2023</x:v>
      </x:c>
      <x:c r="D86" s="17" t="str">
        <x:v>Gender</x:v>
      </x:c>
      <x:c r="E86" s="17" t="str">
        <x:v>Assessment over time</x:v>
      </x:c>
      <x:c r="F86" s="17" t="str">
        <x:v>Material finding</x:v>
      </x:c>
      <x:c r="G86" s="17" t="str">
        <x:v>Contemporary gender critiques and later electoral critiques assess different aspects of the administration.</x:v>
      </x:c>
      <x:c r="H86" s="17" t="str">
        <x:v>An election defeat cannot by itself validate every gender criticism or measure women’s preferences.</x:v>
      </x:c>
      <x:c r="I86" s="17" t="str">
        <x:v>Contemporary Indian chief ministers and Telangana rival parties; broader recruitment and less concentrated decision-making were available choices.</x:v>
      </x:c>
      <x:c r="J86" s="21" t="str">
        <x:v>Separate pandemic shock, national conditions and inherited assets from choices within state executive control.</x:v>
      </x:c>
      <x:c r="K86" s="21" t="str">
        <x:v>Budgets contain estimates; interviews identify experiences, not a representative statewide causal estimate.</x:v>
      </x:c>
      <x:c r="L86" s="17" t="str">
        <x:v>Recorded premise + labeled analysis</x:v>
      </x:c>
      <x:c r="M86" s="17" t="str">
        <x:v>See cited sources; inference is not an additional observed fact</x:v>
      </x:c>
      <x:c r="N86" s="19" t="str">
        <x:v>S030; S014; S033</x:v>
      </x:c>
    </x:row>
    <x:row r="87" ht="54" customHeight="1">
      <x:c r="A87" s="9" t="str">
        <x:v>P5-E01</x:v>
      </x:c>
      <x:c r="B87" s="9" t="str">
        <x:v>P5</x:v>
      </x:c>
      <x:c r="C87" s="9" t="str">
        <x:v>7 Dec 2023–15 Sep 2026</x:v>
      </x:c>
      <x:c r="D87" s="9" t="str">
        <x:v>Era</x:v>
      </x:c>
      <x:c r="E87" s="9" t="str">
        <x:v>Party system</x:v>
      </x:c>
      <x:c r="F87" s="9" t="str">
        <x:v>Material finding</x:v>
      </x:c>
      <x:c r="G87" s="9" t="str">
        <x:v>BRS lost all Lok Sabha seats in 2024 while Congress and BJP gained parliamentary strength.</x:v>
      </x:c>
      <x:c r="H87" s="9" t="str">
        <x:v>Regional-party recovery must be assessed separately at state and national levels.</x:v>
      </x:c>
      <x:c r="I87" s="9" t="str">
        <x:v>Other former chief ministers and current opposition leaders; legislative scrutiny, litigation and cadre rebuilding are available strategies.</x:v>
      </x:c>
      <x:c r="J87" s="20" t="str">
        <x:v>An opposition leader lacks the incumbent’s executive powers. Do not project either defeat or revival indefinitely.</x:v>
      </x:c>
      <x:c r="K87" s="20" t="str">
        <x:v>Legal reports are snapshots; a later event not retrieved here is not proven absent.</x:v>
      </x:c>
      <x:c r="L87" s="9" t="str">
        <x:v>Recorded premise + labeled analysis</x:v>
      </x:c>
      <x:c r="M87" s="9" t="str">
        <x:v>See cited sources; inference is not an additional observed fact</x:v>
      </x:c>
      <x:c r="N87" s="18" t="str">
        <x:v>S015; S016</x:v>
      </x:c>
    </x:row>
    <x:row r="88" ht="54" customHeight="1">
      <x:c r="A88" s="17" t="str">
        <x:v>P5-E02</x:v>
      </x:c>
      <x:c r="B88" s="17" t="str">
        <x:v>P5</x:v>
      </x:c>
      <x:c r="C88" s="17" t="str">
        <x:v>7 Dec 2023–15 Sep 2026</x:v>
      </x:c>
      <x:c r="D88" s="17" t="str">
        <x:v>Era</x:v>
      </x:c>
      <x:c r="E88" s="17" t="str">
        <x:v>Constitutional and institutional environment</x:v>
      </x:c>
      <x:c r="F88" s="17" t="str">
        <x:v>Material finding</x:v>
      </x:c>
      <x:c r="G88" s="17" t="str">
        <x:v>KCR acted as opposition leader and challenged inquiry procedure; police examined him in a separate investigation.</x:v>
      </x:c>
      <x:c r="H88" s="17" t="str">
        <x:v>Opposition leadership, audit accountability and legal procedural rights remain distinct.</x:v>
      </x:c>
      <x:c r="I88" s="17" t="str">
        <x:v>Other former chief ministers and current opposition leaders; legislative scrutiny, litigation and cadre rebuilding are available strategies.</x:v>
      </x:c>
      <x:c r="J88" s="21" t="str">
        <x:v>An opposition leader lacks the incumbent’s executive powers. Do not project either defeat or revival indefinitely.</x:v>
      </x:c>
      <x:c r="K88" s="21" t="str">
        <x:v>Legal reports are snapshots; a later event not retrieved here is not proven absent.</x:v>
      </x:c>
      <x:c r="L88" s="17" t="str">
        <x:v>Recorded premise + labeled analysis</x:v>
      </x:c>
      <x:c r="M88" s="17" t="str">
        <x:v>See cited sources; inference is not an additional observed fact</x:v>
      </x:c>
      <x:c r="N88" s="19" t="str">
        <x:v>S038; S036; S037</x:v>
      </x:c>
    </x:row>
    <x:row r="89" ht="54" customHeight="1">
      <x:c r="A89" s="9" t="str">
        <x:v>P5-E03</x:v>
      </x:c>
      <x:c r="B89" s="9" t="str">
        <x:v>P5</x:v>
      </x:c>
      <x:c r="C89" s="9" t="str">
        <x:v>7 Dec 2023–15 Sep 2026</x:v>
      </x:c>
      <x:c r="D89" s="9" t="str">
        <x:v>Era</x:v>
      </x:c>
      <x:c r="E89" s="9" t="str">
        <x:v>Electoral environment</x:v>
      </x:c>
      <x:c r="F89" s="9" t="str">
        <x:v>Material finding</x:v>
      </x:c>
      <x:c r="G89" s="9" t="str">
        <x:v>2023 seat tallies were followed by defections, disputes and by-elections.</x:v>
      </x:c>
      <x:c r="H89" s="9" t="str">
        <x:v>Do not label election-day seats as current effective legislative strength.</x:v>
      </x:c>
      <x:c r="I89" s="9" t="str">
        <x:v>Other former chief ministers and current opposition leaders; legislative scrutiny, litigation and cadre rebuilding are available strategies.</x:v>
      </x:c>
      <x:c r="J89" s="20" t="str">
        <x:v>An opposition leader lacks the incumbent’s executive powers. Do not project either defeat or revival indefinitely.</x:v>
      </x:c>
      <x:c r="K89" s="20" t="str">
        <x:v>Legal reports are snapshots; a later event not retrieved here is not proven absent.</x:v>
      </x:c>
      <x:c r="L89" s="9" t="str">
        <x:v>Recorded premise + labeled analysis</x:v>
      </x:c>
      <x:c r="M89" s="9" t="str">
        <x:v>See cited sources; inference is not an additional observed fact</x:v>
      </x:c>
      <x:c r="N89" s="18" t="str">
        <x:v>S014; S047</x:v>
      </x:c>
    </x:row>
    <x:row r="90" ht="54" customHeight="1">
      <x:c r="A90" s="17" t="str">
        <x:v>P5-E04</x:v>
      </x:c>
      <x:c r="B90" s="17" t="str">
        <x:v>P5</x:v>
      </x:c>
      <x:c r="C90" s="17" t="str">
        <x:v>7 Dec 2023–15 Sep 2026</x:v>
      </x:c>
      <x:c r="D90" s="17" t="str">
        <x:v>Era</x:v>
      </x:c>
      <x:c r="E90" s="17" t="str">
        <x:v>Economic regime</x:v>
      </x:c>
      <x:c r="F90" s="17" t="str">
        <x:v>Material finding</x:v>
      </x:c>
      <x:c r="G90" s="17" t="str">
        <x:v>Debate shifted toward inherited fiscal commitments and the successor government’s choices.</x:v>
      </x:c>
      <x:c r="H90" s="17" t="str">
        <x:v>Post-2023 implementation or changes require attribution to the responsible administration, not automatic carryover credit.</x:v>
      </x:c>
      <x:c r="I90" s="17" t="str">
        <x:v>Other former chief ministers and current opposition leaders; legislative scrutiny, litigation and cadre rebuilding are available strategies.</x:v>
      </x:c>
      <x:c r="J90" s="21" t="str">
        <x:v>An opposition leader lacks the incumbent’s executive powers. Do not project either defeat or revival indefinitely.</x:v>
      </x:c>
      <x:c r="K90" s="21" t="str">
        <x:v>Legal reports are snapshots; a later event not retrieved here is not proven absent.</x:v>
      </x:c>
      <x:c r="L90" s="17" t="str">
        <x:v>Recorded premise + labeled analysis</x:v>
      </x:c>
      <x:c r="M90" s="17" t="str">
        <x:v>See cited sources; inference is not an additional observed fact</x:v>
      </x:c>
      <x:c r="N90" s="19" t="str">
        <x:v>S020; S046</x:v>
      </x:c>
    </x:row>
    <x:row r="91" ht="54" customHeight="1">
      <x:c r="A91" s="9" t="str">
        <x:v>P5-E05</x:v>
      </x:c>
      <x:c r="B91" s="9" t="str">
        <x:v>P5</x:v>
      </x:c>
      <x:c r="C91" s="9" t="str">
        <x:v>7 Dec 2023–15 Sep 2026</x:v>
      </x:c>
      <x:c r="D91" s="9" t="str">
        <x:v>Era</x:v>
      </x:c>
      <x:c r="E91" s="9" t="str">
        <x:v>International system</x:v>
      </x:c>
      <x:c r="F91" s="9" t="str">
        <x:v>Not materially relevant</x:v>
      </x:c>
      <x:c r="G91" s="9" t="str">
        <x:v>No independent foreign-policy authority is documented in his opposition role.</x:v>
      </x:c>
      <x:c r="H91" s="9" t="str">
        <x:v>National ambition alone is insufficient evidence of a material international-policy intervention.</x:v>
      </x:c>
      <x:c r="I91" s="9" t="str">
        <x:v>Other former chief ministers and current opposition leaders; legislative scrutiny, litigation and cadre rebuilding are available strategies.</x:v>
      </x:c>
      <x:c r="J91" s="20" t="str">
        <x:v>An opposition leader lacks the incumbent’s executive powers. Do not project either defeat or revival indefinitely.</x:v>
      </x:c>
      <x:c r="K91" s="20" t="str">
        <x:v>Legal reports are snapshots; a later event not retrieved here is not proven absent.</x:v>
      </x:c>
      <x:c r="L91" s="9" t="str">
        <x:v>Scope judgment</x:v>
      </x:c>
      <x:c r="M91" s="9" t="str">
        <x:v>Disposition limited to reviewed source set</x:v>
      </x:c>
      <x:c r="N91" s="18" t="str">
        <x:v>S017; S038</x:v>
      </x:c>
    </x:row>
    <x:row r="92" ht="54" customHeight="1">
      <x:c r="A92" s="17" t="str">
        <x:v>P5-E06</x:v>
      </x:c>
      <x:c r="B92" s="17" t="str">
        <x:v>P5</x:v>
      </x:c>
      <x:c r="C92" s="17" t="str">
        <x:v>7 Dec 2023–15 Sep 2026</x:v>
      </x:c>
      <x:c r="D92" s="17" t="str">
        <x:v>Era</x:v>
      </x:c>
      <x:c r="E92" s="17" t="str">
        <x:v>Media and campaigning</x:v>
      </x:c>
      <x:c r="F92" s="17" t="str">
        <x:v>Material finding</x:v>
      </x:c>
      <x:c r="G92" s="17" t="str">
        <x:v>Contemporary disputes include contested video authenticity and competing online narratives.</x:v>
      </x:c>
      <x:c r="H92" s="17" t="str">
        <x:v>Viral circulation does not establish provenance or personal culpability.</x:v>
      </x:c>
      <x:c r="I92" s="17" t="str">
        <x:v>Other former chief ministers and current opposition leaders; legislative scrutiny, litigation and cadre rebuilding are available strategies.</x:v>
      </x:c>
      <x:c r="J92" s="21" t="str">
        <x:v>An opposition leader lacks the incumbent’s executive powers. Do not project either defeat or revival indefinitely.</x:v>
      </x:c>
      <x:c r="K92" s="21" t="str">
        <x:v>Legal reports are snapshots; a later event not retrieved here is not proven absent.</x:v>
      </x:c>
      <x:c r="L92" s="17" t="str">
        <x:v>Recorded premise + labeled analysis</x:v>
      </x:c>
      <x:c r="M92" s="17" t="str">
        <x:v>See cited sources; inference is not an additional observed fact</x:v>
      </x:c>
      <x:c r="N92" s="19" t="str">
        <x:v>S043; S044</x:v>
      </x:c>
    </x:row>
    <x:row r="93" ht="54" customHeight="1">
      <x:c r="A93" s="9" t="str">
        <x:v>P5-E07</x:v>
      </x:c>
      <x:c r="B93" s="9" t="str">
        <x:v>P5</x:v>
      </x:c>
      <x:c r="C93" s="9" t="str">
        <x:v>7 Dec 2023–15 Sep 2026</x:v>
      </x:c>
      <x:c r="D93" s="9" t="str">
        <x:v>Era</x:v>
      </x:c>
      <x:c r="E93" s="9" t="str">
        <x:v>Political organization</x:v>
      </x:c>
      <x:c r="F93" s="9" t="str">
        <x:v>Material finding</x:v>
      </x:c>
      <x:c r="G93" s="9" t="str">
        <x:v>Electoral defeat, defections and Kavitha’s separate-party launch tested party cohesion.</x:v>
      </x:c>
      <x:c r="H93" s="9" t="str">
        <x:v>Organizational survival and succession are contingent; a permanent-collapse forecast would exceed evidence.</x:v>
      </x:c>
      <x:c r="I93" s="9" t="str">
        <x:v>Other former chief ministers and current opposition leaders; legislative scrutiny, litigation and cadre rebuilding are available strategies.</x:v>
      </x:c>
      <x:c r="J93" s="20" t="str">
        <x:v>An opposition leader lacks the incumbent’s executive powers. Do not project either defeat or revival indefinitely.</x:v>
      </x:c>
      <x:c r="K93" s="20" t="str">
        <x:v>Legal reports are snapshots; a later event not retrieved here is not proven absent.</x:v>
      </x:c>
      <x:c r="L93" s="9" t="str">
        <x:v>Recorded premise + labeled analysis</x:v>
      </x:c>
      <x:c r="M93" s="9" t="str">
        <x:v>See cited sources; inference is not an additional observed fact</x:v>
      </x:c>
      <x:c r="N93" s="18" t="str">
        <x:v>S016; S041; S046; S047</x:v>
      </x:c>
    </x:row>
    <x:row r="94" ht="54" customHeight="1">
      <x:c r="A94" s="17" t="str">
        <x:v>P5-E08</x:v>
      </x:c>
      <x:c r="B94" s="17" t="str">
        <x:v>P5</x:v>
      </x:c>
      <x:c r="C94" s="17" t="str">
        <x:v>7 Dec 2023–15 Sep 2026</x:v>
      </x:c>
      <x:c r="D94" s="17" t="str">
        <x:v>Era</x:v>
      </x:c>
      <x:c r="E94" s="17" t="str">
        <x:v>Social environment</x:v>
      </x:c>
      <x:c r="F94" s="17" t="str">
        <x:v>Material finding</x:v>
      </x:c>
      <x:c r="G94" s="17" t="str">
        <x:v>Dalit representation remained politically salient in the September 2026 dispute.</x:v>
      </x:c>
      <x:c r="H94" s="17" t="str">
        <x:v>Separate a community’s grievances from disputed claims about a particular event or leader’s involvement.</x:v>
      </x:c>
      <x:c r="I94" s="17" t="str">
        <x:v>Other former chief ministers and current opposition leaders; legislative scrutiny, litigation and cadre rebuilding are available strategies.</x:v>
      </x:c>
      <x:c r="J94" s="21" t="str">
        <x:v>An opposition leader lacks the incumbent’s executive powers. Do not project either defeat or revival indefinitely.</x:v>
      </x:c>
      <x:c r="K94" s="21" t="str">
        <x:v>Legal reports are snapshots; a later event not retrieved here is not proven absent.</x:v>
      </x:c>
      <x:c r="L94" s="17" t="str">
        <x:v>Recorded premise + labeled analysis</x:v>
      </x:c>
      <x:c r="M94" s="17" t="str">
        <x:v>See cited sources; inference is not an additional observed fact</x:v>
      </x:c>
      <x:c r="N94" s="19" t="str">
        <x:v>S043; S044</x:v>
      </x:c>
    </x:row>
    <x:row r="95" ht="54" customHeight="1">
      <x:c r="A95" s="9" t="str">
        <x:v>P5-E09</x:v>
      </x:c>
      <x:c r="B95" s="9" t="str">
        <x:v>P5</x:v>
      </x:c>
      <x:c r="C95" s="9" t="str">
        <x:v>7 Dec 2023–15 Sep 2026</x:v>
      </x:c>
      <x:c r="D95" s="9" t="str">
        <x:v>Era</x:v>
      </x:c>
      <x:c r="E95" s="9" t="str">
        <x:v>State structure and geography</x:v>
      </x:c>
      <x:c r="F95" s="9" t="str">
        <x:v>Material finding</x:v>
      </x:c>
      <x:c r="G95" s="9" t="str">
        <x:v>KCR’s Gajwel Assembly base persisted despite BRS parliamentary losses, including in Medak.</x:v>
      </x:c>
      <x:c r="H95" s="9" t="str">
        <x:v>Constituency, state-government and Lok Sabha outcomes operate at different scales.</x:v>
      </x:c>
      <x:c r="I95" s="9" t="str">
        <x:v>Other former chief ministers and current opposition leaders; legislative scrutiny, litigation and cadre rebuilding are available strategies.</x:v>
      </x:c>
      <x:c r="J95" s="20" t="str">
        <x:v>An opposition leader lacks the incumbent’s executive powers. Do not project either defeat or revival indefinitely.</x:v>
      </x:c>
      <x:c r="K95" s="20" t="str">
        <x:v>Legal reports are snapshots; a later event not retrieved here is not proven absent.</x:v>
      </x:c>
      <x:c r="L95" s="9" t="str">
        <x:v>Recorded premise + labeled analysis</x:v>
      </x:c>
      <x:c r="M95" s="9" t="str">
        <x:v>See cited sources; inference is not an additional observed fact</x:v>
      </x:c>
      <x:c r="N95" s="18" t="str">
        <x:v>S011; S015; S016</x:v>
      </x:c>
    </x:row>
    <x:row r="96" ht="54" customHeight="1">
      <x:c r="A96" s="17" t="str">
        <x:v>P5-E10</x:v>
      </x:c>
      <x:c r="B96" s="17" t="str">
        <x:v>P5</x:v>
      </x:c>
      <x:c r="C96" s="17" t="str">
        <x:v>7 Dec 2023–15 Sep 2026</x:v>
      </x:c>
      <x:c r="D96" s="17" t="str">
        <x:v>Era</x:v>
      </x:c>
      <x:c r="E96" s="17" t="str">
        <x:v>Evidence environment</x:v>
      </x:c>
      <x:c r="F96" s="17" t="str">
        <x:v>Research limitation</x:v>
      </x:c>
      <x:c r="G96" s="17" t="str">
        <x:v>Latest verified court and police reports fall on different dates; full judgment and later dispositions were not retrieved.</x:v>
      </x:c>
      <x:c r="H96" s="17" t="str">
        <x:v>Date each procedural statement and leave uncertain developments open.</x:v>
      </x:c>
      <x:c r="I96" s="17" t="str">
        <x:v>Other former chief ministers and current opposition leaders; legislative scrutiny, litigation and cadre rebuilding are available strategies.</x:v>
      </x:c>
      <x:c r="J96" s="21" t="str">
        <x:v>An opposition leader lacks the incumbent’s executive powers. Do not project either defeat or revival indefinitely.</x:v>
      </x:c>
      <x:c r="K96" s="21" t="str">
        <x:v>Legal reports are snapshots; a later event not retrieved here is not proven absent.</x:v>
      </x:c>
      <x:c r="L96" s="17" t="str">
        <x:v>Uncertain / research limitation</x:v>
      </x:c>
      <x:c r="M96" s="17" t="str">
        <x:v>Disposition limited to reviewed source set</x:v>
      </x:c>
      <x:c r="N96" s="19" t="str">
        <x:v>S036; S037; S038; S039; S040</x:v>
      </x:c>
    </x:row>
    <x:row r="97" ht="54" customHeight="1">
      <x:c r="A97" s="9" t="str">
        <x:v>P5-G01</x:v>
      </x:c>
      <x:c r="B97" s="9" t="str">
        <x:v>P5</x:v>
      </x:c>
      <x:c r="C97" s="9" t="str">
        <x:v>7 Dec 2023–15 Sep 2026</x:v>
      </x:c>
      <x:c r="D97" s="9" t="str">
        <x:v>Gender</x:v>
      </x:c>
      <x:c r="E97" s="9" t="str">
        <x:v>Entry and advancement</x:v>
      </x:c>
      <x:c r="F97" s="9" t="str">
        <x:v>Evidence not found</x:v>
      </x:c>
      <x:c r="G97" s="9" t="str">
        <x:v>Opposition leadership continuity is documented; no new gender-specific access mechanism for KCR is established.</x:v>
      </x:c>
      <x:c r="H97" s="9" t="str">
        <x:v>Role persistence after defeat is not proof of a gender advantage without comparable evidence.</x:v>
      </x:c>
      <x:c r="I97" s="9" t="str">
        <x:v>Other former chief ministers and current opposition leaders; legislative scrutiny, litigation and cadre rebuilding are available strategies.</x:v>
      </x:c>
      <x:c r="J97" s="20" t="str">
        <x:v>An opposition leader lacks the incumbent’s executive powers. Do not project either defeat or revival indefinitely.</x:v>
      </x:c>
      <x:c r="K97" s="20" t="str">
        <x:v>Legal reports are snapshots; a later event not retrieved here is not proven absent.</x:v>
      </x:c>
      <x:c r="L97" s="9" t="str">
        <x:v>Uncertain / research limitation</x:v>
      </x:c>
      <x:c r="M97" s="9" t="str">
        <x:v>Disposition limited to reviewed source set</x:v>
      </x:c>
      <x:c r="N97" s="18" t="str">
        <x:v>S038</x:v>
      </x:c>
    </x:row>
    <x:row r="98" ht="54" customHeight="1">
      <x:c r="A98" s="17" t="str">
        <x:v>P5-G02</x:v>
      </x:c>
      <x:c r="B98" s="17" t="str">
        <x:v>P5</x:v>
      </x:c>
      <x:c r="C98" s="17" t="str">
        <x:v>7 Dec 2023–15 Sep 2026</x:v>
      </x:c>
      <x:c r="D98" s="17" t="str">
        <x:v>Gender</x:v>
      </x:c>
      <x:c r="E98" s="17" t="str">
        <x:v>Gender milestones</x:v>
      </x:c>
      <x:c r="F98" s="17" t="str">
        <x:v>Not materially relevant</x:v>
      </x:c>
      <x:c r="G98" s="17" t="str">
        <x:v>No gender-first milestone for KCR is established in opposition.</x:v>
      </x:c>
      <x:c r="H98" s="17" t="str">
        <x:v>Kavitha’s new organization is her separate political development.</x:v>
      </x:c>
      <x:c r="I98" s="17" t="str">
        <x:v>Other former chief ministers and current opposition leaders; legislative scrutiny, litigation and cadre rebuilding are available strategies.</x:v>
      </x:c>
      <x:c r="J98" s="21" t="str">
        <x:v>An opposition leader lacks the incumbent’s executive powers. Do not project either defeat or revival indefinitely.</x:v>
      </x:c>
      <x:c r="K98" s="21" t="str">
        <x:v>Legal reports are snapshots; a later event not retrieved here is not proven absent.</x:v>
      </x:c>
      <x:c r="L98" s="17" t="str">
        <x:v>Scope judgment</x:v>
      </x:c>
      <x:c r="M98" s="17" t="str">
        <x:v>Disposition limited to reviewed source set</x:v>
      </x:c>
      <x:c r="N98" s="19" t="str">
        <x:v>S038; S041</x:v>
      </x:c>
    </x:row>
    <x:row r="99" ht="54" customHeight="1">
      <x:c r="A99" s="9" t="str">
        <x:v>P5-G03</x:v>
      </x:c>
      <x:c r="B99" s="9" t="str">
        <x:v>P5</x:v>
      </x:c>
      <x:c r="C99" s="9" t="str">
        <x:v>7 Dec 2023–15 Sep 2026</x:v>
      </x:c>
      <x:c r="D99" s="9" t="str">
        <x:v>Gender</x:v>
      </x:c>
      <x:c r="E99" s="9" t="str">
        <x:v>Networks and pathways</x:v>
      </x:c>
      <x:c r="F99" s="9" t="str">
        <x:v>Material finding</x:v>
      </x:c>
      <x:c r="G99" s="9" t="str">
        <x:v>Kavitha’s separate-party launch exposed a rupture within the family political network.</x:v>
      </x:c>
      <x:c r="H99" s="9" t="str">
        <x:v>A daughter’s dynastic pathway can include independent organization and opposition to the family leader.</x:v>
      </x:c>
      <x:c r="I99" s="9" t="str">
        <x:v>Other former chief ministers and current opposition leaders; legislative scrutiny, litigation and cadre rebuilding are available strategies.</x:v>
      </x:c>
      <x:c r="J99" s="20" t="str">
        <x:v>An opposition leader lacks the incumbent’s executive powers. Do not project either defeat or revival indefinitely.</x:v>
      </x:c>
      <x:c r="K99" s="20" t="str">
        <x:v>Legal reports are snapshots; a later event not retrieved here is not proven absent.</x:v>
      </x:c>
      <x:c r="L99" s="9" t="str">
        <x:v>Recorded premise + labeled analysis</x:v>
      </x:c>
      <x:c r="M99" s="9" t="str">
        <x:v>See cited sources; inference is not an additional observed fact</x:v>
      </x:c>
      <x:c r="N99" s="18" t="str">
        <x:v>S041; S042</x:v>
      </x:c>
    </x:row>
    <x:row r="100" ht="54" customHeight="1">
      <x:c r="A100" s="17" t="str">
        <x:v>P5-G04</x:v>
      </x:c>
      <x:c r="B100" s="17" t="str">
        <x:v>P5</x:v>
      </x:c>
      <x:c r="C100" s="17" t="str">
        <x:v>7 Dec 2023–15 Sep 2026</x:v>
      </x:c>
      <x:c r="D100" s="17" t="str">
        <x:v>Gender</x:v>
      </x:c>
      <x:c r="E100" s="17" t="str">
        <x:v>Role and portfolio allocation</x:v>
      </x:c>
      <x:c r="F100" s="17" t="str">
        <x:v>Not materially relevant</x:v>
      </x:c>
      <x:c r="G100" s="17" t="str">
        <x:v>KCR no longer appoints the state cabinet in this phase.</x:v>
      </x:c>
      <x:c r="H100" s="17" t="str">
        <x:v>Assess current role allocation inside BRS separately; data on its complete leadership composition were not obtained.</x:v>
      </x:c>
      <x:c r="I100" s="17" t="str">
        <x:v>Other former chief ministers and current opposition leaders; legislative scrutiny, litigation and cadre rebuilding are available strategies.</x:v>
      </x:c>
      <x:c r="J100" s="21" t="str">
        <x:v>An opposition leader lacks the incumbent’s executive powers. Do not project either defeat or revival indefinitely.</x:v>
      </x:c>
      <x:c r="K100" s="21" t="str">
        <x:v>Legal reports are snapshots; a later event not retrieved here is not proven absent.</x:v>
      </x:c>
      <x:c r="L100" s="17" t="str">
        <x:v>Scope judgment</x:v>
      </x:c>
      <x:c r="M100" s="17" t="str">
        <x:v>Disposition limited to reviewed source set</x:v>
      </x:c>
      <x:c r="N100" s="19" t="str">
        <x:v>S038; S041</x:v>
      </x:c>
    </x:row>
    <x:row r="101" ht="54" customHeight="1">
      <x:c r="A101" s="9" t="str">
        <x:v>P5-G05</x:v>
      </x:c>
      <x:c r="B101" s="9" t="str">
        <x:v>P5</x:v>
      </x:c>
      <x:c r="C101" s="9" t="str">
        <x:v>7 Dec 2023–15 Sep 2026</x:v>
      </x:c>
      <x:c r="D101" s="9" t="str">
        <x:v>Gender</x:v>
      </x:c>
      <x:c r="E101" s="9" t="str">
        <x:v>Campaign and media treatment</x:v>
      </x:c>
      <x:c r="F101" s="9" t="str">
        <x:v>Material finding</x:v>
      </x:c>
      <x:c r="G101" s="9" t="str">
        <x:v>Kavitha used a maternal-governance appeal while criticizing KCR, as reported at her party launch.</x:v>
      </x:c>
      <x:c r="H101" s="9" t="str">
        <x:v>Attribute the gender framing to the speaker; do not infer a uniform voter response.</x:v>
      </x:c>
      <x:c r="I101" s="9" t="str">
        <x:v>Other former chief ministers and current opposition leaders; legislative scrutiny, litigation and cadre rebuilding are available strategies.</x:v>
      </x:c>
      <x:c r="J101" s="20" t="str">
        <x:v>An opposition leader lacks the incumbent’s executive powers. Do not project either defeat or revival indefinitely.</x:v>
      </x:c>
      <x:c r="K101" s="20" t="str">
        <x:v>Legal reports are snapshots; a later event not retrieved here is not proven absent.</x:v>
      </x:c>
      <x:c r="L101" s="9" t="str">
        <x:v>Recorded premise + labeled analysis</x:v>
      </x:c>
      <x:c r="M101" s="9" t="str">
        <x:v>See cited sources; inference is not an additional observed fact</x:v>
      </x:c>
      <x:c r="N101" s="18" t="str">
        <x:v>S041</x:v>
      </x:c>
    </x:row>
    <x:row r="102" ht="54" customHeight="1">
      <x:c r="A102" s="17" t="str">
        <x:v>P5-G06</x:v>
      </x:c>
      <x:c r="B102" s="17" t="str">
        <x:v>P5</x:v>
      </x:c>
      <x:c r="C102" s="17" t="str">
        <x:v>7 Dec 2023–15 Sep 2026</x:v>
      </x:c>
      <x:c r="D102" s="17" t="str">
        <x:v>Gender</x:v>
      </x:c>
      <x:c r="E102" s="17" t="str">
        <x:v>Threats and security</x:v>
      </x:c>
      <x:c r="F102" s="17" t="str">
        <x:v>Evidence not found</x:v>
      </x:c>
      <x:c r="G102" s="17" t="str">
        <x:v>Police questioning and public mobilization are reported, but no specifically gender-based security cause is established.</x:v>
      </x:c>
      <x:c r="H102" s="17" t="str">
        <x:v>Investigative procedure and gender-targeted harassment are analytically distinct.</x:v>
      </x:c>
      <x:c r="I102" s="17" t="str">
        <x:v>Other former chief ministers and current opposition leaders; legislative scrutiny, litigation and cadre rebuilding are available strategies.</x:v>
      </x:c>
      <x:c r="J102" s="21" t="str">
        <x:v>An opposition leader lacks the incumbent’s executive powers. Do not project either defeat or revival indefinitely.</x:v>
      </x:c>
      <x:c r="K102" s="21" t="str">
        <x:v>Legal reports are snapshots; a later event not retrieved here is not proven absent.</x:v>
      </x:c>
      <x:c r="L102" s="17" t="str">
        <x:v>Uncertain / research limitation</x:v>
      </x:c>
      <x:c r="M102" s="17" t="str">
        <x:v>Disposition limited to reviewed source set</x:v>
      </x:c>
      <x:c r="N102" s="19" t="str">
        <x:v>S038; S039</x:v>
      </x:c>
    </x:row>
    <x:row r="103" ht="54" customHeight="1">
      <x:c r="A103" s="9" t="str">
        <x:v>P5-G07</x:v>
      </x:c>
      <x:c r="B103" s="9" t="str">
        <x:v>P5</x:v>
      </x:c>
      <x:c r="C103" s="9" t="str">
        <x:v>7 Dec 2023–15 Sep 2026</x:v>
      </x:c>
      <x:c r="D103" s="9" t="str">
        <x:v>Gender</x:v>
      </x:c>
      <x:c r="E103" s="9" t="str">
        <x:v>Gender policy and organizations</x:v>
      </x:c>
      <x:c r="F103" s="9" t="str">
        <x:v>Research limitation</x:v>
      </x:c>
      <x:c r="G103" s="9" t="str">
        <x:v>No new implemented gender policy can be attributed to KCR as an opposition leader from these sources.</x:v>
      </x:c>
      <x:c r="H103" s="9" t="str">
        <x:v>A party demand or defense of an old scheme would require separate evidence of adoption.</x:v>
      </x:c>
      <x:c r="I103" s="9" t="str">
        <x:v>Other former chief ministers and current opposition leaders; legislative scrutiny, litigation and cadre rebuilding are available strategies.</x:v>
      </x:c>
      <x:c r="J103" s="20" t="str">
        <x:v>An opposition leader lacks the incumbent’s executive powers. Do not project either defeat or revival indefinitely.</x:v>
      </x:c>
      <x:c r="K103" s="20" t="str">
        <x:v>Legal reports are snapshots; a later event not retrieved here is not proven absent.</x:v>
      </x:c>
      <x:c r="L103" s="9" t="str">
        <x:v>Uncertain / research limitation</x:v>
      </x:c>
      <x:c r="M103" s="9" t="str">
        <x:v>Disposition limited to reviewed source set</x:v>
      </x:c>
      <x:c r="N103" s="18" t="str">
        <x:v>S038; S046</x:v>
      </x:c>
    </x:row>
    <x:row r="104" ht="54" customHeight="1">
      <x:c r="A104" s="17" t="str">
        <x:v>P5-G08</x:v>
      </x:c>
      <x:c r="B104" s="17" t="str">
        <x:v>P5</x:v>
      </x:c>
      <x:c r="C104" s="17" t="str">
        <x:v>7 Dec 2023–15 Sep 2026</x:v>
      </x:c>
      <x:c r="D104" s="17" t="str">
        <x:v>Gender</x:v>
      </x:c>
      <x:c r="E104" s="17" t="str">
        <x:v>Political use of gender identity</x:v>
      </x:c>
      <x:c r="F104" s="17" t="str">
        <x:v>Material finding</x:v>
      </x:c>
      <x:c r="G104" s="17" t="str">
        <x:v>Gendered familial language entered public contest over his political legacy through Kavitha’s campaign.</x:v>
      </x:c>
      <x:c r="H104" s="17" t="str">
        <x:v>Family identity is politically relevant here because it shapes a competing organization’s appeal.</x:v>
      </x:c>
      <x:c r="I104" s="17" t="str">
        <x:v>Other former chief ministers and current opposition leaders; legislative scrutiny, litigation and cadre rebuilding are available strategies.</x:v>
      </x:c>
      <x:c r="J104" s="21" t="str">
        <x:v>An opposition leader lacks the incumbent’s executive powers. Do not project either defeat or revival indefinitely.</x:v>
      </x:c>
      <x:c r="K104" s="21" t="str">
        <x:v>Legal reports are snapshots; a later event not retrieved here is not proven absent.</x:v>
      </x:c>
      <x:c r="L104" s="17" t="str">
        <x:v>Recorded premise + labeled analysis</x:v>
      </x:c>
      <x:c r="M104" s="17" t="str">
        <x:v>See cited sources; inference is not an additional observed fact</x:v>
      </x:c>
      <x:c r="N104" s="19" t="str">
        <x:v>S041</x:v>
      </x:c>
    </x:row>
    <x:row r="105" ht="54" customHeight="1">
      <x:c r="A105" s="9" t="str">
        <x:v>P5-G09</x:v>
      </x:c>
      <x:c r="B105" s="9" t="str">
        <x:v>P5</x:v>
      </x:c>
      <x:c r="C105" s="9" t="str">
        <x:v>7 Dec 2023–15 Sep 2026</x:v>
      </x:c>
      <x:c r="D105" s="9" t="str">
        <x:v>Gender</x:v>
      </x:c>
      <x:c r="E105" s="9" t="str">
        <x:v>Representation and effects</x:v>
      </x:c>
      <x:c r="F105" s="9" t="str">
        <x:v>Research limitation</x:v>
      </x:c>
      <x:c r="G105" s="9" t="str">
        <x:v>His post-tenure effect on women’s representation or welfare is not independently measured.</x:v>
      </x:c>
      <x:c r="H105" s="9" t="str">
        <x:v>Do not transfer the successor government’s outcomes automatically to the former CM.</x:v>
      </x:c>
      <x:c r="I105" s="9" t="str">
        <x:v>Other former chief ministers and current opposition leaders; legislative scrutiny, litigation and cadre rebuilding are available strategies.</x:v>
      </x:c>
      <x:c r="J105" s="20" t="str">
        <x:v>An opposition leader lacks the incumbent’s executive powers. Do not project either defeat or revival indefinitely.</x:v>
      </x:c>
      <x:c r="K105" s="20" t="str">
        <x:v>Legal reports are snapshots; a later event not retrieved here is not proven absent.</x:v>
      </x:c>
      <x:c r="L105" s="9" t="str">
        <x:v>Uncertain / research limitation</x:v>
      </x:c>
      <x:c r="M105" s="9" t="str">
        <x:v>Disposition limited to reviewed source set</x:v>
      </x:c>
      <x:c r="N105" s="18" t="str">
        <x:v>S038; S046</x:v>
      </x:c>
    </x:row>
    <x:row r="106" ht="54" customHeight="1">
      <x:c r="A106" s="17" t="str">
        <x:v>P5-G10</x:v>
      </x:c>
      <x:c r="B106" s="17" t="str">
        <x:v>P5</x:v>
      </x:c>
      <x:c r="C106" s="17" t="str">
        <x:v>7 Dec 2023–15 Sep 2026</x:v>
      </x:c>
      <x:c r="D106" s="17" t="str">
        <x:v>Gender</x:v>
      </x:c>
      <x:c r="E106" s="17" t="str">
        <x:v>Assessment over time</x:v>
      </x:c>
      <x:c r="F106" s="17" t="str">
        <x:v>Research limitation</x:v>
      </x:c>
      <x:c r="G106" s="17" t="str">
        <x:v>Family conflict and past cabinet criticism now inform reassessment, but a mature scholarly gender appraisal was not located.</x:v>
      </x:c>
      <x:c r="H106" s="17" t="str">
        <x:v>Separate partisan retrospective claims from systematic historical or feminist research.</x:v>
      </x:c>
      <x:c r="I106" s="17" t="str">
        <x:v>Other former chief ministers and current opposition leaders; legislative scrutiny, litigation and cadre rebuilding are available strategies.</x:v>
      </x:c>
      <x:c r="J106" s="21" t="str">
        <x:v>An opposition leader lacks the incumbent’s executive powers. Do not project either defeat or revival indefinitely.</x:v>
      </x:c>
      <x:c r="K106" s="21" t="str">
        <x:v>Legal reports are snapshots; a later event not retrieved here is not proven absent.</x:v>
      </x:c>
      <x:c r="L106" s="17" t="str">
        <x:v>Uncertain / research limitation</x:v>
      </x:c>
      <x:c r="M106" s="17" t="str">
        <x:v>Disposition limited to reviewed source set</x:v>
      </x:c>
      <x:c r="N106" s="19" t="str">
        <x:v>S041; S030</x:v>
      </x:c>
    </x:row>
  </x:sheetData>
  <x:pageMargins left="0.7" right="0.7" top="0.75" bottom="0.75" header="0.3" footer="0.3"/>
  <x:tableParts count="1">
    <x:tablePart xmlns:r="http://schemas.openxmlformats.org/officeDocument/2006/relationships" r:id="R438b91b59ecb4be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3" hidden="0" customWidth="1"/>
    <x:col min="3" max="3" width="22" hidden="0" customWidth="1"/>
    <x:col min="4" max="4" width="35" hidden="0" customWidth="1"/>
    <x:col min="5" max="5" width="22" hidden="0" customWidth="1"/>
    <x:col min="6" max="6" width="63" hidden="0" customWidth="1"/>
    <x:col min="7" max="7" width="60" hidden="0" customWidth="1"/>
    <x:col min="8" max="8" width="10" hidden="0" customWidth="1"/>
    <x:col min="9" max="9" width="22" hidden="0" customWidth="1"/>
    <x:col min="10" max="10" width="27" hidden="0" customWidth="1"/>
    <x:col min="11" max="11" width="25" hidden="0" customWidth="1"/>
  </x:cols>
  <x:sheetData>
    <x:row r="1" ht="12" customHeight="1"/>
    <x:row r="2" ht="25" customHeight="1">
      <x:c r="A2" s="2" t="str">
        <x:v>Career timeline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2" customHeight="1">
      <x:c r="A4" s="5" t="str">
        <x:v>Dates retain their supported precision. Each event links to its phase and the relevant context record.</x:v>
      </x:c>
    </x:row>
    <x:row r="5" ht="8" customHeight="1"/>
    <x:row r="6" ht="38" customHeight="1">
      <x:c r="A6" s="14" t="str">
        <x:v>Timeline ID</x:v>
      </x:c>
      <x:c r="B6" s="15" t="str">
        <x:v>Date / period</x:v>
      </x:c>
      <x:c r="C6" s="15" t="str">
        <x:v>Precision</x:v>
      </x:c>
      <x:c r="D6" s="15" t="str">
        <x:v>Event</x:v>
      </x:c>
      <x:c r="E6" s="15" t="str">
        <x:v>Event type</x:v>
      </x:c>
      <x:c r="F6" s="15" t="str">
        <x:v>Record</x:v>
      </x:c>
      <x:c r="G6" s="15" t="str">
        <x:v>Significance</x:v>
      </x:c>
      <x:c r="H6" s="15" t="str">
        <x:v>Phase</x:v>
      </x:c>
      <x:c r="I6" s="15" t="str">
        <x:v>Context IDs</x:v>
      </x:c>
      <x:c r="J6" s="15" t="str">
        <x:v>Claim type</x:v>
      </x:c>
      <x:c r="K6" s="16" t="str">
        <x:v>Source IDs</x:v>
      </x:c>
    </x:row>
    <x:row r="7" ht="40" customHeight="1">
      <x:c r="A7" s="9" t="str">
        <x:v>T01</x:v>
      </x:c>
      <x:c r="B7" s="24" t="n">
        <x:v>1954</x:v>
      </x:c>
      <x:c r="C7" s="9" t="str">
        <x:v>Year; day in Overview</x:v>
      </x:c>
      <x:c r="D7" s="9" t="str">
        <x:v>Birth in Chintamadaka</x:v>
      </x:c>
      <x:c r="E7" s="9" t="str">
        <x:v>Formative</x:v>
      </x:c>
      <x:c r="F7" s="9" t="str">
        <x:v>Birth in the Telangana region of then Hyderabad State.</x:v>
      </x:c>
      <x:c r="G7" s="9" t="str">
        <x:v>Later regional politics must be read against changing state boundaries.</x:v>
      </x:c>
      <x:c r="H7" s="9" t="str">
        <x:v>P1</x:v>
      </x:c>
      <x:c r="I7" s="9" t="str">
        <x:v>P1-E09</x:v>
      </x:c>
      <x:c r="J7" s="9" t="str">
        <x:v>Recorded fact</x:v>
      </x:c>
      <x:c r="K7" s="18" t="str">
        <x:v>S001; S009</x:v>
      </x:c>
    </x:row>
    <x:row r="8" ht="40" customHeight="1">
      <x:c r="A8" s="17" t="str">
        <x:v>T02</x:v>
      </x:c>
      <x:c r="B8" s="17" t="str">
        <x:v>1970s–early 1980s</x:v>
      </x:c>
      <x:c r="C8" s="17" t="str">
        <x:v>Range</x:v>
      </x:c>
      <x:c r="D8" s="17" t="str">
        <x:v>Congress-associated beginnings</x:v>
      </x:c>
      <x:c r="E8" s="17" t="str">
        <x:v>Party</x:v>
      </x:c>
      <x:c r="F8" s="17" t="str">
        <x:v>Early career linked to Youth Congress before TDP.</x:v>
      </x:c>
      <x:c r="G8" s="17" t="str">
        <x:v>No hereditary political dynasty is established as the route of entry.</x:v>
      </x:c>
      <x:c r="H8" s="17" t="str">
        <x:v>P1</x:v>
      </x:c>
      <x:c r="I8" s="17" t="str">
        <x:v>P1-G03</x:v>
      </x:c>
      <x:c r="J8" s="17" t="str">
        <x:v>Recorded / limited chronology</x:v>
      </x:c>
      <x:c r="K8" s="19" t="str">
        <x:v>S004; S009</x:v>
      </x:c>
    </x:row>
    <x:row r="9" ht="40" customHeight="1">
      <x:c r="A9" s="9" t="str">
        <x:v>T03</x:v>
      </x:c>
      <x:c r="B9" s="24" t="n">
        <x:v>1983</x:v>
      </x:c>
      <x:c r="C9" s="9" t="str">
        <x:v>Year</x:v>
      </x:c>
      <x:c r="D9" s="9" t="str">
        <x:v>First Siddipet contest lost</x:v>
      </x:c>
      <x:c r="E9" s="9" t="str">
        <x:v>Election</x:v>
      </x:c>
      <x:c r="F9" s="9" t="str">
        <x:v>Lost to A. Madan Mohan; IND coding used with conflict noted.</x:v>
      </x:c>
      <x:c r="G9" s="9" t="str">
        <x:v>A later unbeaten run should not erase the first loss.</x:v>
      </x:c>
      <x:c r="H9" s="9" t="str">
        <x:v>P1</x:v>
      </x:c>
      <x:c r="I9" s="9" t="str">
        <x:v>P1-E03</x:v>
      </x:c>
      <x:c r="J9" s="9" t="str">
        <x:v>Recorded fact; party uncertainty</x:v>
      </x:c>
      <x:c r="K9" s="18" t="str">
        <x:v>S009; S013</x:v>
      </x:c>
    </x:row>
    <x:row r="10" ht="30" customHeight="1">
      <x:c r="A10" s="17" t="str">
        <x:v>T04</x:v>
      </x:c>
      <x:c r="B10" s="27" t="n">
        <x:v>1985</x:v>
      </x:c>
      <x:c r="C10" s="17" t="str">
        <x:v>Year</x:v>
      </x:c>
      <x:c r="D10" s="17" t="str">
        <x:v>First Assembly victory</x:v>
      </x:c>
      <x:c r="E10" s="17" t="str">
        <x:v>Election</x:v>
      </x:c>
      <x:c r="F10" s="17" t="str">
        <x:v>Won Siddipet as TDP candidate.</x:v>
      </x:c>
      <x:c r="G10" s="17" t="str">
        <x:v>Established a base sustained in subsequent elections.</x:v>
      </x:c>
      <x:c r="H10" s="17" t="str">
        <x:v>P1</x:v>
      </x:c>
      <x:c r="I10" s="17" t="str">
        <x:v>P1-E07</x:v>
      </x:c>
      <x:c r="J10" s="17" t="str">
        <x:v>Recorded fact</x:v>
      </x:c>
      <x:c r="K10" s="19" t="str">
        <x:v>S004; S009</x:v>
      </x:c>
    </x:row>
    <x:row r="11" ht="40" customHeight="1">
      <x:c r="A11" s="9" t="str">
        <x:v>T05</x:v>
      </x:c>
      <x:c r="B11" s="9" t="str">
        <x:v>Late 1980s–2001</x:v>
      </x:c>
      <x:c r="C11" s="9" t="str">
        <x:v>Range</x:v>
      </x:c>
      <x:c r="D11" s="9" t="str">
        <x:v>State executive and legislative experience</x:v>
      </x:c>
      <x:c r="E11" s="9" t="str">
        <x:v>Office</x:v>
      </x:c>
      <x:c r="F11" s="9" t="str">
        <x:v>Served in ministerial roles and later as deputy speaker in Andhra Pradesh.</x:v>
      </x:c>
      <x:c r="G11" s="9" t="str">
        <x:v>Institutional experience preceded movement leadership.</x:v>
      </x:c>
      <x:c r="H11" s="9" t="str">
        <x:v>P1</x:v>
      </x:c>
      <x:c r="I11" s="9" t="str">
        <x:v>P1-E02</x:v>
      </x:c>
      <x:c r="J11" s="9" t="str">
        <x:v>Recorded fact; dates limited</x:v>
      </x:c>
      <x:c r="K11" s="18" t="str">
        <x:v>S001; S009</x:v>
      </x:c>
    </x:row>
    <x:row r="12" ht="40" customHeight="1">
      <x:c r="A12" s="17" t="str">
        <x:v>T06</x:v>
      </x:c>
      <x:c r="B12" s="28" t="n">
        <x:v>37008</x:v>
      </x:c>
      <x:c r="C12" s="17" t="str">
        <x:v>Day</x:v>
      </x:c>
      <x:c r="D12" s="17" t="str">
        <x:v>TRS founded</x:v>
      </x:c>
      <x:c r="E12" s="17" t="str">
        <x:v>Party</x:v>
      </x:c>
      <x:c r="F12" s="17" t="str">
        <x:v>Left TDP/deputy speakership and launched Telangana Rashtra Samithi.</x:v>
      </x:c>
      <x:c r="G12" s="17" t="str">
        <x:v>Converted regional demand into an independent electoral organization.</x:v>
      </x:c>
      <x:c r="H12" s="17" t="str">
        <x:v>P2</x:v>
      </x:c>
      <x:c r="I12" s="17" t="str">
        <x:v>P2-E01</x:v>
      </x:c>
      <x:c r="J12" s="17" t="str">
        <x:v>Recorded fact</x:v>
      </x:c>
      <x:c r="K12" s="19" t="str">
        <x:v>S005; S006</x:v>
      </x:c>
    </x:row>
    <x:row r="13" ht="30" customHeight="1">
      <x:c r="A13" s="9" t="str">
        <x:v>T07</x:v>
      </x:c>
      <x:c r="B13" s="24" t="n">
        <x:v>2001</x:v>
      </x:c>
      <x:c r="C13" s="9" t="str">
        <x:v>Year</x:v>
      </x:c>
      <x:c r="D13" s="9" t="str">
        <x:v>Siddipet by-election victory</x:v>
      </x:c>
      <x:c r="E13" s="9" t="str">
        <x:v>Election</x:v>
      </x:c>
      <x:c r="F13" s="9" t="str">
        <x:v>Won after resignation; party chronology records a 58,712 margin.</x:v>
      </x:c>
      <x:c r="G13" s="9" t="str">
        <x:v>Demonstrated a local mandate for the new party.</x:v>
      </x:c>
      <x:c r="H13" s="9" t="str">
        <x:v>P2</x:v>
      </x:c>
      <x:c r="I13" s="9" t="str">
        <x:v>P2-E03</x:v>
      </x:c>
      <x:c r="J13" s="9" t="str">
        <x:v>Recorded fact</x:v>
      </x:c>
      <x:c r="K13" s="18" t="str">
        <x:v>S006; S009</x:v>
      </x:c>
    </x:row>
    <x:row r="14" ht="40" customHeight="1">
      <x:c r="A14" s="17" t="str">
        <x:v>T08</x:v>
      </x:c>
      <x:c r="B14" s="27" t="n">
        <x:v>2004</x:v>
      </x:c>
      <x:c r="C14" s="17" t="str">
        <x:v>Year</x:v>
      </x:c>
      <x:c r="D14" s="17" t="str">
        <x:v>Congress alliance and Union government</x:v>
      </x:c>
      <x:c r="E14" s="17" t="str">
        <x:v>Coalition</x:v>
      </x:c>
      <x:c r="F14" s="17" t="str">
        <x:v>TRS allied with Congress; KCR won Assembly and Lok Sabha seats and entered the Union ministry.</x:v>
      </x:c>
      <x:c r="G14" s="17" t="str">
        <x:v>Access to coalition bargaining over statehood.</x:v>
      </x:c>
      <x:c r="H14" s="17" t="str">
        <x:v>P2</x:v>
      </x:c>
      <x:c r="I14" s="17" t="str">
        <x:v>P2-E01</x:v>
      </x:c>
      <x:c r="J14" s="17" t="str">
        <x:v>Recorded fact</x:v>
      </x:c>
      <x:c r="K14" s="19" t="str">
        <x:v>S001; S006; S009; S010</x:v>
      </x:c>
    </x:row>
    <x:row r="15" ht="40" customHeight="1">
      <x:c r="A15" s="9" t="str">
        <x:v>T09</x:v>
      </x:c>
      <x:c r="B15" s="24" t="n">
        <x:v>2006</x:v>
      </x:c>
      <x:c r="C15" s="9" t="str">
        <x:v>Year</x:v>
      </x:c>
      <x:c r="D15" s="9" t="str">
        <x:v>Union exit and Karimnagar bypoll</x:v>
      </x:c>
      <x:c r="E15" s="9" t="str">
        <x:v>Coalition / election</x:v>
      </x:c>
      <x:c r="F15" s="9" t="str">
        <x:v>Left Union office amid the statehood dispute; resigned and won Karimnagar again.</x:v>
      </x:c>
      <x:c r="G15" s="9" t="str">
        <x:v>Resignation became a mandate-seeking tactic.</x:v>
      </x:c>
      <x:c r="H15" s="9" t="str">
        <x:v>P2</x:v>
      </x:c>
      <x:c r="I15" s="9" t="str">
        <x:v>P2-E02</x:v>
      </x:c>
      <x:c r="J15" s="9" t="str">
        <x:v>Recorded fact</x:v>
      </x:c>
      <x:c r="K15" s="18" t="str">
        <x:v>S001; S006; S009</x:v>
      </x:c>
    </x:row>
    <x:row r="16" ht="40" customHeight="1">
      <x:c r="A16" s="17" t="str">
        <x:v>T10</x:v>
      </x:c>
      <x:c r="B16" s="27" t="n">
        <x:v>2008</x:v>
      </x:c>
      <x:c r="C16" s="17" t="str">
        <x:v>Year</x:v>
      </x:c>
      <x:c r="D16" s="17" t="str">
        <x:v>Mass resignations and mixed bypoll result</x:v>
      </x:c>
      <x:c r="E16" s="17" t="str">
        <x:v>Election</x:v>
      </x:c>
      <x:c r="F16" s="17" t="str">
        <x:v>KCR retained Karimnagar; TRS lost several vacated seats.</x:v>
      </x:c>
      <x:c r="G16" s="17" t="str">
        <x:v>A risky tactic produced a party setback despite his personal win.</x:v>
      </x:c>
      <x:c r="H16" s="17" t="str">
        <x:v>P2</x:v>
      </x:c>
      <x:c r="I16" s="17" t="str">
        <x:v>P2-E03</x:v>
      </x:c>
      <x:c r="J16" s="17" t="str">
        <x:v>Recorded fact</x:v>
      </x:c>
      <x:c r="K16" s="19" t="str">
        <x:v>S006; S009</x:v>
      </x:c>
    </x:row>
    <x:row r="17" ht="30" customHeight="1">
      <x:c r="A17" s="9" t="str">
        <x:v>T11</x:v>
      </x:c>
      <x:c r="B17" s="24" t="n">
        <x:v>2009</x:v>
      </x:c>
      <x:c r="C17" s="9" t="str">
        <x:v>Year</x:v>
      </x:c>
      <x:c r="D17" s="9" t="str">
        <x:v>Mahabubnagar Lok Sabha victory</x:v>
      </x:c>
      <x:c r="E17" s="9" t="str">
        <x:v>Election</x:v>
      </x:c>
      <x:c r="F17" s="9" t="str">
        <x:v>Won a different parliamentary constituency.</x:v>
      </x:c>
      <x:c r="G17" s="9" t="str">
        <x:v>Expanded personal electoral geography beyond Karimnagar.</x:v>
      </x:c>
      <x:c r="H17" s="9" t="str">
        <x:v>P2</x:v>
      </x:c>
      <x:c r="I17" s="9" t="str">
        <x:v>P2-E09</x:v>
      </x:c>
      <x:c r="J17" s="9" t="str">
        <x:v>Recorded fact</x:v>
      </x:c>
      <x:c r="K17" s="18" t="str">
        <x:v>S001; S009</x:v>
      </x:c>
    </x:row>
    <x:row r="18" ht="40" customHeight="1">
      <x:c r="A18" s="17" t="str">
        <x:v>T12</x:v>
      </x:c>
      <x:c r="B18" s="28" t="n">
        <x:v>40146</x:v>
      </x:c>
      <x:c r="C18" s="17" t="str">
        <x:v>Day</x:v>
      </x:c>
      <x:c r="D18" s="17" t="str">
        <x:v>Indefinite fast</x:v>
      </x:c>
      <x:c r="E18" s="17" t="str">
        <x:v>Movement</x:v>
      </x:c>
      <x:c r="F18" s="17" t="str">
        <x:v>Began a fast demanding Telangana statehood.</x:v>
      </x:c>
      <x:c r="G18" s="17" t="str">
        <x:v>Helped intensify a wider agitation and Union response.</x:v>
      </x:c>
      <x:c r="H18" s="17" t="str">
        <x:v>P2</x:v>
      </x:c>
      <x:c r="I18" s="17" t="str">
        <x:v>P2-E07</x:v>
      </x:c>
      <x:c r="J18" s="17" t="str">
        <x:v>Recorded fact / interpretation</x:v>
      </x:c>
      <x:c r="K18" s="19" t="str">
        <x:v>S005; S006</x:v>
      </x:c>
    </x:row>
    <x:row r="19" ht="40" customHeight="1">
      <x:c r="A19" s="9" t="str">
        <x:v>T13</x:v>
      </x:c>
      <x:c r="B19" s="29" t="n">
        <x:v>40156</x:v>
      </x:c>
      <x:c r="C19" s="9" t="str">
        <x:v>Day</x:v>
      </x:c>
      <x:c r="D19" s="9" t="str">
        <x:v>Union announcement</x:v>
      </x:c>
      <x:c r="E19" s="9" t="str">
        <x:v>Institution</x:v>
      </x:c>
      <x:c r="F19" s="9" t="str">
        <x:v>Home Minister P. Chidambaram announced initiation of the statehood process.</x:v>
      </x:c>
      <x:c r="G19" s="9" t="str">
        <x:v>A promise was followed by further consultation and years of agitation.</x:v>
      </x:c>
      <x:c r="H19" s="9" t="str">
        <x:v>P2</x:v>
      </x:c>
      <x:c r="I19" s="9" t="str">
        <x:v>P2-E02</x:v>
      </x:c>
      <x:c r="J19" s="9" t="str">
        <x:v>Recorded fact</x:v>
      </x:c>
      <x:c r="K19" s="18" t="str">
        <x:v>S005; S006</x:v>
      </x:c>
    </x:row>
    <x:row r="20" ht="40" customHeight="1">
      <x:c r="A20" s="17" t="str">
        <x:v>T14</x:v>
      </x:c>
      <x:c r="B20" s="17" t="str">
        <x:v>2010–2013</x:v>
      </x:c>
      <x:c r="C20" s="17" t="str">
        <x:v>Range</x:v>
      </x:c>
      <x:c r="D20" s="17" t="str">
        <x:v>TJAC and mass mobilization</x:v>
      </x:c>
      <x:c r="E20" s="17" t="str">
        <x:v>Movement</x:v>
      </x:c>
      <x:c r="F20" s="17" t="str">
        <x:v>Students, employees, cultural activists and civil society sustained protests alongside TRS.</x:v>
      </x:c>
      <x:c r="G20" s="17" t="str">
        <x:v>Shared mobilization complicates a single-leader origin story.</x:v>
      </x:c>
      <x:c r="H20" s="17" t="str">
        <x:v>P2</x:v>
      </x:c>
      <x:c r="I20" s="17" t="str">
        <x:v>P2-E07</x:v>
      </x:c>
      <x:c r="J20" s="17" t="str">
        <x:v>Recorded fact / analysis</x:v>
      </x:c>
      <x:c r="K20" s="19" t="str">
        <x:v>S005; S006</x:v>
      </x:c>
    </x:row>
    <x:row r="21" ht="40" customHeight="1">
      <x:c r="A21" s="9" t="str">
        <x:v>T15</x:v>
      </x:c>
      <x:c r="B21" s="29" t="n">
        <x:v>41699</x:v>
      </x:c>
      <x:c r="C21" s="9" t="str">
        <x:v>Day</x:v>
      </x:c>
      <x:c r="D21" s="9" t="str">
        <x:v>Reorganisation Act receives assent</x:v>
      </x:c>
      <x:c r="E21" s="9" t="str">
        <x:v>Law</x:v>
      </x:c>
      <x:c r="F21" s="9" t="str">
        <x:v>Parliamentary statute provides for Telangana and successor-state arrangements.</x:v>
      </x:c>
      <x:c r="G21" s="9" t="str">
        <x:v>Legal formation required Union constitutional action.</x:v>
      </x:c>
      <x:c r="H21" s="9" t="str">
        <x:v>P2</x:v>
      </x:c>
      <x:c r="I21" s="9" t="str">
        <x:v>P2-E02</x:v>
      </x:c>
      <x:c r="J21" s="9" t="str">
        <x:v>Recorded fact</x:v>
      </x:c>
      <x:c r="K21" s="18" t="str">
        <x:v>S007; S008</x:v>
      </x:c>
    </x:row>
    <x:row r="22" ht="30" customHeight="1">
      <x:c r="A22" s="17" t="str">
        <x:v>T16</x:v>
      </x:c>
      <x:c r="B22" s="27" t="n">
        <x:v>2014</x:v>
      </x:c>
      <x:c r="C22" s="17" t="str">
        <x:v>Year</x:v>
      </x:c>
      <x:c r="D22" s="17" t="str">
        <x:v>Won Gajwel and Medak</x:v>
      </x:c>
      <x:c r="E22" s="17" t="str">
        <x:v>Election</x:v>
      </x:c>
      <x:c r="F22" s="17" t="str">
        <x:v>Selected the Assembly route after winning both seats.</x:v>
      </x:c>
      <x:c r="G22" s="17" t="str">
        <x:v>Prepared to lead the first Telangana government.</x:v>
      </x:c>
      <x:c r="H22" s="17" t="str">
        <x:v>P2</x:v>
      </x:c>
      <x:c r="I22" s="17" t="str">
        <x:v>P2-E03</x:v>
      </x:c>
      <x:c r="J22" s="17" t="str">
        <x:v>Recorded fact</x:v>
      </x:c>
      <x:c r="K22" s="19" t="str">
        <x:v>S009</x:v>
      </x:c>
    </x:row>
    <x:row r="23" ht="30" customHeight="1">
      <x:c r="A23" s="9" t="str">
        <x:v>T17</x:v>
      </x:c>
      <x:c r="B23" s="29" t="n">
        <x:v>41792</x:v>
      </x:c>
      <x:c r="C23" s="9" t="str">
        <x:v>Day</x:v>
      </x:c>
      <x:c r="D23" s="9" t="str">
        <x:v>First Telangana CM</x:v>
      </x:c>
      <x:c r="E23" s="9" t="str">
        <x:v>Office</x:v>
      </x:c>
      <x:c r="F23" s="9" t="str">
        <x:v>Sworn in as the new state began functioning.</x:v>
      </x:c>
      <x:c r="G23" s="9" t="str">
        <x:v>Movement leadership became executive responsibility.</x:v>
      </x:c>
      <x:c r="H23" s="9" t="str">
        <x:v>P3</x:v>
      </x:c>
      <x:c r="I23" s="9" t="str">
        <x:v>P3-E09</x:v>
      </x:c>
      <x:c r="J23" s="9" t="str">
        <x:v>Recorded fact</x:v>
      </x:c>
      <x:c r="K23" s="18" t="str">
        <x:v>S001; S007</x:v>
      </x:c>
    </x:row>
    <x:row r="24" ht="40" customHeight="1">
      <x:c r="A24" s="17" t="str">
        <x:v>T18</x:v>
      </x:c>
      <x:c r="B24" s="17" t="str">
        <x:v>2014–2017</x:v>
      </x:c>
      <x:c r="C24" s="17" t="str">
        <x:v>Range</x:v>
      </x:c>
      <x:c r="D24" s="17" t="str">
        <x:v>Welfare and infrastructure expansion</x:v>
      </x:c>
      <x:c r="E24" s="17" t="str">
        <x:v>Governance</x:v>
      </x:c>
      <x:c r="F24" s="17" t="str">
        <x:v>Social pensions, marriage assistance, water programmes and industrial approval reforms became central.</x:v>
      </x:c>
      <x:c r="G24" s="17" t="str">
        <x:v>New state government sought legitimacy through visible delivery.</x:v>
      </x:c>
      <x:c r="H24" s="17" t="str">
        <x:v>P3</x:v>
      </x:c>
      <x:c r="I24" s="17" t="str">
        <x:v>P3-E04</x:v>
      </x:c>
      <x:c r="J24" s="17" t="str">
        <x:v>Recorded fact / analysis</x:v>
      </x:c>
      <x:c r="K24" s="19" t="str">
        <x:v>S023; S024; S025; S026; S035</x:v>
      </x:c>
    </x:row>
    <x:row r="25" ht="40" customHeight="1">
      <x:c r="A25" s="9" t="str">
        <x:v>T19</x:v>
      </x:c>
      <x:c r="B25" s="24" t="n">
        <x:v>2018</x:v>
      </x:c>
      <x:c r="C25" s="9" t="str">
        <x:v>Year</x:v>
      </x:c>
      <x:c r="D25" s="9" t="str">
        <x:v>Rythu Bandhu introduced</x:v>
      </x:c>
      <x:c r="E25" s="9" t="str">
        <x:v>Governance</x:v>
      </x:c>
      <x:c r="F25" s="9" t="str">
        <x:v>Per-acre support tied to land records.</x:v>
      </x:c>
      <x:c r="G25" s="9" t="str">
        <x:v>A major welfare innovation also raised tenant and land-record exclusion questions.</x:v>
      </x:c>
      <x:c r="H25" s="9" t="str">
        <x:v>P3</x:v>
      </x:c>
      <x:c r="I25" s="9" t="str">
        <x:v>P3-E08</x:v>
      </x:c>
      <x:c r="J25" s="9" t="str">
        <x:v>Recorded fact / analysis</x:v>
      </x:c>
      <x:c r="K25" s="18" t="str">
        <x:v>S021; S022</x:v>
      </x:c>
    </x:row>
    <x:row r="26" ht="30" customHeight="1">
      <x:c r="A26" s="17" t="str">
        <x:v>T20</x:v>
      </x:c>
      <x:c r="B26" s="28" t="n">
        <x:v>43445</x:v>
      </x:c>
      <x:c r="C26" s="17" t="str">
        <x:v>Day</x:v>
      </x:c>
      <x:c r="D26" s="17" t="str">
        <x:v>Second Assembly victory</x:v>
      </x:c>
      <x:c r="E26" s="17" t="str">
        <x:v>Election</x:v>
      </x:c>
      <x:c r="F26" s="17" t="str">
        <x:v>TRS won a large majority; KCR retained Gajwel.</x:v>
      </x:c>
      <x:c r="G26" s="17" t="str">
        <x:v>Renewed mandate after an early election.</x:v>
      </x:c>
      <x:c r="H26" s="17" t="str">
        <x:v>P3</x:v>
      </x:c>
      <x:c r="I26" s="17" t="str">
        <x:v>P3-E03</x:v>
      </x:c>
      <x:c r="J26" s="17" t="str">
        <x:v>Recorded fact</x:v>
      </x:c>
      <x:c r="K26" s="19" t="str">
        <x:v>S004; S009</x:v>
      </x:c>
    </x:row>
    <x:row r="27" ht="30" customHeight="1">
      <x:c r="A27" s="9" t="str">
        <x:v>T21</x:v>
      </x:c>
      <x:c r="B27" s="29" t="n">
        <x:v>43447</x:v>
      </x:c>
      <x:c r="C27" s="9" t="str">
        <x:v>Day</x:v>
      </x:c>
      <x:c r="D27" s="9" t="str">
        <x:v>Second CM ministry</x:v>
      </x:c>
      <x:c r="E27" s="9" t="str">
        <x:v>Office</x:v>
      </x:c>
      <x:c r="F27" s="9" t="str">
        <x:v>Began his second ministry.</x:v>
      </x:c>
      <x:c r="G27" s="9" t="str">
        <x:v>Larger legislative strength increased governing room.</x:v>
      </x:c>
      <x:c r="H27" s="9" t="str">
        <x:v>P4</x:v>
      </x:c>
      <x:c r="I27" s="9" t="str">
        <x:v>P4-E02</x:v>
      </x:c>
      <x:c r="J27" s="9" t="str">
        <x:v>Recorded fact</x:v>
      </x:c>
      <x:c r="K27" s="18" t="str">
        <x:v>S009</x:v>
      </x:c>
    </x:row>
    <x:row r="28" ht="30" customHeight="1">
      <x:c r="A28" s="17" t="str">
        <x:v>T22</x:v>
      </x:c>
      <x:c r="B28" s="28" t="n">
        <x:v>43716</x:v>
      </x:c>
      <x:c r="C28" s="17" t="str">
        <x:v>Day</x:v>
      </x:c>
      <x:c r="D28" s="17" t="str">
        <x:v>First women ministers appointed</x:v>
      </x:c>
      <x:c r="E28" s="17" t="str">
        <x:v>Office</x:v>
      </x:c>
      <x:c r="F28" s="17" t="str">
        <x:v>Sabitha Indra Reddy and Satyavati Rathod joined the cabinet.</x:v>
      </x:c>
      <x:c r="G28" s="17" t="str">
        <x:v>Ended the absence of women in the state cabinet under KCR.</x:v>
      </x:c>
      <x:c r="H28" s="17" t="str">
        <x:v>P4</x:v>
      </x:c>
      <x:c r="I28" s="17" t="str">
        <x:v>P4-G04</x:v>
      </x:c>
      <x:c r="J28" s="17" t="str">
        <x:v>Recorded fact</x:v>
      </x:c>
      <x:c r="K28" s="19" t="str">
        <x:v>S028; S029; S030</x:v>
      </x:c>
    </x:row>
    <x:row r="29" ht="40" customHeight="1">
      <x:c r="A29" s="9" t="str">
        <x:v>T23</x:v>
      </x:c>
      <x:c r="B29" s="9" t="str">
        <x:v>2020–2021</x:v>
      </x:c>
      <x:c r="C29" s="9" t="str">
        <x:v>Range</x:v>
      </x:c>
      <x:c r="D29" s="9" t="str">
        <x:v>Pandemic governing period</x:v>
      </x:c>
      <x:c r="E29" s="9" t="str">
        <x:v>Governance context</x:v>
      </x:c>
      <x:c r="F29" s="9" t="str">
        <x:v>Government faced COVID-19 health and economic disruption.</x:v>
      </x:c>
      <x:c r="G29" s="9" t="str">
        <x:v>Performance judgments need to distinguish shock effects from administrative decisions.</x:v>
      </x:c>
      <x:c r="H29" s="9" t="str">
        <x:v>P4</x:v>
      </x:c>
      <x:c r="I29" s="9" t="str">
        <x:v>P4-E04</x:v>
      </x:c>
      <x:c r="J29" s="9" t="str">
        <x:v>Analysis</x:v>
      </x:c>
      <x:c r="K29" s="18" t="str">
        <x:v>S020; S033</x:v>
      </x:c>
    </x:row>
    <x:row r="30" ht="40" customHeight="1">
      <x:c r="A30" s="17" t="str">
        <x:v>T24</x:v>
      </x:c>
      <x:c r="B30" s="27" t="n">
        <x:v>2021</x:v>
      </x:c>
      <x:c r="C30" s="17" t="str">
        <x:v>Year</x:v>
      </x:c>
      <x:c r="D30" s="17" t="str">
        <x:v>Dalit Bandhu pilot</x:v>
      </x:c>
      <x:c r="E30" s="17" t="str">
        <x:v>Governance</x:v>
      </x:c>
      <x:c r="F30" s="17" t="str">
        <x:v>Introduced capital assistance for eligible Dalit households.</x:v>
      </x:c>
      <x:c r="G30" s="17" t="str">
        <x:v>Ambitious targeted support; rollout and selection remained contested.</x:v>
      </x:c>
      <x:c r="H30" s="17" t="str">
        <x:v>P4</x:v>
      </x:c>
      <x:c r="I30" s="17" t="str">
        <x:v>P4-E08</x:v>
      </x:c>
      <x:c r="J30" s="17" t="str">
        <x:v>Recorded fact</x:v>
      </x:c>
      <x:c r="K30" s="19" t="str">
        <x:v>S031; S032</x:v>
      </x:c>
    </x:row>
    <x:row r="31" ht="30" customHeight="1">
      <x:c r="A31" s="9" t="str">
        <x:v>T25</x:v>
      </x:c>
      <x:c r="B31" s="29" t="n">
        <x:v>44903</x:v>
      </x:c>
      <x:c r="C31" s="9" t="str">
        <x:v>Day</x:v>
      </x:c>
      <x:c r="D31" s="9" t="str">
        <x:v>TRS rename accepted</x:v>
      </x:c>
      <x:c r="E31" s="9" t="str">
        <x:v>Party</x:v>
      </x:c>
      <x:c r="F31" s="9" t="str">
        <x:v>ECI accepted the BRS name after the October resolution.</x:v>
      </x:c>
      <x:c r="G31" s="9" t="str">
        <x:v>Signaled attempted expansion beyond a Telangana-only identity.</x:v>
      </x:c>
      <x:c r="H31" s="9" t="str">
        <x:v>P4</x:v>
      </x:c>
      <x:c r="I31" s="9" t="str">
        <x:v>P4-E01</x:v>
      </x:c>
      <x:c r="J31" s="9" t="str">
        <x:v>Recorded fact / analysis</x:v>
      </x:c>
      <x:c r="K31" s="18" t="str">
        <x:v>S017</x:v>
      </x:c>
    </x:row>
    <x:row r="32" ht="40" customHeight="1">
      <x:c r="A32" s="17" t="str">
        <x:v>T26</x:v>
      </x:c>
      <x:c r="B32" s="27" t="n">
        <x:v>2023</x:v>
      </x:c>
      <x:c r="C32" s="17" t="str">
        <x:v>Year</x:v>
      </x:c>
      <x:c r="D32" s="17" t="str">
        <x:v>Recruitment and irrigation scrutiny</x:v>
      </x:c>
      <x:c r="E32" s="17" t="str">
        <x:v>Governance</x:v>
      </x:c>
      <x:c r="F32" s="17" t="str">
        <x:v>TSPSC exam disruption and Kaleshwaram problems became campaign issues.</x:v>
      </x:c>
      <x:c r="G32" s="17" t="str">
        <x:v>Public employment and project accountability challenged the government’s record.</x:v>
      </x:c>
      <x:c r="H32" s="17" t="str">
        <x:v>P4</x:v>
      </x:c>
      <x:c r="I32" s="17" t="str">
        <x:v>P4-E02</x:v>
      </x:c>
      <x:c r="J32" s="17" t="str">
        <x:v>Recorded / attributed</x:v>
      </x:c>
      <x:c r="K32" s="19" t="str">
        <x:v>S018; S036; S045</x:v>
      </x:c>
    </x:row>
    <x:row r="33" ht="30" customHeight="1">
      <x:c r="A33" s="9" t="str">
        <x:v>T27</x:v>
      </x:c>
      <x:c r="B33" s="29" t="n">
        <x:v>45263</x:v>
      </x:c>
      <x:c r="C33" s="9" t="str">
        <x:v>Day</x:v>
      </x:c>
      <x:c r="D33" s="9" t="str">
        <x:v>Assembly defeat</x:v>
      </x:c>
      <x:c r="E33" s="9" t="str">
        <x:v>Election</x:v>
      </x:c>
      <x:c r="F33" s="9" t="str">
        <x:v>BRS won 39 seats; KCR retained Gajwel but lost Kamareddy.</x:v>
      </x:c>
      <x:c r="G33" s="9" t="str">
        <x:v>His personal Assembly presence survived the loss of government.</x:v>
      </x:c>
      <x:c r="H33" s="9" t="str">
        <x:v>P4</x:v>
      </x:c>
      <x:c r="I33" s="9" t="str">
        <x:v>P4-E03</x:v>
      </x:c>
      <x:c r="J33" s="9" t="str">
        <x:v>Recorded fact</x:v>
      </x:c>
      <x:c r="K33" s="18" t="str">
        <x:v>S011; S012; S014</x:v>
      </x:c>
    </x:row>
    <x:row r="34" ht="40" customHeight="1">
      <x:c r="A34" s="17" t="str">
        <x:v>T28</x:v>
      </x:c>
      <x:c r="B34" s="28" t="n">
        <x:v>45267</x:v>
      </x:c>
      <x:c r="C34" s="17" t="str">
        <x:v>Day</x:v>
      </x:c>
      <x:c r="D34" s="17" t="str">
        <x:v>Opposition phase begins</x:v>
      </x:c>
      <x:c r="E34" s="17" t="str">
        <x:v>Office</x:v>
      </x:c>
      <x:c r="F34" s="17" t="str">
        <x:v>Congress government succeeded KCR’s administration; LoP recognition followed in December.</x:v>
      </x:c>
      <x:c r="G34" s="17" t="str">
        <x:v>Governance authority shifted to political and legislative opposition.</x:v>
      </x:c>
      <x:c r="H34" s="17" t="str">
        <x:v>P5</x:v>
      </x:c>
      <x:c r="I34" s="17" t="str">
        <x:v>P5-E02</x:v>
      </x:c>
      <x:c r="J34" s="17" t="str">
        <x:v>Recorded fact</x:v>
      </x:c>
      <x:c r="K34" s="19" t="str">
        <x:v>S009; S014; S038</x:v>
      </x:c>
    </x:row>
    <x:row r="35" ht="40" customHeight="1">
      <x:c r="A35" s="9" t="str">
        <x:v>T29</x:v>
      </x:c>
      <x:c r="B35" s="29" t="n">
        <x:v>45447</x:v>
      </x:c>
      <x:c r="C35" s="9" t="str">
        <x:v>Day</x:v>
      </x:c>
      <x:c r="D35" s="9" t="str">
        <x:v>BRS loses all Lok Sabha seats</x:v>
      </x:c>
      <x:c r="E35" s="9" t="str">
        <x:v>Election</x:v>
      </x:c>
      <x:c r="F35" s="9" t="str">
        <x:v>No seats won out of 17 in Telangana.</x:v>
      </x:c>
      <x:c r="G35" s="9" t="str">
        <x:v>Reduced parliamentary influence and weakened the national expansion project.</x:v>
      </x:c>
      <x:c r="H35" s="9" t="str">
        <x:v>P5</x:v>
      </x:c>
      <x:c r="I35" s="9" t="str">
        <x:v>P5-E01</x:v>
      </x:c>
      <x:c r="J35" s="9" t="str">
        <x:v>Recorded fact / analysis</x:v>
      </x:c>
      <x:c r="K35" s="18" t="str">
        <x:v>S015; S016</x:v>
      </x:c>
    </x:row>
    <x:row r="36" ht="40" customHeight="1">
      <x:c r="A36" s="17" t="str">
        <x:v>T30</x:v>
      </x:c>
      <x:c r="B36" s="28" t="n">
        <x:v>46054</x:v>
      </x:c>
      <x:c r="C36" s="17" t="str">
        <x:v>Day</x:v>
      </x:c>
      <x:c r="D36" s="17" t="str">
        <x:v>Phone-tapping examination</x:v>
      </x:c>
      <x:c r="E36" s="17" t="str">
        <x:v>Investigation</x:v>
      </x:c>
      <x:c r="F36" s="17" t="str">
        <x:v>SIT questioned KCR; he reportedly denied knowledge of illegal interception.</x:v>
      </x:c>
      <x:c r="G36" s="17" t="str">
        <x:v>An investigation step, not a finding of guilt.</x:v>
      </x:c>
      <x:c r="H36" s="17" t="str">
        <x:v>P5</x:v>
      </x:c>
      <x:c r="I36" s="17" t="str">
        <x:v>P5-E02</x:v>
      </x:c>
      <x:c r="J36" s="17" t="str">
        <x:v>Reported procedural fact</x:v>
      </x:c>
      <x:c r="K36" s="19" t="str">
        <x:v>S038; S039; S040</x:v>
      </x:c>
    </x:row>
    <x:row r="37" ht="40" customHeight="1">
      <x:c r="A37" s="9" t="str">
        <x:v>T31</x:v>
      </x:c>
      <x:c r="B37" s="29" t="n">
        <x:v>46134</x:v>
      </x:c>
      <x:c r="C37" s="9" t="str">
        <x:v>Day</x:v>
      </x:c>
      <x:c r="D37" s="9" t="str">
        <x:v>High Court relief on Ghose findings</x:v>
      </x:c>
      <x:c r="E37" s="9" t="str">
        <x:v>Court</x:v>
      </x:c>
      <x:c r="F37" s="9" t="str">
        <x:v>Adverse commission findings against petitioners made inoperative for procedural defects, as reported.</x:v>
      </x:c>
      <x:c r="G37" s="9" t="str">
        <x:v>Commission constitution remained valid; CAG audit is a separate record.</x:v>
      </x:c>
      <x:c r="H37" s="9" t="str">
        <x:v>P5</x:v>
      </x:c>
      <x:c r="I37" s="9" t="str">
        <x:v>P5-E02</x:v>
      </x:c>
      <x:c r="J37" s="9" t="str">
        <x:v>Reported court disposition</x:v>
      </x:c>
      <x:c r="K37" s="18" t="str">
        <x:v>S036; S037</x:v>
      </x:c>
    </x:row>
    <x:row r="38" ht="40" customHeight="1">
      <x:c r="A38" s="17" t="str">
        <x:v>T32</x:v>
      </x:c>
      <x:c r="B38" s="28" t="n">
        <x:v>46137</x:v>
      </x:c>
      <x:c r="C38" s="17" t="str">
        <x:v>Day</x:v>
      </x:c>
      <x:c r="D38" s="17" t="str">
        <x:v>Kavitha launches separate party</x:v>
      </x:c>
      <x:c r="E38" s="17" t="str">
        <x:v>Party</x:v>
      </x:c>
      <x:c r="F38" s="17" t="str">
        <x:v>KCR’s daughter pursued a separate political organization after her suspension.</x:v>
      </x:c>
      <x:c r="G38" s="17" t="str">
        <x:v>Publicly exposed a fracture in the family-centered political network.</x:v>
      </x:c>
      <x:c r="H38" s="17" t="str">
        <x:v>P5</x:v>
      </x:c>
      <x:c r="I38" s="17" t="str">
        <x:v>P5-G03</x:v>
      </x:c>
      <x:c r="J38" s="17" t="str">
        <x:v>Reported fact / analysis</x:v>
      </x:c>
      <x:c r="K38" s="19" t="str">
        <x:v>S041; S042</x:v>
      </x:c>
    </x:row>
    <x:row r="39" ht="40" customHeight="1">
      <x:c r="A39" s="9" t="str">
        <x:v>T33</x:v>
      </x:c>
      <x:c r="B39" s="9" t="str">
        <x:v>2026-09</x:v>
      </x:c>
      <x:c r="C39" s="9" t="str">
        <x:v>Month</x:v>
      </x:c>
      <x:c r="D39" s="9" t="str">
        <x:v>Dalit protest controversy reaches Assembly</x:v>
      </x:c>
      <x:c r="E39" s="9" t="str">
        <x:v>Political dispute</x:v>
      </x:c>
      <x:c r="F39" s="9" t="str">
        <x:v>Reports described suspensions and police cases after an alleged ritual; BRS disputed the video.</x:v>
      </x:c>
      <x:c r="G39" s="9" t="str">
        <x:v>A continuing representational dispute; personal responsibility of KCR not established.</x:v>
      </x:c>
      <x:c r="H39" s="9" t="str">
        <x:v>P5</x:v>
      </x:c>
      <x:c r="I39" s="9" t="str">
        <x:v>P5-E08</x:v>
      </x:c>
      <x:c r="J39" s="9" t="str">
        <x:v>Disputed / uncertain</x:v>
      </x:c>
      <x:c r="K39" s="18" t="str">
        <x:v>S043; S044</x:v>
      </x:c>
    </x:row>
  </x:sheetData>
  <x:pageMargins left="0.7" right="0.7" top="0.75" bottom="0.75" header="0.3" footer="0.3"/>
  <x:tableParts count="1">
    <x:tablePart xmlns:r="http://schemas.openxmlformats.org/officeDocument/2006/relationships" r:id="R9279f344defa49d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0" hidden="0" customWidth="1"/>
    <x:col min="3" max="3" width="26" hidden="0" customWidth="1"/>
    <x:col min="4" max="4" width="33" hidden="0" customWidth="1"/>
    <x:col min="5" max="5" width="30" hidden="0" customWidth="1"/>
    <x:col min="6" max="6" width="12" hidden="0" customWidth="1"/>
    <x:col min="7" max="7" width="16" hidden="0" customWidth="1"/>
    <x:col min="8" max="8" width="29" hidden="0" customWidth="1"/>
    <x:col min="9" max="9" width="17" hidden="0" customWidth="1"/>
    <x:col min="10" max="10" width="17" hidden="0" customWidth="1"/>
    <x:col min="11" max="11" width="20" hidden="0" customWidth="1"/>
    <x:col min="12" max="12" width="10" hidden="0" customWidth="1"/>
    <x:col min="13" max="13" width="20" hidden="0" customWidth="1"/>
    <x:col min="14" max="14" width="26" hidden="0" customWidth="1"/>
    <x:col min="15" max="15" width="63" hidden="0" customWidth="1"/>
  </x:cols>
  <x:sheetData>
    <x:row r="1" ht="12" customHeight="1"/>
    <x:row r="2" ht="25" customHeight="1">
      <x:c r="A2" s="2" t="str">
        <x:v>Personal elections and party results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 ht="22" customHeight="1">
      <x:c r="A4" s="5" t="str">
        <x:v>Main table: direct personal contests. Signed margin = KCR votes − principal opponent votes; provisional figures are flagged.</x:v>
      </x:c>
    </x:row>
    <x:row r="5" ht="8" customHeight="1"/>
    <x:row r="6" ht="38" customHeight="1">
      <x:c r="A6" s="14" t="str">
        <x:v>Election ID</x:v>
      </x:c>
      <x:c r="B6" s="15" t="str">
        <x:v>Year</x:v>
      </x:c>
      <x:c r="C6" s="15" t="str">
        <x:v>Election / house</x:v>
      </x:c>
      <x:c r="D6" s="15" t="str">
        <x:v>Constituency and jurisdiction</x:v>
      </x:c>
      <x:c r="E6" s="15" t="str">
        <x:v>Party / alliance at election</x:v>
      </x:c>
      <x:c r="F6" s="15" t="str">
        <x:v>Result</x:v>
      </x:c>
      <x:c r="G6" s="15" t="str">
        <x:v>KCR votes</x:v>
      </x:c>
      <x:c r="H6" s="15" t="str">
        <x:v>Principal opponent</x:v>
      </x:c>
      <x:c r="I6" s="15" t="str">
        <x:v>Opponent party</x:v>
      </x:c>
      <x:c r="J6" s="15" t="str">
        <x:v>Opponent votes</x:v>
      </x:c>
      <x:c r="K6" s="15" t="str">
        <x:v>Signed margin (votes)</x:v>
      </x:c>
      <x:c r="L6" s="15" t="str">
        <x:v>Phase</x:v>
      </x:c>
      <x:c r="M6" s="15" t="str">
        <x:v>Context IDs</x:v>
      </x:c>
      <x:c r="N6" s="15" t="str">
        <x:v>Source IDs</x:v>
      </x:c>
      <x:c r="O6" s="16" t="str">
        <x:v>Evidence note</x:v>
      </x:c>
    </x:row>
    <x:row r="7" ht="40" customHeight="1">
      <x:c r="A7" s="9" t="str">
        <x:v>EL01</x:v>
      </x:c>
      <x:c r="B7" s="24" t="n">
        <x:v>1983</x:v>
      </x:c>
      <x:c r="C7" s="9" t="str">
        <x:v>Assembly — general</x:v>
      </x:c>
      <x:c r="D7" s="9" t="str">
        <x:v>Siddipet, Andhra Pradesh</x:v>
      </x:c>
      <x:c r="E7" s="9" t="str">
        <x:v>IND (contested label)</x:v>
      </x:c>
      <x:c r="F7" s="9" t="str">
        <x:v>Lost</x:v>
      </x:c>
      <x:c r="G7" s="23" t="n">
        <x:v>27889</x:v>
      </x:c>
      <x:c r="H7" s="9" t="str">
        <x:v>A. Madan Mohan</x:v>
      </x:c>
      <x:c r="I7" s="9" t="str">
        <x:v>INC</x:v>
      </x:c>
      <x:c r="J7" s="30" t="n">
        <x:v>28766</x:v>
      </x:c>
      <x:c r="K7" s="33" t="n">
        <x:f>IF(AND(ISNUMBER(G7),ISNUMBER(J7)),G7-J7,"Not verified")</x:f>
        <x:v>-877</x:v>
      </x:c>
      <x:c r="L7" s="9" t="str">
        <x:v>P1</x:v>
      </x:c>
      <x:c r="M7" s="9" t="str">
        <x:v>P1-E03</x:v>
      </x:c>
      <x:c r="N7" s="18" t="str">
        <x:v>S009; S013</x:v>
      </x:c>
      <x:c r="O7" s="20" t="str">
        <x:v>Provisional counts. Computed loss is 877; reference table prints 887. Some biographies call him TDP; TOI and reference table use IND.</x:v>
      </x:c>
    </x:row>
    <x:row r="8" ht="30" customHeight="1">
      <x:c r="A8" s="17" t="str">
        <x:v>EL02</x:v>
      </x:c>
      <x:c r="B8" s="27" t="n">
        <x:v>1985</x:v>
      </x:c>
      <x:c r="C8" s="17" t="str">
        <x:v>Assembly — general</x:v>
      </x:c>
      <x:c r="D8" s="17" t="str">
        <x:v>Siddipet, Andhra Pradesh</x:v>
      </x:c>
      <x:c r="E8" s="17" t="str">
        <x:v>TDP</x:v>
      </x:c>
      <x:c r="F8" s="17" t="str">
        <x:v>Won</x:v>
      </x:c>
      <x:c r="G8" s="26" t="n">
        <x:v>45215</x:v>
      </x:c>
      <x:c r="H8" s="17" t="str">
        <x:v>T. Mahender Reddy</x:v>
      </x:c>
      <x:c r="I8" s="17" t="str">
        <x:v>INC</x:v>
      </x:c>
      <x:c r="J8" s="34" t="n">
        <x:v>29059</x:v>
      </x:c>
      <x:c r="K8" s="37" t="n">
        <x:f>IF(AND(ISNUMBER(G8),ISNUMBER(J8)),G8-J8,"Not verified")</x:f>
        <x:v>16156</x:v>
      </x:c>
      <x:c r="L8" s="17" t="str">
        <x:v>P1</x:v>
      </x:c>
      <x:c r="M8" s="17" t="str">
        <x:v>P1-E03</x:v>
      </x:c>
      <x:c r="N8" s="19" t="str">
        <x:v>S004; S009</x:v>
      </x:c>
      <x:c r="O8" s="21" t="str">
        <x:v>Provisional numeric return; underlying ECI record not retrieved.</x:v>
      </x:c>
    </x:row>
    <x:row r="9" ht="30" customHeight="1">
      <x:c r="A9" s="9" t="str">
        <x:v>EL03</x:v>
      </x:c>
      <x:c r="B9" s="24" t="n">
        <x:v>1989</x:v>
      </x:c>
      <x:c r="C9" s="9" t="str">
        <x:v>Assembly — general</x:v>
      </x:c>
      <x:c r="D9" s="9" t="str">
        <x:v>Siddipet, Andhra Pradesh</x:v>
      </x:c>
      <x:c r="E9" s="9" t="str">
        <x:v>TDP</x:v>
      </x:c>
      <x:c r="F9" s="9" t="str">
        <x:v>Won</x:v>
      </x:c>
      <x:c r="G9" s="23" t="n">
        <x:v>53145</x:v>
      </x:c>
      <x:c r="H9" s="9" t="str">
        <x:v>A. Madan Mohan</x:v>
      </x:c>
      <x:c r="I9" s="9" t="str">
        <x:v>INC</x:v>
      </x:c>
      <x:c r="J9" s="30" t="n">
        <x:v>39329</x:v>
      </x:c>
      <x:c r="K9" s="33" t="n">
        <x:f>IF(AND(ISNUMBER(G9),ISNUMBER(J9)),G9-J9,"Not verified")</x:f>
        <x:v>13816</x:v>
      </x:c>
      <x:c r="L9" s="9" t="str">
        <x:v>P1</x:v>
      </x:c>
      <x:c r="M9" s="9" t="str">
        <x:v>P1-E03</x:v>
      </x:c>
      <x:c r="N9" s="18" t="str">
        <x:v>S004; S009</x:v>
      </x:c>
      <x:c r="O9" s="20" t="str">
        <x:v>Provisional numeric return; underlying ECI record not retrieved.</x:v>
      </x:c>
    </x:row>
    <x:row r="10" ht="30" customHeight="1">
      <x:c r="A10" s="17" t="str">
        <x:v>EL04</x:v>
      </x:c>
      <x:c r="B10" s="27" t="n">
        <x:v>1994</x:v>
      </x:c>
      <x:c r="C10" s="17" t="str">
        <x:v>Assembly — general</x:v>
      </x:c>
      <x:c r="D10" s="17" t="str">
        <x:v>Siddipet, Andhra Pradesh</x:v>
      </x:c>
      <x:c r="E10" s="17" t="str">
        <x:v>TDP</x:v>
      </x:c>
      <x:c r="F10" s="17" t="str">
        <x:v>Won</x:v>
      </x:c>
      <x:c r="G10" s="26" t="n">
        <x:v>64645</x:v>
      </x:c>
      <x:c r="H10" s="17" t="str">
        <x:v>A. Madan Mohan</x:v>
      </x:c>
      <x:c r="I10" s="17" t="str">
        <x:v>INC</x:v>
      </x:c>
      <x:c r="J10" s="34" t="n">
        <x:v>37538</x:v>
      </x:c>
      <x:c r="K10" s="37" t="n">
        <x:f>IF(AND(ISNUMBER(G10),ISNUMBER(J10)),G10-J10,"Not verified")</x:f>
        <x:v>27107</x:v>
      </x:c>
      <x:c r="L10" s="17" t="str">
        <x:v>P1</x:v>
      </x:c>
      <x:c r="M10" s="17" t="str">
        <x:v>P1-E03</x:v>
      </x:c>
      <x:c r="N10" s="19" t="str">
        <x:v>S004; S009</x:v>
      </x:c>
      <x:c r="O10" s="21" t="str">
        <x:v>Provisional numeric return; underlying ECI record not retrieved.</x:v>
      </x:c>
    </x:row>
    <x:row r="11" ht="30" customHeight="1">
      <x:c r="A11" s="9" t="str">
        <x:v>EL05</x:v>
      </x:c>
      <x:c r="B11" s="24" t="n">
        <x:v>1999</x:v>
      </x:c>
      <x:c r="C11" s="9" t="str">
        <x:v>Assembly — general</x:v>
      </x:c>
      <x:c r="D11" s="9" t="str">
        <x:v>Siddipet, Andhra Pradesh</x:v>
      </x:c>
      <x:c r="E11" s="9" t="str">
        <x:v>TDP</x:v>
      </x:c>
      <x:c r="F11" s="9" t="str">
        <x:v>Won</x:v>
      </x:c>
      <x:c r="G11" s="23" t="n">
        <x:v>69169</x:v>
      </x:c>
      <x:c r="H11" s="9" t="str">
        <x:v>M. Swamy Charan</x:v>
      </x:c>
      <x:c r="I11" s="9" t="str">
        <x:v>INC</x:v>
      </x:c>
      <x:c r="J11" s="30" t="n">
        <x:v>41614</x:v>
      </x:c>
      <x:c r="K11" s="33" t="n">
        <x:f>IF(AND(ISNUMBER(G11),ISNUMBER(J11)),G11-J11,"Not verified")</x:f>
        <x:v>27555</x:v>
      </x:c>
      <x:c r="L11" s="9" t="str">
        <x:v>P1</x:v>
      </x:c>
      <x:c r="M11" s="9" t="str">
        <x:v>P1-E03</x:v>
      </x:c>
      <x:c r="N11" s="18" t="str">
        <x:v>S004; S009</x:v>
      </x:c>
      <x:c r="O11" s="20" t="str">
        <x:v>Provisional numeric return; underlying ECI record not retrieved.</x:v>
      </x:c>
    </x:row>
    <x:row r="12" ht="40" customHeight="1">
      <x:c r="A12" s="17" t="str">
        <x:v>EL06</x:v>
      </x:c>
      <x:c r="B12" s="27" t="n">
        <x:v>2001</x:v>
      </x:c>
      <x:c r="C12" s="17" t="str">
        <x:v>Assembly — by-election</x:v>
      </x:c>
      <x:c r="D12" s="17" t="str">
        <x:v>Siddipet, Andhra Pradesh</x:v>
      </x:c>
      <x:c r="E12" s="17" t="str">
        <x:v>TRS</x:v>
      </x:c>
      <x:c r="F12" s="17" t="str">
        <x:v>Won</x:v>
      </x:c>
      <x:c r="G12" s="26" t="n">
        <x:v>82632</x:v>
      </x:c>
      <x:c r="H12" s="17" t="str">
        <x:v>M. Srinivas Reddy</x:v>
      </x:c>
      <x:c r="I12" s="17" t="str">
        <x:v>TDP</x:v>
      </x:c>
      <x:c r="J12" s="34" t="n">
        <x:v>23920</x:v>
      </x:c>
      <x:c r="K12" s="37" t="n">
        <x:f>IF(AND(ISNUMBER(G12),ISNUMBER(J12)),G12-J12,"Not verified")</x:f>
        <x:v>58712</x:v>
      </x:c>
      <x:c r="L12" s="17" t="str">
        <x:v>P2</x:v>
      </x:c>
      <x:c r="M12" s="17" t="str">
        <x:v>P2-E03</x:v>
      </x:c>
      <x:c r="N12" s="19" t="str">
        <x:v>S006; S009</x:v>
      </x:c>
      <x:c r="O12" s="21" t="str">
        <x:v>Vote counts provisional; 58,712 margin independently matches party chronology.</x:v>
      </x:c>
    </x:row>
    <x:row r="13" ht="30" customHeight="1">
      <x:c r="A13" s="9" t="str">
        <x:v>EL07</x:v>
      </x:c>
      <x:c r="B13" s="24" t="n">
        <x:v>2004</x:v>
      </x:c>
      <x:c r="C13" s="9" t="str">
        <x:v>Assembly — general</x:v>
      </x:c>
      <x:c r="D13" s="9" t="str">
        <x:v>Siddipet, Andhra Pradesh</x:v>
      </x:c>
      <x:c r="E13" s="9" t="str">
        <x:v>TRS / Congress alliance</x:v>
      </x:c>
      <x:c r="F13" s="9" t="str">
        <x:v>Won</x:v>
      </x:c>
      <x:c r="G13" s="23" t="n">
        <x:v>74287</x:v>
      </x:c>
      <x:c r="H13" s="9" t="str">
        <x:v>Jilla Srinivas</x:v>
      </x:c>
      <x:c r="I13" s="9" t="str">
        <x:v>TDP</x:v>
      </x:c>
      <x:c r="J13" s="30" t="n">
        <x:v>29619</x:v>
      </x:c>
      <x:c r="K13" s="33" t="n">
        <x:f>IF(AND(ISNUMBER(G13),ISNUMBER(J13)),G13-J13,"Not verified")</x:f>
        <x:v>44668</x:v>
      </x:c>
      <x:c r="L13" s="9" t="str">
        <x:v>P2</x:v>
      </x:c>
      <x:c r="M13" s="9" t="str">
        <x:v>P2-E03</x:v>
      </x:c>
      <x:c r="N13" s="18" t="str">
        <x:v>S009</x:v>
      </x:c>
      <x:c r="O13" s="20" t="str">
        <x:v>Provisional counts. Also won Karimnagar; relinquished Assembly seat.</x:v>
      </x:c>
    </x:row>
    <x:row r="14" ht="30" customHeight="1">
      <x:c r="A14" s="17" t="str">
        <x:v>EL08</x:v>
      </x:c>
      <x:c r="B14" s="27" t="n">
        <x:v>2004</x:v>
      </x:c>
      <x:c r="C14" s="17" t="str">
        <x:v>Lok Sabha — general</x:v>
      </x:c>
      <x:c r="D14" s="17" t="str">
        <x:v>Karimnagar, Andhra Pradesh</x:v>
      </x:c>
      <x:c r="E14" s="17" t="str">
        <x:v>TRS / Congress alliance</x:v>
      </x:c>
      <x:c r="F14" s="17" t="str">
        <x:v>Won</x:v>
      </x:c>
      <x:c r="G14" s="26" t="n">
        <x:v>451199</x:v>
      </x:c>
      <x:c r="H14" s="17" t="str">
        <x:v>C. Vidyasagar Rao</x:v>
      </x:c>
      <x:c r="I14" s="17" t="str">
        <x:v>BJP</x:v>
      </x:c>
      <x:c r="J14" s="34" t="n">
        <x:v>320031</x:v>
      </x:c>
      <x:c r="K14" s="37" t="n">
        <x:f>IF(AND(ISNUMBER(G14),ISNUMBER(J14)),G14-J14,"Not verified")</x:f>
        <x:v>131168</x:v>
      </x:c>
      <x:c r="L14" s="17" t="str">
        <x:v>P2</x:v>
      </x:c>
      <x:c r="M14" s="17" t="str">
        <x:v>P2-E03</x:v>
      </x:c>
      <x:c r="N14" s="19" t="str">
        <x:v>S009; S010</x:v>
      </x:c>
      <x:c r="O14" s="21" t="str">
        <x:v>Two compilations agree; original return not inspected.</x:v>
      </x:c>
    </x:row>
    <x:row r="15" ht="30" customHeight="1">
      <x:c r="A15" s="9" t="str">
        <x:v>EL09</x:v>
      </x:c>
      <x:c r="B15" s="24" t="n">
        <x:v>2006</x:v>
      </x:c>
      <x:c r="C15" s="9" t="str">
        <x:v>Lok Sabha — by-election</x:v>
      </x:c>
      <x:c r="D15" s="9" t="str">
        <x:v>Karimnagar, Andhra Pradesh</x:v>
      </x:c>
      <x:c r="E15" s="9" t="str">
        <x:v>TRS</x:v>
      </x:c>
      <x:c r="F15" s="9" t="str">
        <x:v>Won</x:v>
      </x:c>
      <x:c r="G15" s="23" t="n">
        <x:v>378030</x:v>
      </x:c>
      <x:c r="H15" s="9" t="str">
        <x:v>T. Jeevan Reddy</x:v>
      </x:c>
      <x:c r="I15" s="9" t="str">
        <x:v>INC</x:v>
      </x:c>
      <x:c r="J15" s="30" t="n">
        <x:v>176448</x:v>
      </x:c>
      <x:c r="K15" s="33" t="n">
        <x:f>IF(AND(ISNUMBER(G15),ISNUMBER(J15)),G15-J15,"Not verified")</x:f>
        <x:v>201582</x:v>
      </x:c>
      <x:c r="L15" s="9" t="str">
        <x:v>P2</x:v>
      </x:c>
      <x:c r="M15" s="9" t="str">
        <x:v>P2-E03</x:v>
      </x:c>
      <x:c r="N15" s="18" t="str">
        <x:v>S006; S009</x:v>
      </x:c>
      <x:c r="O15" s="20" t="str">
        <x:v>Counts provisional; 201,582 margin matches party chronology.</x:v>
      </x:c>
    </x:row>
    <x:row r="16" ht="40" customHeight="1">
      <x:c r="A16" s="17" t="str">
        <x:v>EL10</x:v>
      </x:c>
      <x:c r="B16" s="27" t="n">
        <x:v>2008</x:v>
      </x:c>
      <x:c r="C16" s="17" t="str">
        <x:v>Lok Sabha — by-election</x:v>
      </x:c>
      <x:c r="D16" s="17" t="str">
        <x:v>Karimnagar, Andhra Pradesh</x:v>
      </x:c>
      <x:c r="E16" s="17" t="str">
        <x:v>TRS</x:v>
      </x:c>
      <x:c r="F16" s="17" t="str">
        <x:v>Won</x:v>
      </x:c>
      <x:c r="G16" s="26" t="n">
        <x:v>269452</x:v>
      </x:c>
      <x:c r="H16" s="17" t="str">
        <x:v>T. Jeevan Reddy</x:v>
      </x:c>
      <x:c r="I16" s="17" t="str">
        <x:v>INC</x:v>
      </x:c>
      <x:c r="J16" s="35" t="str">
        <x:v>Not verified</x:v>
      </x:c>
      <x:c r="K16" s="37" t="str">
        <x:f>IF(AND(ISNUMBER(G16),ISNUMBER(J16)),G16-J16,"Not verified")</x:f>
        <x:v>Not verified</x:v>
      </x:c>
      <x:c r="L16" s="17" t="str">
        <x:v>P2</x:v>
      </x:c>
      <x:c r="M16" s="17" t="str">
        <x:v>P2-E03</x:v>
      </x:c>
      <x:c r="N16" s="19" t="str">
        <x:v>S006; S009</x:v>
      </x:c>
      <x:c r="O16" s="21" t="str">
        <x:v>Reference opponent total conflicts with its stated 15,765 margin. Opponent votes and computed margin withheld; do not silently repair.</x:v>
      </x:c>
    </x:row>
    <x:row r="17" ht="40" customHeight="1">
      <x:c r="A17" s="9" t="str">
        <x:v>EL11</x:v>
      </x:c>
      <x:c r="B17" s="24" t="n">
        <x:v>2009</x:v>
      </x:c>
      <x:c r="C17" s="9" t="str">
        <x:v>Lok Sabha — general</x:v>
      </x:c>
      <x:c r="D17" s="9" t="str">
        <x:v>Mahabubnagar, Andhra Pradesh</x:v>
      </x:c>
      <x:c r="E17" s="9" t="str">
        <x:v>TRS / TDP-led alliance</x:v>
      </x:c>
      <x:c r="F17" s="9" t="str">
        <x:v>Won</x:v>
      </x:c>
      <x:c r="G17" s="23" t="n">
        <x:v>366569</x:v>
      </x:c>
      <x:c r="H17" s="9" t="str">
        <x:v>D. Vittal Rao</x:v>
      </x:c>
      <x:c r="I17" s="9" t="str">
        <x:v>INC</x:v>
      </x:c>
      <x:c r="J17" s="30" t="n">
        <x:v>346385</x:v>
      </x:c>
      <x:c r="K17" s="33" t="n">
        <x:f>IF(AND(ISNUMBER(G17),ISNUMBER(J17)),G17-J17,"Not verified")</x:f>
        <x:v>20184</x:v>
      </x:c>
      <x:c r="L17" s="9" t="str">
        <x:v>P2</x:v>
      </x:c>
      <x:c r="M17" s="9" t="str">
        <x:v>P2-E03</x:v>
      </x:c>
      <x:c r="N17" s="18" t="str">
        <x:v>S001; S009</x:v>
      </x:c>
      <x:c r="O17" s="20" t="str">
        <x:v>Provisional numeric return; constituency differs from previous parliamentary contests.</x:v>
      </x:c>
    </x:row>
    <x:row r="18" ht="40" customHeight="1">
      <x:c r="A18" s="17" t="str">
        <x:v>EL12</x:v>
      </x:c>
      <x:c r="B18" s="27" t="n">
        <x:v>2014</x:v>
      </x:c>
      <x:c r="C18" s="17" t="str">
        <x:v>Assembly — general</x:v>
      </x:c>
      <x:c r="D18" s="17" t="str">
        <x:v>Gajwel, Andhra Pradesh → Telangana</x:v>
      </x:c>
      <x:c r="E18" s="17" t="str">
        <x:v>TRS</x:v>
      </x:c>
      <x:c r="F18" s="17" t="str">
        <x:v>Won</x:v>
      </x:c>
      <x:c r="G18" s="26" t="n">
        <x:v>86694</x:v>
      </x:c>
      <x:c r="H18" s="17" t="str">
        <x:v>Vanteru Pratap Reddy</x:v>
      </x:c>
      <x:c r="I18" s="17" t="str">
        <x:v>TDP</x:v>
      </x:c>
      <x:c r="J18" s="34" t="n">
        <x:v>67303</x:v>
      </x:c>
      <x:c r="K18" s="37" t="n">
        <x:f>IF(AND(ISNUMBER(G18),ISNUMBER(J18)),G18-J18,"Not verified")</x:f>
        <x:v>19391</x:v>
      </x:c>
      <x:c r="L18" s="17" t="str">
        <x:v>P2</x:v>
      </x:c>
      <x:c r="M18" s="17" t="str">
        <x:v>P2-E03</x:v>
      </x:c>
      <x:c r="N18" s="19" t="str">
        <x:v>S009</x:v>
      </x:c>
      <x:c r="O18" s="21" t="str">
        <x:v>Provisional numeric return. Poll held before state began functioning; retained Assembly seat.</x:v>
      </x:c>
    </x:row>
    <x:row r="19" ht="40" customHeight="1">
      <x:c r="A19" s="9" t="str">
        <x:v>EL13</x:v>
      </x:c>
      <x:c r="B19" s="24" t="n">
        <x:v>2014</x:v>
      </x:c>
      <x:c r="C19" s="9" t="str">
        <x:v>Lok Sabha — general</x:v>
      </x:c>
      <x:c r="D19" s="9" t="str">
        <x:v>Medak, Andhra Pradesh → Telangana</x:v>
      </x:c>
      <x:c r="E19" s="9" t="str">
        <x:v>TRS</x:v>
      </x:c>
      <x:c r="F19" s="9" t="str">
        <x:v>Won</x:v>
      </x:c>
      <x:c r="G19" s="23" t="n">
        <x:v>657492</x:v>
      </x:c>
      <x:c r="H19" s="9" t="str">
        <x:v>P. Shravan Kumar Reddy</x:v>
      </x:c>
      <x:c r="I19" s="9" t="str">
        <x:v>INC</x:v>
      </x:c>
      <x:c r="J19" s="30" t="n">
        <x:v>260463</x:v>
      </x:c>
      <x:c r="K19" s="33" t="n">
        <x:f>IF(AND(ISNUMBER(G19),ISNUMBER(J19)),G19-J19,"Not verified")</x:f>
        <x:v>397029</x:v>
      </x:c>
      <x:c r="L19" s="9" t="str">
        <x:v>P2</x:v>
      </x:c>
      <x:c r="M19" s="9" t="str">
        <x:v>P2-E03</x:v>
      </x:c>
      <x:c r="N19" s="18" t="str">
        <x:v>S009</x:v>
      </x:c>
      <x:c r="O19" s="20" t="str">
        <x:v>Provisional numeric return; resigned parliamentary seat after dual victory.</x:v>
      </x:c>
    </x:row>
    <x:row r="20" ht="40" customHeight="1">
      <x:c r="A20" s="17" t="str">
        <x:v>EL14</x:v>
      </x:c>
      <x:c r="B20" s="27" t="n">
        <x:v>2018</x:v>
      </x:c>
      <x:c r="C20" s="17" t="str">
        <x:v>Assembly — general</x:v>
      </x:c>
      <x:c r="D20" s="17" t="str">
        <x:v>Gajwel, Telangana</x:v>
      </x:c>
      <x:c r="E20" s="17" t="str">
        <x:v>TRS</x:v>
      </x:c>
      <x:c r="F20" s="17" t="str">
        <x:v>Won</x:v>
      </x:c>
      <x:c r="G20" s="26" t="n">
        <x:v>125444</x:v>
      </x:c>
      <x:c r="H20" s="17" t="str">
        <x:v>Vanteru Pratap Reddy</x:v>
      </x:c>
      <x:c r="I20" s="17" t="str">
        <x:v>INC</x:v>
      </x:c>
      <x:c r="J20" s="34" t="n">
        <x:v>67154</x:v>
      </x:c>
      <x:c r="K20" s="37" t="n">
        <x:f>IF(AND(ISNUMBER(G20),ISNUMBER(J20)),G20-J20,"Not verified")</x:f>
        <x:v>58290</x:v>
      </x:c>
      <x:c r="L20" s="17" t="str">
        <x:v>P3</x:v>
      </x:c>
      <x:c r="M20" s="17" t="str">
        <x:v>P3-E03</x:v>
      </x:c>
      <x:c r="N20" s="19" t="str">
        <x:v>S004; S009</x:v>
      </x:c>
      <x:c r="O20" s="21" t="str">
        <x:v>Provisional numeric return. Opponent changed party since 2014; TRS was the name at this election.</x:v>
      </x:c>
    </x:row>
    <x:row r="21" ht="40" customHeight="1">
      <x:c r="A21" s="9" t="str">
        <x:v>EL15</x:v>
      </x:c>
      <x:c r="B21" s="24" t="n">
        <x:v>2023</x:v>
      </x:c>
      <x:c r="C21" s="9" t="str">
        <x:v>Assembly — general</x:v>
      </x:c>
      <x:c r="D21" s="9" t="str">
        <x:v>Gajwel, Telangana</x:v>
      </x:c>
      <x:c r="E21" s="9" t="str">
        <x:v>BRS</x:v>
      </x:c>
      <x:c r="F21" s="9" t="str">
        <x:v>Won</x:v>
      </x:c>
      <x:c r="G21" s="23" t="n">
        <x:v>111684</x:v>
      </x:c>
      <x:c r="H21" s="9" t="str">
        <x:v>Eatala Rajender</x:v>
      </x:c>
      <x:c r="I21" s="9" t="str">
        <x:v>BJP</x:v>
      </x:c>
      <x:c r="J21" s="30" t="n">
        <x:v>66653</x:v>
      </x:c>
      <x:c r="K21" s="33" t="n">
        <x:f>IF(AND(ISNUMBER(G21),ISNUMBER(J21)),G21-J21,"Not verified")</x:f>
        <x:v>45031</x:v>
      </x:c>
      <x:c r="L21" s="9" t="str">
        <x:v>P4</x:v>
      </x:c>
      <x:c r="M21" s="9" t="str">
        <x:v>P4-E03</x:v>
      </x:c>
      <x:c r="N21" s="18" t="str">
        <x:v>S009; S011</x:v>
      </x:c>
      <x:c r="O21" s="20" t="str">
        <x:v>45,031 margin corroborated by final TNM constituency report; vote counts from compilation.</x:v>
      </x:c>
    </x:row>
    <x:row r="22" ht="40" customHeight="1">
      <x:c r="A22" s="17" t="str">
        <x:v>EL16</x:v>
      </x:c>
      <x:c r="B22" s="27" t="n">
        <x:v>2023</x:v>
      </x:c>
      <x:c r="C22" s="17" t="str">
        <x:v>Assembly — general</x:v>
      </x:c>
      <x:c r="D22" s="17" t="str">
        <x:v>Kamareddy, Telangana</x:v>
      </x:c>
      <x:c r="E22" s="17" t="str">
        <x:v>BRS</x:v>
      </x:c>
      <x:c r="F22" s="17" t="str">
        <x:v>Lost</x:v>
      </x:c>
      <x:c r="G22" s="26" t="n">
        <x:v>59911</x:v>
      </x:c>
      <x:c r="H22" s="17" t="str">
        <x:v>K. Venkata Ramana Reddy</x:v>
      </x:c>
      <x:c r="I22" s="17" t="str">
        <x:v>BJP</x:v>
      </x:c>
      <x:c r="J22" s="34" t="n">
        <x:v>66652</x:v>
      </x:c>
      <x:c r="K22" s="37" t="n">
        <x:f>IF(AND(ISNUMBER(G22),ISNUMBER(J22)),G22-J22,"Not verified")</x:f>
        <x:v>-6741</x:v>
      </x:c>
      <x:c r="L22" s="17" t="str">
        <x:v>P4</x:v>
      </x:c>
      <x:c r="M22" s="17" t="str">
        <x:v>P4-E03</x:v>
      </x:c>
      <x:c r="N22" s="19" t="str">
        <x:v>S012; S013</x:v>
      </x:c>
      <x:c r="O22" s="21" t="str">
        <x:v>Reported totals agree; Revanth Reddy (INC) was third with 54,916. This loss did not remove Gajwel membership.</x:v>
      </x:c>
    </x:row>
    <x:row r="26" ht="38" customHeight="1">
      <x:c r="A26" s="14" t="str">
        <x:v>Record ID</x:v>
      </x:c>
      <x:c r="B26" s="15" t="str">
        <x:v>Year</x:v>
      </x:c>
      <x:c r="C26" s="15" t="str">
        <x:v>House / territory</x:v>
      </x:c>
      <x:c r="D26" s="15" t="str">
        <x:v>Party</x:v>
      </x:c>
      <x:c r="E26" s="15" t="str">
        <x:v>Seats won</x:v>
      </x:c>
      <x:c r="F26" s="15" t="str">
        <x:v>Seat denominator</x:v>
      </x:c>
      <x:c r="G26" s="15" t="str">
        <x:v>KCR’s role</x:v>
      </x:c>
      <x:c r="H26" s="15" t="str">
        <x:v>Source IDs</x:v>
      </x:c>
      <x:c r="I26" s="16" t="str">
        <x:v>Scope note</x:v>
      </x:c>
    </x:row>
    <x:row r="27" ht="96" customHeight="1">
      <x:c r="A27" s="9" t="str">
        <x:v>PR01</x:v>
      </x:c>
      <x:c r="B27" s="24" t="n">
        <x:v>2004</x:v>
      </x:c>
      <x:c r="C27" s="9" t="str">
        <x:v>Andhra Pradesh Assembly</x:v>
      </x:c>
      <x:c r="D27" s="9" t="str">
        <x:v>TRS</x:v>
      </x:c>
      <x:c r="E27" s="23" t="n">
        <x:v>26</x:v>
      </x:c>
      <x:c r="F27" s="9" t="str">
        <x:v>AP: 294</x:v>
      </x:c>
      <x:c r="G27" s="9" t="str">
        <x:v>Party contestant / KCR alliance leader</x:v>
      </x:c>
      <x:c r="H27" s="18" t="str">
        <x:v>S006</x:v>
      </x:c>
      <x:c r="I27" s="20" t="str">
        <x:v>Party chronology; seats within undivided Andhra Pradesh, not a 119-seat Telangana legislature.</x:v>
      </x:c>
    </x:row>
    <x:row r="28" ht="82" customHeight="1">
      <x:c r="A28" s="17" t="str">
        <x:v>PR02</x:v>
      </x:c>
      <x:c r="B28" s="27" t="n">
        <x:v>2004</x:v>
      </x:c>
      <x:c r="C28" s="17" t="str">
        <x:v>Lok Sabha, Andhra Pradesh</x:v>
      </x:c>
      <x:c r="D28" s="17" t="str">
        <x:v>TRS</x:v>
      </x:c>
      <x:c r="E28" s="26" t="n">
        <x:v>5</x:v>
      </x:c>
      <x:c r="F28" s="17" t="str">
        <x:v>AP: 42</x:v>
      </x:c>
      <x:c r="G28" s="17" t="str">
        <x:v>Party contestant / KCR alliance leader</x:v>
      </x:c>
      <x:c r="H28" s="19" t="str">
        <x:v>S006</x:v>
      </x:c>
      <x:c r="I28" s="21" t="str">
        <x:v>Different territorial denominator from post-2014 Telangana.</x:v>
      </x:c>
    </x:row>
    <x:row r="29" ht="96" customHeight="1">
      <x:c r="A29" s="9" t="str">
        <x:v>PR03</x:v>
      </x:c>
      <x:c r="B29" s="24" t="n">
        <x:v>2014</x:v>
      </x:c>
      <x:c r="C29" s="9" t="str">
        <x:v>Telangana Assembly</x:v>
      </x:c>
      <x:c r="D29" s="9" t="str">
        <x:v>TRS</x:v>
      </x:c>
      <x:c r="E29" s="23" t="n">
        <x:v>63</x:v>
      </x:c>
      <x:c r="F29" s="23" t="n">
        <x:v>119</x:v>
      </x:c>
      <x:c r="G29" s="9" t="str">
        <x:v>KCR led government formation</x:v>
      </x:c>
      <x:c r="H29" s="18" t="str">
        <x:v>S009</x:v>
      </x:c>
      <x:c r="I29" s="20" t="str">
        <x:v>Secondary reference tally; election held before formal state commencement.</x:v>
      </x:c>
    </x:row>
    <x:row r="30" ht="68" customHeight="1">
      <x:c r="A30" s="17" t="str">
        <x:v>PR04</x:v>
      </x:c>
      <x:c r="B30" s="27" t="n">
        <x:v>2018</x:v>
      </x:c>
      <x:c r="C30" s="17" t="str">
        <x:v>Telangana Assembly</x:v>
      </x:c>
      <x:c r="D30" s="17" t="str">
        <x:v>TRS</x:v>
      </x:c>
      <x:c r="E30" s="26" t="n">
        <x:v>88</x:v>
      </x:c>
      <x:c r="F30" s="26" t="n">
        <x:v>119</x:v>
      </x:c>
      <x:c r="G30" s="17" t="str">
        <x:v>KCR led government formation</x:v>
      </x:c>
      <x:c r="H30" s="19" t="str">
        <x:v>S004; S009</x:v>
      </x:c>
      <x:c r="I30" s="21" t="str">
        <x:v>A majority of seats is not the same as a majority of votes.</x:v>
      </x:c>
    </x:row>
    <x:row r="31" ht="68" customHeight="1">
      <x:c r="A31" s="9" t="str">
        <x:v>PR05</x:v>
      </x:c>
      <x:c r="B31" s="24" t="n">
        <x:v>2019</x:v>
      </x:c>
      <x:c r="C31" s="9" t="str">
        <x:v>Lok Sabha, Telangana</x:v>
      </x:c>
      <x:c r="D31" s="9" t="str">
        <x:v>TRS</x:v>
      </x:c>
      <x:c r="E31" s="23" t="n">
        <x:v>9</x:v>
      </x:c>
      <x:c r="F31" s="23" t="n">
        <x:v>17</x:v>
      </x:c>
      <x:c r="G31" s="9" t="str">
        <x:v>KCR party leader; not a personal contestant</x:v>
      </x:c>
      <x:c r="H31" s="18" t="str">
        <x:v>S015</x:v>
      </x:c>
      <x:c r="I31" s="20" t="str">
        <x:v>Parliamentary result; separate from 2018 Assembly mandate.</x:v>
      </x:c>
    </x:row>
    <x:row r="32" ht="96" customHeight="1">
      <x:c r="A32" s="17" t="str">
        <x:v>PR06</x:v>
      </x:c>
      <x:c r="B32" s="27" t="n">
        <x:v>2023</x:v>
      </x:c>
      <x:c r="C32" s="17" t="str">
        <x:v>Telangana Assembly</x:v>
      </x:c>
      <x:c r="D32" s="17" t="str">
        <x:v>BRS</x:v>
      </x:c>
      <x:c r="E32" s="26" t="n">
        <x:v>39</x:v>
      </x:c>
      <x:c r="F32" s="26" t="n">
        <x:v>119</x:v>
      </x:c>
      <x:c r="G32" s="17" t="str">
        <x:v>KCR party leader; moved to opposition</x:v>
      </x:c>
      <x:c r="H32" s="19" t="str">
        <x:v>S014</x:v>
      </x:c>
      <x:c r="I32" s="21" t="str">
        <x:v>Congress won 64. These are election results, not current strength after defections/by-elections.</x:v>
      </x:c>
    </x:row>
    <x:row r="33" ht="96" customHeight="1">
      <x:c r="A33" s="9" t="str">
        <x:v>PR07</x:v>
      </x:c>
      <x:c r="B33" s="24" t="n">
        <x:v>2024</x:v>
      </x:c>
      <x:c r="C33" s="9" t="str">
        <x:v>Lok Sabha, Telangana</x:v>
      </x:c>
      <x:c r="D33" s="9" t="str">
        <x:v>BRS</x:v>
      </x:c>
      <x:c r="E33" s="23" t="n">
        <x:v>0</x:v>
      </x:c>
      <x:c r="F33" s="23" t="n">
        <x:v>17</x:v>
      </x:c>
      <x:c r="G33" s="9" t="str">
        <x:v>KCR party leader; not a personal contestant</x:v>
      </x:c>
      <x:c r="H33" s="18" t="str">
        <x:v>S015; S016</x:v>
      </x:c>
      <x:c r="I33" s="20" t="str">
        <x:v>A real zero, unlike missing numeric data. Congress and BJP each won eight; AIMIM one.</x:v>
      </x:c>
    </x:row>
  </x:sheetData>
  <x:conditionalFormatting sqref="O7:O22">
    <x:cfRule type="containsText" dxfId="0" priority="1" operator="containsText" text="Provisional"/>
  </x:conditionalFormatting>
  <x:pageMargins left="0.7" right="0.7" top="0.75" bottom="0.75" header="0.3" footer="0.3"/>
  <x:tableParts count="2">
    <x:tablePart xmlns:r="http://schemas.openxmlformats.org/officeDocument/2006/relationships" r:id="R9fac0573e3dd469e"/>
    <x:tablePart xmlns:r="http://schemas.openxmlformats.org/officeDocument/2006/relationships" r:id="R24067f30048e45e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19" hidden="0" customWidth="1"/>
    <x:col min="3" max="3" width="46" hidden="0" customWidth="1"/>
    <x:col min="4" max="4" width="34" hidden="0" customWidth="1"/>
    <x:col min="5" max="5" width="21" hidden="0" customWidth="1"/>
    <x:col min="6" max="6" width="21" hidden="0" customWidth="1"/>
    <x:col min="7" max="7" width="30" hidden="0" customWidth="1"/>
    <x:col min="8" max="8" width="49" hidden="0" customWidth="1"/>
    <x:col min="9" max="9" width="12" hidden="0" customWidth="1"/>
    <x:col min="10" max="10" width="25" hidden="0" customWidth="1"/>
    <x:col min="11" max="11" width="25" hidden="0" customWidth="1"/>
    <x:col min="12" max="12" width="58" hidden="0" customWidth="1"/>
  </x:cols>
  <x:sheetData>
    <x:row r="1" ht="12" customHeight="1"/>
    <x:row r="2" ht="25" customHeight="1">
      <x:c r="A2" s="2" t="str">
        <x:v>Offices and party roles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5" t="str">
        <x:v>Mandates, executive appointments and party positions are distinct. Short and interrupted parliamentary intervals are retained.</x:v>
      </x:c>
    </x:row>
    <x:row r="5" ht="8" customHeight="1"/>
    <x:row r="6" ht="38" customHeight="1">
      <x:c r="A6" s="14" t="str">
        <x:v>Position ID</x:v>
      </x:c>
      <x:c r="B6" s="15" t="str">
        <x:v>Category</x:v>
      </x:c>
      <x:c r="C6" s="15" t="str">
        <x:v>Position</x:v>
      </x:c>
      <x:c r="D6" s="15" t="str">
        <x:v>Institution</x:v>
      </x:c>
      <x:c r="E6" s="15" t="str">
        <x:v>Start</x:v>
      </x:c>
      <x:c r="F6" s="15" t="str">
        <x:v>End / latest</x:v>
      </x:c>
      <x:c r="G6" s="15" t="str">
        <x:v>Date precision</x:v>
      </x:c>
      <x:c r="H6" s="15" t="str">
        <x:v>Selection / function</x:v>
      </x:c>
      <x:c r="I6" s="15" t="str">
        <x:v>Phase</x:v>
      </x:c>
      <x:c r="J6" s="15" t="str">
        <x:v>Context IDs</x:v>
      </x:c>
      <x:c r="K6" s="15" t="str">
        <x:v>Source IDs</x:v>
      </x:c>
      <x:c r="L6" s="16" t="str">
        <x:v>Research note</x:v>
      </x:c>
    </x:row>
    <x:row r="7" ht="40" customHeight="1">
      <x:c r="A7" s="9" t="str">
        <x:v>OP01</x:v>
      </x:c>
      <x:c r="B7" s="9" t="str">
        <x:v>Party</x:v>
      </x:c>
      <x:c r="C7" s="9" t="str">
        <x:v>Youth Congress association</x:v>
      </x:c>
      <x:c r="D7" s="9" t="str">
        <x:v>Congress / Andhra Pradesh</x:v>
      </x:c>
      <x:c r="E7" s="9" t="str">
        <x:v>1970s–early 1980s</x:v>
      </x:c>
      <x:c r="F7" s="9" t="str">
        <x:v>Early 1980s</x:v>
      </x:c>
      <x:c r="G7" s="9" t="str">
        <x:v>Broad range only</x:v>
      </x:c>
      <x:c r="H7" s="9" t="str">
        <x:v>Political recruitment before TDP</x:v>
      </x:c>
      <x:c r="I7" s="9" t="str">
        <x:v>P1</x:v>
      </x:c>
      <x:c r="J7" s="9" t="str">
        <x:v>P1-E07</x:v>
      </x:c>
      <x:c r="K7" s="18" t="str">
        <x:v>S004; S009</x:v>
      </x:c>
      <x:c r="L7" s="20" t="str">
        <x:v>Precise title, appointment and exit dates not securely established.</x:v>
      </x:c>
    </x:row>
    <x:row r="8" ht="40" customHeight="1">
      <x:c r="A8" s="17" t="str">
        <x:v>OP02</x:v>
      </x:c>
      <x:c r="B8" s="17" t="str">
        <x:v>Ministerial</x:v>
      </x:c>
      <x:c r="C8" s="17" t="str">
        <x:v>State minister / drought relief responsibilities</x:v>
      </x:c>
      <x:c r="D8" s="17" t="str">
        <x:v>Andhra Pradesh government</x:v>
      </x:c>
      <x:c r="E8" s="17" t="str">
        <x:v>Late 1980s</x:v>
      </x:c>
      <x:c r="F8" s="17" t="str">
        <x:v>Late 1980s</x:v>
      </x:c>
      <x:c r="G8" s="17" t="str">
        <x:v>Conflicting chronology</x:v>
      </x:c>
      <x:c r="H8" s="17" t="str">
        <x:v>Worked in N. T. Rama Rao’s administration</x:v>
      </x:c>
      <x:c r="I8" s="17" t="str">
        <x:v>P1</x:v>
      </x:c>
      <x:c r="J8" s="17" t="str">
        <x:v>P1-E02</x:v>
      </x:c>
      <x:c r="K8" s="19" t="str">
        <x:v>S001; S009</x:v>
      </x:c>
      <x:c r="L8" s="21" t="str">
        <x:v>Reference lists Minister of State 1987–88 and Drought 1988–89; biographies vary. Exact notification not retrieved.</x:v>
      </x:c>
    </x:row>
    <x:row r="9" ht="40" customHeight="1">
      <x:c r="A9" s="9" t="str">
        <x:v>OP03</x:v>
      </x:c>
      <x:c r="B9" s="9" t="str">
        <x:v>Party</x:v>
      </x:c>
      <x:c r="C9" s="9" t="str">
        <x:v>District president; later state secretary</x:v>
      </x:c>
      <x:c r="D9" s="9" t="str">
        <x:v>Telugu Desam Party</x:v>
      </x:c>
      <x:c r="E9" s="24" t="n">
        <x:v>1989</x:v>
      </x:c>
      <x:c r="F9" s="24" t="n">
        <x:v>1994</x:v>
      </x:c>
      <x:c r="G9" s="9" t="str">
        <x:v>Year ranges, provisional</x:v>
      </x:c>
      <x:c r="H9" s="9" t="str">
        <x:v>Medak district organization, then state-level party work</x:v>
      </x:c>
      <x:c r="I9" s="9" t="str">
        <x:v>P1</x:v>
      </x:c>
      <x:c r="J9" s="9" t="str">
        <x:v>P1-E07</x:v>
      </x:c>
      <x:c r="K9" s="18" t="str">
        <x:v>S009</x:v>
      </x:c>
      <x:c r="L9" s="20" t="str">
        <x:v>Reference lists district president 1989–93 and state secretary 1993–94; primary appointment records not retrieved.</x:v>
      </x:c>
    </x:row>
    <x:row r="10" ht="40" customHeight="1">
      <x:c r="A10" s="17" t="str">
        <x:v>OP04</x:v>
      </x:c>
      <x:c r="B10" s="17" t="str">
        <x:v>Legislative</x:v>
      </x:c>
      <x:c r="C10" s="17" t="str">
        <x:v>Chair, Committee on Public Undertakings</x:v>
      </x:c>
      <x:c r="D10" s="17" t="str">
        <x:v>Andhra Pradesh Assembly</x:v>
      </x:c>
      <x:c r="E10" s="27" t="n">
        <x:v>1992</x:v>
      </x:c>
      <x:c r="F10" s="27" t="n">
        <x:v>1993</x:v>
      </x:c>
      <x:c r="G10" s="17" t="str">
        <x:v>Years, provisional</x:v>
      </x:c>
      <x:c r="H10" s="17" t="str">
        <x:v>Legislative oversight</x:v>
      </x:c>
      <x:c r="I10" s="17" t="str">
        <x:v>P1</x:v>
      </x:c>
      <x:c r="J10" s="17" t="str">
        <x:v>P1-E02</x:v>
      </x:c>
      <x:c r="K10" s="19" t="str">
        <x:v>S009</x:v>
      </x:c>
      <x:c r="L10" s="21" t="str">
        <x:v>Reference also lists committee membership 1995–96; dates require primary corroboration.</x:v>
      </x:c>
    </x:row>
    <x:row r="11" ht="40" customHeight="1">
      <x:c r="A11" s="9" t="str">
        <x:v>OP05</x:v>
      </x:c>
      <x:c r="B11" s="9" t="str">
        <x:v>Ministerial</x:v>
      </x:c>
      <x:c r="C11" s="9" t="str">
        <x:v>Transport minister</x:v>
      </x:c>
      <x:c r="D11" s="9" t="str">
        <x:v>Andhra Pradesh government</x:v>
      </x:c>
      <x:c r="E11" s="9" t="str">
        <x:v>Mid/late 1990s</x:v>
      </x:c>
      <x:c r="F11" s="9" t="str">
        <x:v>1999/2000</x:v>
      </x:c>
      <x:c r="G11" s="9" t="str">
        <x:v>Disputed year boundaries</x:v>
      </x:c>
      <x:c r="H11" s="9" t="str">
        <x:v>Served in N. Chandrababu Naidu’s administration</x:v>
      </x:c>
      <x:c r="I11" s="9" t="str">
        <x:v>P1</x:v>
      </x:c>
      <x:c r="J11" s="9" t="str">
        <x:v>P1-E02</x:v>
      </x:c>
      <x:c r="K11" s="18" t="str">
        <x:v>S001; S009</x:v>
      </x:c>
      <x:c r="L11" s="20" t="str">
        <x:v>Accounts vary between 1996/1997 start and 1999/2000 end; avoid silently selecting a precise tenure.</x:v>
      </x:c>
    </x:row>
    <x:row r="12" ht="30" customHeight="1">
      <x:c r="A12" s="17" t="str">
        <x:v>OP06</x:v>
      </x:c>
      <x:c r="B12" s="17" t="str">
        <x:v>Legislative</x:v>
      </x:c>
      <x:c r="C12" s="17" t="str">
        <x:v>Deputy Speaker</x:v>
      </x:c>
      <x:c r="D12" s="17" t="str">
        <x:v>Andhra Pradesh Assembly</x:v>
      </x:c>
      <x:c r="E12" s="27" t="n">
        <x:v>1999</x:v>
      </x:c>
      <x:c r="F12" s="28" t="n">
        <x:v>37008</x:v>
      </x:c>
      <x:c r="G12" s="17" t="str">
        <x:v>Start year; end day</x:v>
      </x:c>
      <x:c r="H12" s="17" t="str">
        <x:v>Presiding office; resigned during formation of TRS</x:v>
      </x:c>
      <x:c r="I12" s="17" t="str">
        <x:v>P1</x:v>
      </x:c>
      <x:c r="J12" s="17" t="str">
        <x:v>P1-E02</x:v>
      </x:c>
      <x:c r="K12" s="19" t="str">
        <x:v>S001; S005; S006</x:v>
      </x:c>
      <x:c r="L12" s="21" t="str">
        <x:v>Formal acceptance date not separately verified.</x:v>
      </x:c>
    </x:row>
    <x:row r="13" ht="54" customHeight="1">
      <x:c r="A13" s="9" t="str">
        <x:v>OP07</x:v>
      </x:c>
      <x:c r="B13" s="9" t="str">
        <x:v>Party / movement</x:v>
      </x:c>
      <x:c r="C13" s="9" t="str">
        <x:v>Founder and president</x:v>
      </x:c>
      <x:c r="D13" s="9" t="str">
        <x:v>TRS → BRS</x:v>
      </x:c>
      <x:c r="E13" s="29" t="n">
        <x:v>37008</x:v>
      </x:c>
      <x:c r="F13" s="9" t="str">
        <x:v>At cutoff</x:v>
      </x:c>
      <x:c r="G13" s="9" t="str">
        <x:v>Day to research cutoff</x:v>
      </x:c>
      <x:c r="H13" s="9" t="str">
        <x:v>Party leadership and Telangana statehood organization</x:v>
      </x:c>
      <x:c r="I13" s="9" t="str">
        <x:v>P2–P5</x:v>
      </x:c>
      <x:c r="J13" s="9" t="str">
        <x:v>P2-E07; P5-E07</x:v>
      </x:c>
      <x:c r="K13" s="18" t="str">
        <x:v>S006; S017; S038; S041</x:v>
      </x:c>
      <x:c r="L13" s="20" t="str">
        <x:v>Resignation offers during setbacks should not be confused with an accepted, completed departure; no such completed departure verified.</x:v>
      </x:c>
    </x:row>
    <x:row r="14" ht="40" customHeight="1">
      <x:c r="A14" s="17" t="str">
        <x:v>OP08</x:v>
      </x:c>
      <x:c r="B14" s="17" t="str">
        <x:v>Executive</x:v>
      </x:c>
      <x:c r="C14" s="17" t="str">
        <x:v>Union cabinet entry; initially without a substantive assigned portfolio</x:v>
      </x:c>
      <x:c r="D14" s="17" t="str">
        <x:v>Government of India / UPA</x:v>
      </x:c>
      <x:c r="E14" s="27" t="n">
        <x:v>2004</x:v>
      </x:c>
      <x:c r="F14" s="27" t="n">
        <x:v>2004</x:v>
      </x:c>
      <x:c r="G14" s="17" t="str">
        <x:v>Year only</x:v>
      </x:c>
      <x:c r="H14" s="17" t="str">
        <x:v>Coalition representation after Congress–TRS alliance</x:v>
      </x:c>
      <x:c r="I14" s="17" t="str">
        <x:v>P2</x:v>
      </x:c>
      <x:c r="J14" s="17" t="str">
        <x:v>P2-E01</x:v>
      </x:c>
      <x:c r="K14" s="19" t="str">
        <x:v>S006; S009</x:v>
      </x:c>
      <x:c r="L14" s="21" t="str">
        <x:v>Exact initial portfolio interval not verified; distinguish from later Labour tenure.</x:v>
      </x:c>
    </x:row>
    <x:row r="15" ht="54" customHeight="1">
      <x:c r="A15" s="9" t="str">
        <x:v>OP09</x:v>
      </x:c>
      <x:c r="B15" s="9" t="str">
        <x:v>Ministerial</x:v>
      </x:c>
      <x:c r="C15" s="9" t="str">
        <x:v>Minister of Labour and Employment</x:v>
      </x:c>
      <x:c r="D15" s="9" t="str">
        <x:v>Government of India / UPA</x:v>
      </x:c>
      <x:c r="E15" s="29" t="n">
        <x:v>38318</x:v>
      </x:c>
      <x:c r="F15" s="29" t="n">
        <x:v>38953</x:v>
      </x:c>
      <x:c r="G15" s="9" t="str">
        <x:v>Days, secondary reference</x:v>
      </x:c>
      <x:c r="H15" s="9" t="str">
        <x:v>Union labour portfolio; exit amid statehood dispute</x:v>
      </x:c>
      <x:c r="I15" s="9" t="str">
        <x:v>P2</x:v>
      </x:c>
      <x:c r="J15" s="9" t="str">
        <x:v>P2-E02</x:v>
      </x:c>
      <x:c r="K15" s="18" t="str">
        <x:v>S001; S009</x:v>
      </x:c>
      <x:c r="L15" s="20" t="str">
        <x:v>Official historical profile confirms 2004–06; exact dates rely on reference chronology. No independently established major policy legacy assigned.</x:v>
      </x:c>
    </x:row>
    <x:row r="16" ht="40" customHeight="1">
      <x:c r="A16" s="17" t="str">
        <x:v>OP10</x:v>
      </x:c>
      <x:c r="B16" s="17" t="str">
        <x:v>Legislative</x:v>
      </x:c>
      <x:c r="C16" s="17" t="str">
        <x:v>MP, Karimnagar — first election</x:v>
      </x:c>
      <x:c r="D16" s="17" t="str">
        <x:v>14th Lok Sabha</x:v>
      </x:c>
      <x:c r="E16" s="27" t="n">
        <x:v>2004</x:v>
      </x:c>
      <x:c r="F16" s="27" t="n">
        <x:v>2006</x:v>
      </x:c>
      <x:c r="G16" s="17" t="str">
        <x:v>Years</x:v>
      </x:c>
      <x:c r="H16" s="17" t="str">
        <x:v>Direct election; resigned, then recontested</x:v>
      </x:c>
      <x:c r="I16" s="17" t="str">
        <x:v>P2</x:v>
      </x:c>
      <x:c r="J16" s="17" t="str">
        <x:v>P2-E03</x:v>
      </x:c>
      <x:c r="K16" s="19" t="str">
        <x:v>S006; S009; S010</x:v>
      </x:c>
      <x:c r="L16" s="21" t="str">
        <x:v>September 2006 announcement and formal resignation dates differ across sources.</x:v>
      </x:c>
    </x:row>
    <x:row r="17" ht="40" customHeight="1">
      <x:c r="A17" s="9" t="str">
        <x:v>OP11</x:v>
      </x:c>
      <x:c r="B17" s="9" t="str">
        <x:v>Legislative</x:v>
      </x:c>
      <x:c r="C17" s="9" t="str">
        <x:v>MP, Karimnagar — first by-election return</x:v>
      </x:c>
      <x:c r="D17" s="9" t="str">
        <x:v>14th Lok Sabha</x:v>
      </x:c>
      <x:c r="E17" s="24" t="n">
        <x:v>2006</x:v>
      </x:c>
      <x:c r="F17" s="24" t="n">
        <x:v>2008</x:v>
      </x:c>
      <x:c r="G17" s="9" t="str">
        <x:v>Years</x:v>
      </x:c>
      <x:c r="H17" s="9" t="str">
        <x:v>Re-elected following resignation; resigned again in March 2008</x:v>
      </x:c>
      <x:c r="I17" s="9" t="str">
        <x:v>P2</x:v>
      </x:c>
      <x:c r="J17" s="9" t="str">
        <x:v>P2-E03</x:v>
      </x:c>
      <x:c r="K17" s="18" t="str">
        <x:v>S006; S009</x:v>
      </x:c>
      <x:c r="L17" s="20" t="str">
        <x:v>Non-consecutive interval preserved.</x:v>
      </x:c>
    </x:row>
    <x:row r="18" ht="30" customHeight="1">
      <x:c r="A18" s="17" t="str">
        <x:v>OP12</x:v>
      </x:c>
      <x:c r="B18" s="17" t="str">
        <x:v>Legislative</x:v>
      </x:c>
      <x:c r="C18" s="17" t="str">
        <x:v>MP, Karimnagar — second by-election return</x:v>
      </x:c>
      <x:c r="D18" s="17" t="str">
        <x:v>14th Lok Sabha</x:v>
      </x:c>
      <x:c r="E18" s="27" t="n">
        <x:v>2008</x:v>
      </x:c>
      <x:c r="F18" s="27" t="n">
        <x:v>2009</x:v>
      </x:c>
      <x:c r="G18" s="17" t="str">
        <x:v>Years</x:v>
      </x:c>
      <x:c r="H18" s="17" t="str">
        <x:v>Direct by-election return through term end</x:v>
      </x:c>
      <x:c r="I18" s="17" t="str">
        <x:v>P2</x:v>
      </x:c>
      <x:c r="J18" s="17" t="str">
        <x:v>P2-E03</x:v>
      </x:c>
      <x:c r="K18" s="19" t="str">
        <x:v>S006; S009</x:v>
      </x:c>
      <x:c r="L18" s="21" t="str">
        <x:v>Separate from 2004 and 2006 returns.</x:v>
      </x:c>
    </x:row>
    <x:row r="19" ht="40" customHeight="1">
      <x:c r="A19" s="9" t="str">
        <x:v>OP13</x:v>
      </x:c>
      <x:c r="B19" s="9" t="str">
        <x:v>Legislative</x:v>
      </x:c>
      <x:c r="C19" s="9" t="str">
        <x:v>MP, Mahabubnagar</x:v>
      </x:c>
      <x:c r="D19" s="9" t="str">
        <x:v>15th Lok Sabha</x:v>
      </x:c>
      <x:c r="E19" s="24" t="n">
        <x:v>2009</x:v>
      </x:c>
      <x:c r="F19" s="24" t="n">
        <x:v>2014</x:v>
      </x:c>
      <x:c r="G19" s="9" t="str">
        <x:v>Years</x:v>
      </x:c>
      <x:c r="H19" s="9" t="str">
        <x:v>Direct election; TRS parliamentary leadership</x:v>
      </x:c>
      <x:c r="I19" s="9" t="str">
        <x:v>P2</x:v>
      </x:c>
      <x:c r="J19" s="9" t="str">
        <x:v>P2-E09</x:v>
      </x:c>
      <x:c r="K19" s="18" t="str">
        <x:v>S001; S009</x:v>
      </x:c>
      <x:c r="L19" s="20" t="str">
        <x:v>Energy and Rules Committee membership reported in reference chronology.</x:v>
      </x:c>
    </x:row>
    <x:row r="20" ht="40" customHeight="1">
      <x:c r="A20" s="17" t="str">
        <x:v>OP14</x:v>
      </x:c>
      <x:c r="B20" s="17" t="str">
        <x:v>Legislative</x:v>
      </x:c>
      <x:c r="C20" s="17" t="str">
        <x:v>MP-elect / brief membership, Medak</x:v>
      </x:c>
      <x:c r="D20" s="17" t="str">
        <x:v>16th Lok Sabha</x:v>
      </x:c>
      <x:c r="E20" s="27" t="n">
        <x:v>2014</x:v>
      </x:c>
      <x:c r="F20" s="27" t="n">
        <x:v>2014</x:v>
      </x:c>
      <x:c r="G20" s="17" t="str">
        <x:v>Year; short interval</x:v>
      </x:c>
      <x:c r="H20" s="17" t="str">
        <x:v>Dual electoral victory; chose Assembly membership</x:v>
      </x:c>
      <x:c r="I20" s="17" t="str">
        <x:v>P2</x:v>
      </x:c>
      <x:c r="J20" s="17" t="str">
        <x:v>P2-E03</x:v>
      </x:c>
      <x:c r="K20" s="19" t="str">
        <x:v>S009</x:v>
      </x:c>
      <x:c r="L20" s="21" t="str">
        <x:v>Reference records resignation on 29 May 2014; short tenure retained rather than omitted.</x:v>
      </x:c>
    </x:row>
    <x:row r="21" ht="40" customHeight="1">
      <x:c r="A21" s="9" t="str">
        <x:v>OP15</x:v>
      </x:c>
      <x:c r="B21" s="9" t="str">
        <x:v>Executive</x:v>
      </x:c>
      <x:c r="C21" s="9" t="str">
        <x:v>Chief Minister — first ministry</x:v>
      </x:c>
      <x:c r="D21" s="9" t="str">
        <x:v>Telangana government</x:v>
      </x:c>
      <x:c r="E21" s="29" t="n">
        <x:v>41792</x:v>
      </x:c>
      <x:c r="F21" s="29" t="n">
        <x:v>43446</x:v>
      </x:c>
      <x:c r="G21" s="9" t="str">
        <x:v>Days</x:v>
      </x:c>
      <x:c r="H21" s="9" t="str">
        <x:v>Governor-appointed following TRS Assembly majority</x:v>
      </x:c>
      <x:c r="I21" s="9" t="str">
        <x:v>P3</x:v>
      </x:c>
      <x:c r="J21" s="9" t="str">
        <x:v>P3-E02</x:v>
      </x:c>
      <x:c r="K21" s="18" t="str">
        <x:v>S001; S004; S009</x:v>
      </x:c>
      <x:c r="L21" s="20" t="str">
        <x:v>Includes period after early Assembly dissolution in September 2018 until second ministry.</x:v>
      </x:c>
    </x:row>
    <x:row r="22" ht="54" customHeight="1">
      <x:c r="A22" s="17" t="str">
        <x:v>OP16</x:v>
      </x:c>
      <x:c r="B22" s="17" t="str">
        <x:v>Executive</x:v>
      </x:c>
      <x:c r="C22" s="17" t="str">
        <x:v>Chief Minister — second ministry</x:v>
      </x:c>
      <x:c r="D22" s="17" t="str">
        <x:v>Telangana government</x:v>
      </x:c>
      <x:c r="E22" s="28" t="n">
        <x:v>43447</x:v>
      </x:c>
      <x:c r="F22" s="28" t="n">
        <x:v>45267</x:v>
      </x:c>
      <x:c r="G22" s="17" t="str">
        <x:v>Days; handover boundary</x:v>
      </x:c>
      <x:c r="H22" s="17" t="str">
        <x:v>Governor-appointed after renewed majority; lost 2023 election</x:v>
      </x:c>
      <x:c r="I22" s="17" t="str">
        <x:v>P4</x:v>
      </x:c>
      <x:c r="J22" s="17" t="str">
        <x:v>P4-E02</x:v>
      </x:c>
      <x:c r="K22" s="19" t="str">
        <x:v>S009; S014</x:v>
      </x:c>
      <x:c r="L22" s="21" t="str">
        <x:v>Resignation submitted 3 December; 7 December marks successor’s assumption. Do not count boundary day twice in tenure arithmetic.</x:v>
      </x:c>
    </x:row>
    <x:row r="23" ht="54" customHeight="1">
      <x:c r="A23" s="9" t="str">
        <x:v>OP17</x:v>
      </x:c>
      <x:c r="B23" s="9" t="str">
        <x:v>Legislative</x:v>
      </x:c>
      <x:c r="C23" s="9" t="str">
        <x:v>Leader of Opposition</x:v>
      </x:c>
      <x:c r="D23" s="9" t="str">
        <x:v>Telangana Legislative Assembly</x:v>
      </x:c>
      <x:c r="E23" s="29" t="n">
        <x:v>45276</x:v>
      </x:c>
      <x:c r="F23" s="9" t="str">
        <x:v>At cutoff</x:v>
      </x:c>
      <x:c r="G23" s="9" t="str">
        <x:v>Day, recognition via reference</x:v>
      </x:c>
      <x:c r="H23" s="9" t="str">
        <x:v>Recognized after BRS legislature-party selection</x:v>
      </x:c>
      <x:c r="I23" s="9" t="str">
        <x:v>P5</x:v>
      </x:c>
      <x:c r="J23" s="9" t="str">
        <x:v>P5-E02</x:v>
      </x:c>
      <x:c r="K23" s="18" t="str">
        <x:v>S009; S038</x:v>
      </x:c>
      <x:c r="L23" s="20" t="str">
        <x:v>December recognition is reference-backed; contemporary February 2026 reporting corroborates role. Official recognition PDF not retrieved.</x:v>
      </x:c>
    </x:row>
    <x:row r="24" ht="40" customHeight="1">
      <x:c r="A24" s="17" t="str">
        <x:v>OP18</x:v>
      </x:c>
      <x:c r="B24" s="17" t="str">
        <x:v>Legislative</x:v>
      </x:c>
      <x:c r="C24" s="17" t="str">
        <x:v>MLA — Siddipet (1985 mandate)</x:v>
      </x:c>
      <x:c r="D24" s="17" t="str">
        <x:v>Andhra Pradesh Assembly</x:v>
      </x:c>
      <x:c r="E24" s="27" t="n">
        <x:v>1985</x:v>
      </x:c>
      <x:c r="F24" s="27" t="n">
        <x:v>1989</x:v>
      </x:c>
      <x:c r="G24" s="17" t="str">
        <x:v>Year boundaries; election mandate</x:v>
      </x:c>
      <x:c r="H24" s="17" t="str">
        <x:v>Direct election as TDP</x:v>
      </x:c>
      <x:c r="I24" s="17" t="str">
        <x:v>P1</x:v>
      </x:c>
      <x:c r="J24" s="17" t="str">
        <x:v>P1-E03</x:v>
      </x:c>
      <x:c r="K24" s="19" t="str">
        <x:v>S004; S009</x:v>
      </x:c>
      <x:c r="L24" s="21" t="str">
        <x:v>See Elections for vote evidence and limits.</x:v>
      </x:c>
    </x:row>
    <x:row r="25" ht="40" customHeight="1">
      <x:c r="A25" s="9" t="str">
        <x:v>OP19</x:v>
      </x:c>
      <x:c r="B25" s="9" t="str">
        <x:v>Legislative</x:v>
      </x:c>
      <x:c r="C25" s="9" t="str">
        <x:v>MLA — Siddipet (1989 mandate)</x:v>
      </x:c>
      <x:c r="D25" s="9" t="str">
        <x:v>Andhra Pradesh Assembly</x:v>
      </x:c>
      <x:c r="E25" s="24" t="n">
        <x:v>1989</x:v>
      </x:c>
      <x:c r="F25" s="24" t="n">
        <x:v>1994</x:v>
      </x:c>
      <x:c r="G25" s="9" t="str">
        <x:v>Year boundaries; election mandate</x:v>
      </x:c>
      <x:c r="H25" s="9" t="str">
        <x:v>Direct election as TDP</x:v>
      </x:c>
      <x:c r="I25" s="9" t="str">
        <x:v>P1</x:v>
      </x:c>
      <x:c r="J25" s="9" t="str">
        <x:v>P1-E03</x:v>
      </x:c>
      <x:c r="K25" s="18" t="str">
        <x:v>S004; S009</x:v>
      </x:c>
      <x:c r="L25" s="20" t="str">
        <x:v>See Elections for vote evidence and limits.</x:v>
      </x:c>
    </x:row>
    <x:row r="26" ht="40" customHeight="1">
      <x:c r="A26" s="17" t="str">
        <x:v>OP20</x:v>
      </x:c>
      <x:c r="B26" s="17" t="str">
        <x:v>Legislative</x:v>
      </x:c>
      <x:c r="C26" s="17" t="str">
        <x:v>MLA — Siddipet (1994 mandate)</x:v>
      </x:c>
      <x:c r="D26" s="17" t="str">
        <x:v>Andhra Pradesh Assembly</x:v>
      </x:c>
      <x:c r="E26" s="27" t="n">
        <x:v>1994</x:v>
      </x:c>
      <x:c r="F26" s="27" t="n">
        <x:v>1999</x:v>
      </x:c>
      <x:c r="G26" s="17" t="str">
        <x:v>Year boundaries; election mandate</x:v>
      </x:c>
      <x:c r="H26" s="17" t="str">
        <x:v>Direct election as TDP</x:v>
      </x:c>
      <x:c r="I26" s="17" t="str">
        <x:v>P1</x:v>
      </x:c>
      <x:c r="J26" s="17" t="str">
        <x:v>P1-E03</x:v>
      </x:c>
      <x:c r="K26" s="19" t="str">
        <x:v>S004; S009</x:v>
      </x:c>
      <x:c r="L26" s="21" t="str">
        <x:v>See Elections for vote evidence and limits.</x:v>
      </x:c>
    </x:row>
    <x:row r="27" ht="40" customHeight="1">
      <x:c r="A27" s="9" t="str">
        <x:v>OP21</x:v>
      </x:c>
      <x:c r="B27" s="9" t="str">
        <x:v>Legislative</x:v>
      </x:c>
      <x:c r="C27" s="9" t="str">
        <x:v>MLA — Siddipet (1999 mandate)</x:v>
      </x:c>
      <x:c r="D27" s="9" t="str">
        <x:v>Andhra Pradesh Assembly</x:v>
      </x:c>
      <x:c r="E27" s="24" t="n">
        <x:v>1999</x:v>
      </x:c>
      <x:c r="F27" s="24" t="n">
        <x:v>2001</x:v>
      </x:c>
      <x:c r="G27" s="9" t="str">
        <x:v>Year boundaries; election mandate</x:v>
      </x:c>
      <x:c r="H27" s="9" t="str">
        <x:v>Direct election as TDP</x:v>
      </x:c>
      <x:c r="I27" s="9" t="str">
        <x:v>P1</x:v>
      </x:c>
      <x:c r="J27" s="9" t="str">
        <x:v>P1-E03</x:v>
      </x:c>
      <x:c r="K27" s="18" t="str">
        <x:v>S004; S009</x:v>
      </x:c>
      <x:c r="L27" s="20" t="str">
        <x:v>Resigned in April 2001; fresh by-election mandate follows.</x:v>
      </x:c>
    </x:row>
    <x:row r="28" ht="40" customHeight="1">
      <x:c r="A28" s="17" t="str">
        <x:v>OP22</x:v>
      </x:c>
      <x:c r="B28" s="17" t="str">
        <x:v>Legislative</x:v>
      </x:c>
      <x:c r="C28" s="17" t="str">
        <x:v>MLA — Siddipet (2001 mandate)</x:v>
      </x:c>
      <x:c r="D28" s="17" t="str">
        <x:v>Andhra Pradesh Assembly</x:v>
      </x:c>
      <x:c r="E28" s="27" t="n">
        <x:v>2001</x:v>
      </x:c>
      <x:c r="F28" s="27" t="n">
        <x:v>2004</x:v>
      </x:c>
      <x:c r="G28" s="17" t="str">
        <x:v>Year boundaries; election mandate</x:v>
      </x:c>
      <x:c r="H28" s="17" t="str">
        <x:v>Direct election as TRS</x:v>
      </x:c>
      <x:c r="I28" s="17" t="str">
        <x:v>P2</x:v>
      </x:c>
      <x:c r="J28" s="17" t="str">
        <x:v>P2-E03</x:v>
      </x:c>
      <x:c r="K28" s="19" t="str">
        <x:v>S006; S009</x:v>
      </x:c>
      <x:c r="L28" s="21" t="str">
        <x:v>See Elections for vote evidence and limits.</x:v>
      </x:c>
    </x:row>
    <x:row r="29" ht="40" customHeight="1">
      <x:c r="A29" s="9" t="str">
        <x:v>OP23</x:v>
      </x:c>
      <x:c r="B29" s="9" t="str">
        <x:v>Legislative</x:v>
      </x:c>
      <x:c r="C29" s="9" t="str">
        <x:v>MLA — Siddipet (2004 mandate)</x:v>
      </x:c>
      <x:c r="D29" s="9" t="str">
        <x:v>Andhra Pradesh Assembly</x:v>
      </x:c>
      <x:c r="E29" s="24" t="n">
        <x:v>2004</x:v>
      </x:c>
      <x:c r="F29" s="24" t="n">
        <x:v>2004</x:v>
      </x:c>
      <x:c r="G29" s="9" t="str">
        <x:v>Year boundaries; election mandate</x:v>
      </x:c>
      <x:c r="H29" s="9" t="str">
        <x:v>Direct election as TRS / Congress alliance</x:v>
      </x:c>
      <x:c r="I29" s="9" t="str">
        <x:v>P2</x:v>
      </x:c>
      <x:c r="J29" s="9" t="str">
        <x:v>P2-E03</x:v>
      </x:c>
      <x:c r="K29" s="18" t="str">
        <x:v>S009</x:v>
      </x:c>
      <x:c r="L29" s="20" t="str">
        <x:v>Brief mandate; relinquished after also winning Karimnagar.</x:v>
      </x:c>
    </x:row>
    <x:row r="30" ht="40" customHeight="1">
      <x:c r="A30" s="17" t="str">
        <x:v>OP24</x:v>
      </x:c>
      <x:c r="B30" s="17" t="str">
        <x:v>Legislative</x:v>
      </x:c>
      <x:c r="C30" s="17" t="str">
        <x:v>MLA — Gajwel (2014 mandate)</x:v>
      </x:c>
      <x:c r="D30" s="17" t="str">
        <x:v>Telangana Assembly</x:v>
      </x:c>
      <x:c r="E30" s="27" t="n">
        <x:v>2014</x:v>
      </x:c>
      <x:c r="F30" s="27" t="n">
        <x:v>2018</x:v>
      </x:c>
      <x:c r="G30" s="17" t="str">
        <x:v>Year boundaries; election mandate</x:v>
      </x:c>
      <x:c r="H30" s="17" t="str">
        <x:v>Direct election as TRS</x:v>
      </x:c>
      <x:c r="I30" s="17" t="str">
        <x:v>P2</x:v>
      </x:c>
      <x:c r="J30" s="17" t="str">
        <x:v>P2-E03</x:v>
      </x:c>
      <x:c r="K30" s="19" t="str">
        <x:v>S009</x:v>
      </x:c>
      <x:c r="L30" s="21" t="str">
        <x:v>Elected before state commenced; Telangana membership from June 2014.</x:v>
      </x:c>
    </x:row>
    <x:row r="31" ht="40" customHeight="1">
      <x:c r="A31" s="9" t="str">
        <x:v>OP25</x:v>
      </x:c>
      <x:c r="B31" s="9" t="str">
        <x:v>Legislative</x:v>
      </x:c>
      <x:c r="C31" s="9" t="str">
        <x:v>MLA — Gajwel (2018 mandate)</x:v>
      </x:c>
      <x:c r="D31" s="9" t="str">
        <x:v>Telangana Assembly</x:v>
      </x:c>
      <x:c r="E31" s="24" t="n">
        <x:v>2018</x:v>
      </x:c>
      <x:c r="F31" s="24" t="n">
        <x:v>2023</x:v>
      </x:c>
      <x:c r="G31" s="9" t="str">
        <x:v>Year boundaries; election mandate</x:v>
      </x:c>
      <x:c r="H31" s="9" t="str">
        <x:v>Direct election as TRS</x:v>
      </x:c>
      <x:c r="I31" s="9" t="str">
        <x:v>P3</x:v>
      </x:c>
      <x:c r="J31" s="9" t="str">
        <x:v>P3-E03</x:v>
      </x:c>
      <x:c r="K31" s="18" t="str">
        <x:v>S004; S009</x:v>
      </x:c>
      <x:c r="L31" s="20" t="str">
        <x:v>See Elections for vote evidence and limits.</x:v>
      </x:c>
    </x:row>
    <x:row r="32" ht="40" customHeight="1">
      <x:c r="A32" s="17" t="str">
        <x:v>OP26</x:v>
      </x:c>
      <x:c r="B32" s="17" t="str">
        <x:v>Legislative</x:v>
      </x:c>
      <x:c r="C32" s="17" t="str">
        <x:v>MLA — Gajwel (2023 mandate)</x:v>
      </x:c>
      <x:c r="D32" s="17" t="str">
        <x:v>Telangana Assembly</x:v>
      </x:c>
      <x:c r="E32" s="27" t="n">
        <x:v>2023</x:v>
      </x:c>
      <x:c r="F32" s="17" t="str">
        <x:v>At cutoff</x:v>
      </x:c>
      <x:c r="G32" s="17" t="str">
        <x:v>Year boundaries; election mandate</x:v>
      </x:c>
      <x:c r="H32" s="17" t="str">
        <x:v>Direct election as BRS</x:v>
      </x:c>
      <x:c r="I32" s="17" t="str">
        <x:v>P4</x:v>
      </x:c>
      <x:c r="J32" s="17" t="str">
        <x:v>P4-E03</x:v>
      </x:c>
      <x:c r="K32" s="19" t="str">
        <x:v>S009; S011</x:v>
      </x:c>
      <x:c r="L32" s="21" t="str">
        <x:v>See Elections for vote evidence and limits.</x:v>
      </x:c>
    </x:row>
  </x:sheetData>
  <x:pageMargins left="0.7" right="0.7" top="0.75" bottom="0.75" header="0.3" footer="0.3"/>
  <x:tableParts count="1">
    <x:tablePart xmlns:r="http://schemas.openxmlformats.org/officeDocument/2006/relationships" r:id="Ra1b930decd964486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5" hidden="0" customWidth="1"/>
    <x:col min="3" max="3" width="36" hidden="0" customWidth="1"/>
    <x:col min="4" max="4" width="28" hidden="0" customWidth="1"/>
    <x:col min="5" max="5" width="45" hidden="0" customWidth="1"/>
    <x:col min="6" max="6" width="55" hidden="0" customWidth="1"/>
    <x:col min="7" max="7" width="67" hidden="0" customWidth="1"/>
    <x:col min="8" max="8" width="61" hidden="0" customWidth="1"/>
    <x:col min="9" max="9" width="62" hidden="0" customWidth="1"/>
    <x:col min="10" max="10" width="12" hidden="0" customWidth="1"/>
    <x:col min="11" max="11" width="26" hidden="0" customWidth="1"/>
    <x:col min="12" max="12" width="25" hidden="0" customWidth="1"/>
  </x:cols>
  <x:sheetData>
    <x:row r="1" ht="12" customHeight="1"/>
    <x:row r="2" ht="25" customHeight="1">
      <x:c r="A2" s="2" t="str">
        <x:v>Policy and governance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5" t="str">
        <x:v>Programme design → implementation → output/outcome → attribution. Historical programme descriptions are not current entitlement guidance.</x:v>
      </x:c>
    </x:row>
    <x:row r="5" ht="8" customHeight="1"/>
    <x:row r="6" ht="38" customHeight="1">
      <x:c r="A6" s="14" t="str">
        <x:v>Record ID</x:v>
      </x:c>
      <x:c r="B6" s="15" t="str">
        <x:v>Domain</x:v>
      </x:c>
      <x:c r="C6" s="15" t="str">
        <x:v>Initiative</x:v>
      </x:c>
      <x:c r="D6" s="15" t="str">
        <x:v>Period</x:v>
      </x:c>
      <x:c r="E6" s="15" t="str">
        <x:v>KCR’s documented role</x:v>
      </x:c>
      <x:c r="F6" s="15" t="str">
        <x:v>Adoption / mechanism</x:v>
      </x:c>
      <x:c r="G6" s="15" t="str">
        <x:v>Implementation / output / outcome</x:v>
      </x:c>
      <x:c r="H6" s="15" t="str">
        <x:v>Attribution assessment</x:v>
      </x:c>
      <x:c r="I6" s="15" t="str">
        <x:v>Limits / trade-offs</x:v>
      </x:c>
      <x:c r="J6" s="15" t="str">
        <x:v>Phase</x:v>
      </x:c>
      <x:c r="K6" s="15" t="str">
        <x:v>Context IDs</x:v>
      </x:c>
      <x:c r="L6" s="16" t="str">
        <x:v>Source IDs</x:v>
      </x:c>
    </x:row>
    <x:row r="7" ht="40" customHeight="1">
      <x:c r="A7" s="9" t="str">
        <x:v>PG01</x:v>
      </x:c>
      <x:c r="B7" s="9" t="str">
        <x:v>Statehood / federalism</x:v>
      </x:c>
      <x:c r="C7" s="9" t="str">
        <x:v>Telangana state formation</x:v>
      </x:c>
      <x:c r="D7" s="9" t="str">
        <x:v>2001–2014</x:v>
      </x:c>
      <x:c r="E7" s="9" t="str">
        <x:v>Led movement and negotiations; Parliament enacted</x:v>
      </x:c>
      <x:c r="F7" s="9" t="str">
        <x:v>Party building, bargaining and agitation; Act 6 of 2014 adopted</x:v>
      </x:c>
      <x:c r="G7" s="9" t="str">
        <x:v>New state began on 2 June 2014. Legal arrangements addressed territory, institutions and shared resources.</x:v>
      </x:c>
      <x:c r="H7" s="9" t="str">
        <x:v>Union government, Parliament, other parties, TJAC and civil society were indispensable; no sole-author attribution.</x:v>
      </x:c>
      <x:c r="I7" s="9" t="str">
        <x:v>Territorial recognition did not itself resolve all resource and distribution disputes.</x:v>
      </x:c>
      <x:c r="J7" s="9" t="str">
        <x:v>P2–P3</x:v>
      </x:c>
      <x:c r="K7" s="9" t="str">
        <x:v>P2-E02; P3-E09</x:v>
      </x:c>
      <x:c r="L7" s="18" t="str">
        <x:v>S001; S005; S006; S007; S008</x:v>
      </x:c>
    </x:row>
    <x:row r="8" ht="54" customHeight="1">
      <x:c r="A8" s="17" t="str">
        <x:v>PG02</x:v>
      </x:c>
      <x:c r="B8" s="17" t="str">
        <x:v>Agriculture / transfers</x:v>
      </x:c>
      <x:c r="C8" s="17" t="str">
        <x:v>Rythu Bandhu</x:v>
      </x:c>
      <x:c r="D8" s="17" t="str">
        <x:v>2018–2023 under KCR</x:v>
      </x:c>
      <x:c r="E8" s="17" t="str">
        <x:v>Initiated and led state rollout</x:v>
      </x:c>
      <x:c r="F8" s="17" t="str">
        <x:v>Per-acre seasonal investment support linked to landownership records; initial 2018 rate later increased</x:v>
      </x:c>
      <x:c r="G8" s="17" t="str">
        <x:v>Implemented payments; field research documents the land-record infrastructure and exclusion risks. No statewide causal income estimate used.</x:v>
      </x:c>
      <x:c r="H8" s="17" t="str">
        <x:v>KCR government set design; revenue administration, banks and record quality determined access.</x:v>
      </x:c>
      <x:c r="I8" s="17" t="str">
        <x:v>Tenant cultivators without ownership excluded by design; benefits scale with acreage; record errors create additional exclusion.</x:v>
      </x:c>
      <x:c r="J8" s="17" t="str">
        <x:v>P3–P4</x:v>
      </x:c>
      <x:c r="K8" s="17" t="str">
        <x:v>P3-E04; P4-E08</x:v>
      </x:c>
      <x:c r="L8" s="19" t="str">
        <x:v>S021; S022</x:v>
      </x:c>
    </x:row>
    <x:row r="9" ht="40" customHeight="1">
      <x:c r="A9" s="9" t="str">
        <x:v>PG03</x:v>
      </x:c>
      <x:c r="B9" s="9" t="str">
        <x:v>Agriculture / water</x:v>
      </x:c>
      <x:c r="C9" s="9" t="str">
        <x:v>Mission Kakatiya</x:v>
      </x:c>
      <x:c r="D9" s="9" t="str">
        <x:v>From first CM term</x:v>
      </x:c>
      <x:c r="E9" s="9" t="str">
        <x:v>Led government programme</x:v>
      </x:c>
      <x:c r="F9" s="9" t="str">
        <x:v>Restore and desilt minor-irrigation tanks and improve local water storage</x:v>
      </x:c>
      <x:c r="G9" s="9" t="str">
        <x:v>Official district account describes restoration pathway and supportive study claims. Independent statewide outcome verification not completed.</x:v>
      </x:c>
      <x:c r="H9" s="9" t="str">
        <x:v>Tank management, rainfall, groundwater use and farmer practices also affect results.</x:v>
      </x:c>
      <x:c r="I9" s="9" t="str">
        <x:v>Restoration counts alone do not prove durable water availability, equitable access or net farm income gains.</x:v>
      </x:c>
      <x:c r="J9" s="9" t="str">
        <x:v>P3–P4</x:v>
      </x:c>
      <x:c r="K9" s="9" t="str">
        <x:v>P3-E09</x:v>
      </x:c>
      <x:c r="L9" s="18" t="str">
        <x:v>S024</x:v>
      </x:c>
    </x:row>
    <x:row r="10" ht="40" customHeight="1">
      <x:c r="A10" s="17" t="str">
        <x:v>PG04</x:v>
      </x:c>
      <x:c r="B10" s="17" t="str">
        <x:v>Drinking water</x:v>
      </x:c>
      <x:c r="C10" s="17" t="str">
        <x:v>Mission Bhagiratha</x:v>
      </x:c>
      <x:c r="D10" s="17" t="str">
        <x:v>From first CM term</x:v>
      </x:c>
      <x:c r="E10" s="17" t="str">
        <x:v>Led government programme</x:v>
      </x:c>
      <x:c r="F10" s="17" t="str">
        <x:v>Piped drinking-water system with differentiated rural and urban supply targets</x:v>
      </x:c>
      <x:c r="G10" s="17" t="str">
        <x:v>Administrative design and service targets documented; this workbook does not certify universal functional supply or quality.</x:v>
      </x:c>
      <x:c r="H10" s="17" t="str">
        <x:v>Engineering agencies, local operation, source-water reliability and maintenance affect sustained delivery.</x:v>
      </x:c>
      <x:c r="I10" s="17" t="str">
        <x:v>Capital completion differs from regular safe household water; outcome and maintenance data remain a research gap.</x:v>
      </x:c>
      <x:c r="J10" s="17" t="str">
        <x:v>P3–P4</x:v>
      </x:c>
      <x:c r="K10" s="17" t="str">
        <x:v>P3-E04</x:v>
      </x:c>
      <x:c r="L10" s="19" t="str">
        <x:v>S025</x:v>
      </x:c>
    </x:row>
    <x:row r="11" ht="54" customHeight="1">
      <x:c r="A11" s="9" t="str">
        <x:v>PG05</x:v>
      </x:c>
      <x:c r="B11" s="9" t="str">
        <x:v>Major irrigation</x:v>
      </x:c>
      <x:c r="C11" s="9" t="str">
        <x:v>Kaleshwaram Lift Irrigation Project</x:v>
      </x:c>
      <x:c r="D11" s="9" t="str">
        <x:v>Redesign from 2016; KCR tenure to 2023</x:v>
      </x:c>
      <x:c r="E11" s="9" t="str">
        <x:v>Approved and politically led redesign and expansion</x:v>
      </x:c>
      <x:c r="F11" s="9" t="str">
        <x:v>Reconfigured an inherited project into a multi-stage lift system; major borrowing and construction</x:v>
      </x:c>
      <x:c r="G11" s="9" t="str">
        <x:v>CAG reported expenditure of Rs 86,788.06 crore and 40,888 acres of new command area created by March 2022; audit benchmarks below.</x:v>
      </x:c>
      <x:c r="H11" s="9" t="str">
        <x:v>Department, engineers, contractors, lenders and earlier project planning share causal roles; executive responsibility still warrants scrutiny.</x:v>
      </x:c>
      <x:c r="I11" s="9" t="str">
        <x:v>Audit criticized planning, cost escalation and economics. These measures are neither statewide irrigation totals nor a criminal judgment.</x:v>
      </x:c>
      <x:c r="J11" s="9" t="str">
        <x:v>P3–P4</x:v>
      </x:c>
      <x:c r="K11" s="9" t="str">
        <x:v>P4-E02; P4-E04</x:v>
      </x:c>
      <x:c r="L11" s="18" t="str">
        <x:v>S018; S019</x:v>
      </x:c>
    </x:row>
    <x:row r="12" ht="40" customHeight="1">
      <x:c r="A12" s="17" t="str">
        <x:v>PG06</x:v>
      </x:c>
      <x:c r="B12" s="17" t="str">
        <x:v>Social protection</x:v>
      </x:c>
      <x:c r="C12" s="17" t="str">
        <x:v>Aasara pensions</x:v>
      </x:c>
      <x:c r="D12" s="17" t="str">
        <x:v>2014–2023 under KCR</x:v>
      </x:c>
      <x:c r="E12" s="17" t="str">
        <x:v>Expanded state social assistance</x:v>
      </x:c>
      <x:c r="F12" s="17" t="str">
        <x:v>Category-based pensions, including older persons, widows and disabled beneficiaries</x:v>
      </x:c>
      <x:c r="G12" s="17" t="str">
        <x:v>Administrative scheme description confirms design; no independent causal poverty estimate used.</x:v>
      </x:c>
      <x:c r="H12" s="17" t="str">
        <x:v>Pension expansion is a state-government action; household outcomes also depend on price levels and delivery.</x:v>
      </x:c>
      <x:c r="I12" s="17" t="str">
        <x:v>Eligibility, exclusions and payment regularity require period-specific administrative or survey checks.</x:v>
      </x:c>
      <x:c r="J12" s="17" t="str">
        <x:v>P3–P4</x:v>
      </x:c>
      <x:c r="K12" s="17" t="str">
        <x:v>P3-E08</x:v>
      </x:c>
      <x:c r="L12" s="19" t="str">
        <x:v>S026</x:v>
      </x:c>
    </x:row>
    <x:row r="13" ht="40" customHeight="1">
      <x:c r="A13" s="9" t="str">
        <x:v>PG07</x:v>
      </x:c>
      <x:c r="B13" s="9" t="str">
        <x:v>Gender / marriage assistance</x:v>
      </x:c>
      <x:c r="C13" s="9" t="str">
        <x:v>Kalyana Lakshmi and Shaadi Mubarak</x:v>
      </x:c>
      <x:c r="D13" s="9" t="str">
        <x:v>First and second CM terms</x:v>
      </x:c>
      <x:c r="E13" s="9" t="str">
        <x:v>Introduced / expanded assistance</x:v>
      </x:c>
      <x:c r="F13" s="9" t="str">
        <x:v>Grant for eligible marriages; district record dates increase to Rs 100,116 to March 2018</x:v>
      </x:c>
      <x:c r="G13" s="9" t="str">
        <x:v>Documented financial benefit design; no verified causal reduction in dowry or increase in women’s agency established.</x:v>
      </x:c>
      <x:c r="H13" s="9" t="str">
        <x:v>Transfers can ease immediate household costs; longer-term gender effects need separate evidence.</x:v>
      </x:c>
      <x:c r="I13" s="9" t="str">
        <x:v>Marriage-centered support is distinct from independent education, employment and decision-making power.</x:v>
      </x:c>
      <x:c r="J13" s="9" t="str">
        <x:v>P3–P4</x:v>
      </x:c>
      <x:c r="K13" s="9" t="str">
        <x:v>P3-G07; P4-G09</x:v>
      </x:c>
      <x:c r="L13" s="18" t="str">
        <x:v>S023</x:v>
      </x:c>
    </x:row>
    <x:row r="14" ht="54" customHeight="1">
      <x:c r="A14" s="17" t="str">
        <x:v>PG08</x:v>
      </x:c>
      <x:c r="B14" s="17" t="str">
        <x:v>Maternal and child health</x:v>
      </x:c>
      <x:c r="C14" s="17" t="str">
        <x:v>KCR Kit</x:v>
      </x:c>
      <x:c r="D14" s="17" t="str">
        <x:v>From June 2017</x:v>
      </x:c>
      <x:c r="E14" s="17" t="str">
        <x:v>Led state programme</x:v>
      </x:c>
      <x:c r="F14" s="17" t="str">
        <x:v>Kit and cash support associated with eligible government-hospital deliveries; additional support for a girl child</x:v>
      </x:c>
      <x:c r="G14" s="17" t="str">
        <x:v>Official training material records Rs 12,000 assistance and Rs 1,000 additional for a girl. No causal mortality effect claimed.</x:v>
      </x:c>
      <x:c r="H14" s="17" t="str">
        <x:v>Medical staff, facility capacity, existing maternal programmes and household choices affect outcomes.</x:v>
      </x:c>
      <x:c r="I14" s="17" t="str">
        <x:v>Enrollment and institutional delivery indicators do not alone establish quality of care or maternal autonomy.</x:v>
      </x:c>
      <x:c r="J14" s="17" t="str">
        <x:v>P3–P4</x:v>
      </x:c>
      <x:c r="K14" s="17" t="str">
        <x:v>P3-G07</x:v>
      </x:c>
      <x:c r="L14" s="19" t="str">
        <x:v>S027</x:v>
      </x:c>
    </x:row>
    <x:row r="15" ht="54" customHeight="1">
      <x:c r="A15" s="9" t="str">
        <x:v>PG09</x:v>
      </x:c>
      <x:c r="B15" s="9" t="str">
        <x:v>Dalit entrepreneurship</x:v>
      </x:c>
      <x:c r="C15" s="9" t="str">
        <x:v>Dalit Bandhu</x:v>
      </x:c>
      <x:c r="D15" s="9" t="str">
        <x:v>From 2021</x:v>
      </x:c>
      <x:c r="E15" s="9" t="str">
        <x:v>Initiated and promoted</x:v>
      </x:c>
      <x:c r="F15" s="9" t="str">
        <x:v>One-time Rs 10 lakh capital assistance for eligible SC households; pilot and phased expansion</x:v>
      </x:c>
      <x:c r="G15" s="9" t="str">
        <x:v>S032 quotes the SC corporation reporting about 38,600 families reached and Rs 3,870.62 crore spent by 2023. These are reported administrative figures.</x:v>
      </x:c>
      <x:c r="H15" s="9" t="str">
        <x:v>Government financing plus beneficiary selection, business viability and markets determine sustained livelihoods.</x:v>
      </x:c>
      <x:c r="I15" s="9" t="str">
        <x:v>Coverage was partial; activists alleged favoritism and commissions. Official aspiration should not be represented as every Dalit household served.</x:v>
      </x:c>
      <x:c r="J15" s="9" t="str">
        <x:v>P4</x:v>
      </x:c>
      <x:c r="K15" s="9" t="str">
        <x:v>P4-E08</x:v>
      </x:c>
      <x:c r="L15" s="18" t="str">
        <x:v>S031; S032</x:v>
      </x:c>
    </x:row>
    <x:row r="16" ht="40" customHeight="1">
      <x:c r="A16" s="17" t="str">
        <x:v>PG10</x:v>
      </x:c>
      <x:c r="B16" s="17" t="str">
        <x:v>Land / social justice</x:v>
      </x:c>
      <x:c r="C16" s="17" t="str">
        <x:v>Three-acre land distribution to poor SC agricultural women</x:v>
      </x:c>
      <x:c r="D16" s="17" t="str">
        <x:v>2014–2023</x:v>
      </x:c>
      <x:c r="E16" s="17" t="str">
        <x:v>Government promise and implementation</x:v>
      </x:c>
      <x:c r="F16" s="17" t="str">
        <x:v>Purchase and allot agricultural land with support inputs</x:v>
      </x:c>
      <x:c r="G16" s="17" t="str">
        <x:v>S032 reports 6,900 recipients and Rs 729 crore spent in 2014–23, attributed to the SC corporation.</x:v>
      </x:c>
      <x:c r="H16" s="17" t="str">
        <x:v>Land availability and procurement prices constrained delivery; political commitment and execution remain separately assessable.</x:v>
      </x:c>
      <x:c r="I16" s="17" t="str">
        <x:v>Official explanation cited rising land prices; activists criticized restricted reach. No universal completion established.</x:v>
      </x:c>
      <x:c r="J16" s="17" t="str">
        <x:v>P3–P4</x:v>
      </x:c>
      <x:c r="K16" s="17" t="str">
        <x:v>P3-G09; P4-E08</x:v>
      </x:c>
      <x:c r="L16" s="19" t="str">
        <x:v>S032</x:v>
      </x:c>
    </x:row>
    <x:row r="17" ht="40" customHeight="1">
      <x:c r="A17" s="9" t="str">
        <x:v>PG11</x:v>
      </x:c>
      <x:c r="B17" s="9" t="str">
        <x:v>Industry / regulation</x:v>
      </x:c>
      <x:c r="C17" s="9" t="str">
        <x:v>TS-iPASS</x:v>
      </x:c>
      <x:c r="D17" s="9" t="str">
        <x:v>Act 2014; rules 2015 onward</x:v>
      </x:c>
      <x:c r="E17" s="9" t="str">
        <x:v>Led government adoption</x:v>
      </x:c>
      <x:c r="F17" s="9" t="str">
        <x:v>Single-point approvals, self-certification and stipulated timelines</x:v>
      </x:c>
      <x:c r="G17" s="9" t="str">
        <x:v>Formal Act and June 2015 rules establish the administrative system. No unverified investment or job totals counted.</x:v>
      </x:c>
      <x:c r="H17" s="9" t="str">
        <x:v>KCR administration’s institutional contribution is clearer than exclusive credit for firms’ investment decisions.</x:v>
      </x:c>
      <x:c r="I17" s="9" t="str">
        <x:v>Faster clearance should be assessed alongside regulatory compliance; approvals are not operating projects.</x:v>
      </x:c>
      <x:c r="J17" s="9" t="str">
        <x:v>P3–P4</x:v>
      </x:c>
      <x:c r="K17" s="9" t="str">
        <x:v>P3-E04; P3-E05</x:v>
      </x:c>
      <x:c r="L17" s="18" t="str">
        <x:v>S034; S035</x:v>
      </x:c>
    </x:row>
    <x:row r="18" ht="40" customHeight="1">
      <x:c r="A18" s="17" t="str">
        <x:v>PG12</x:v>
      </x:c>
      <x:c r="B18" s="17" t="str">
        <x:v>Economy / urban development</x:v>
      </x:c>
      <x:c r="C18" s="17" t="str">
        <x:v>Hyderabad development and IT-oriented growth</x:v>
      </x:c>
      <x:c r="D18" s="17" t="str">
        <x:v>2014–2023</x:v>
      </x:c>
      <x:c r="E18" s="17" t="str">
        <x:v>Government association; KTR handled IT/urban portfolios</x:v>
      </x:c>
      <x:c r="F18" s="17" t="str">
        <x:v>Sector promotion and urban development formed a central government and campaign pitch</x:v>
      </x:c>
      <x:c r="G18" s="17" t="str">
        <x:v>PRS records 7.4% estimated real state GSDP growth for 2022–23 and Rs 317,115 nominal per-capita income. These are state aggregates.</x:v>
      </x:c>
      <x:c r="H18" s="17" t="str">
        <x:v>Inherited Hyderabad industry, national conditions, firms, workers and ministers all matter; no personal causal estimate.</x:v>
      </x:c>
      <x:c r="I18" s="17" t="str">
        <x:v>State averages conceal regional and distributional differences; IT growth does not measure all graduate employment.</x:v>
      </x:c>
      <x:c r="J18" s="17" t="str">
        <x:v>P3–P4</x:v>
      </x:c>
      <x:c r="K18" s="17" t="str">
        <x:v>P4-E04; P4-E05</x:v>
      </x:c>
      <x:c r="L18" s="19" t="str">
        <x:v>S014; S020; S028</x:v>
      </x:c>
    </x:row>
    <x:row r="19" ht="40" customHeight="1">
      <x:c r="A19" s="9" t="str">
        <x:v>PG13</x:v>
      </x:c>
      <x:c r="B19" s="9" t="str">
        <x:v>Housing</x:v>
      </x:c>
      <x:c r="C19" s="9" t="str">
        <x:v>Two-bedroom housing programme</x:v>
      </x:c>
      <x:c r="D19" s="9" t="str">
        <x:v>2014–2023</x:v>
      </x:c>
      <x:c r="E19" s="9" t="str">
        <x:v>Introduced and promoted</x:v>
      </x:c>
      <x:c r="F19" s="9" t="str">
        <x:v>State-funded housing for eligible poor households</x:v>
      </x:c>
      <x:c r="G19" s="9" t="str">
        <x:v>Political reporting documents incomplete-delivery complaints; a reconciled audited completion series was not obtained.</x:v>
      </x:c>
      <x:c r="H19" s="9" t="str">
        <x:v>Implementation involves land, construction, financing and allocation decisions across agencies.</x:v>
      </x:c>
      <x:c r="I19" s="9" t="str">
        <x:v>BRS emphasized welfare reach; critics reported selection and completion problems. Allegations remain attributed.</x:v>
      </x:c>
      <x:c r="J19" s="9" t="str">
        <x:v>P3–P4</x:v>
      </x:c>
      <x:c r="K19" s="9" t="str">
        <x:v>P4-E08</x:v>
      </x:c>
      <x:c r="L19" s="18" t="str">
        <x:v>S033; S014</x:v>
      </x:c>
    </x:row>
    <x:row r="20" ht="40" customHeight="1">
      <x:c r="A20" s="17" t="str">
        <x:v>PG14</x:v>
      </x:c>
      <x:c r="B20" s="17" t="str">
        <x:v>Public employment</x:v>
      </x:c>
      <x:c r="C20" s="17" t="str">
        <x:v>Recruitment and TSPSC exams</x:v>
      </x:c>
      <x:c r="D20" s="17" t="str">
        <x:v>Especially 2022–2023</x:v>
      </x:c>
      <x:c r="E20" s="17" t="str">
        <x:v>Executive accountability; commission administered exams</x:v>
      </x:c>
      <x:c r="F20" s="17" t="str">
        <x:v>Public recruitment commitments and examination process</x:v>
      </x:c>
      <x:c r="G20" s="17" t="str">
        <x:v>Paper leaks and cancellations disrupted recruitment in 2023.</x:v>
      </x:c>
      <x:c r="H20" s="17" t="str">
        <x:v>KCR’s government faced political accountability; no evidence here establishes his personal involvement in leaking papers.</x:v>
      </x:c>
      <x:c r="I20" s="17" t="str">
        <x:v>Youth frustration is reported; a precise vote-loss contribution cannot be isolated from these sources.</x:v>
      </x:c>
      <x:c r="J20" s="17" t="str">
        <x:v>P4</x:v>
      </x:c>
      <x:c r="K20" s="17" t="str">
        <x:v>P4-E02; P4-E06</x:v>
      </x:c>
      <x:c r="L20" s="19" t="str">
        <x:v>S045; S033</x:v>
      </x:c>
    </x:row>
    <x:row r="21" ht="40" customHeight="1">
      <x:c r="A21" s="9" t="str">
        <x:v>PG15</x:v>
      </x:c>
      <x:c r="B21" s="9" t="str">
        <x:v>Public finance</x:v>
      </x:c>
      <x:c r="C21" s="9" t="str">
        <x:v>Budget priorities and off-budget borrowing</x:v>
      </x:c>
      <x:c r="D21" s="9" t="str">
        <x:v>2020–2024 fiscal records</x:v>
      </x:c>
      <x:c r="E21" s="9" t="str">
        <x:v>Led government budget and expenditure policy</x:v>
      </x:c>
      <x:c r="F21" s="9" t="str">
        <x:v>Borrowing, guarantees and expenditure allocations for services, welfare and infrastructure</x:v>
      </x:c>
      <x:c r="G21" s="9" t="str">
        <x:v>PRS distinguishes 2020–21 liabilities including off-budget borrowing from headline debt; 2023–24 sector allocations below.</x:v>
      </x:c>
      <x:c r="H21" s="9" t="str">
        <x:v>Audit and budget definitions determine comparability; some later fiscal criticism concerns decisions spanning governments.</x:v>
      </x:c>
      <x:c r="I21" s="9" t="str">
        <x:v>Budgeted spending is not actual spending; fiscal ratios need a common year, GSDP vintage and debt perimeter.</x:v>
      </x:c>
      <x:c r="J21" s="9" t="str">
        <x:v>P4</x:v>
      </x:c>
      <x:c r="K21" s="9" t="str">
        <x:v>P4-E04</x:v>
      </x:c>
      <x:c r="L21" s="18" t="str">
        <x:v>S020; S018</x:v>
      </x:c>
    </x:row>
    <x:row r="22" ht="40" customHeight="1">
      <x:c r="A22" s="17" t="str">
        <x:v>PG16</x:v>
      </x:c>
      <x:c r="B22" s="17" t="str">
        <x:v>Representation / appointments</x:v>
      </x:c>
      <x:c r="C22" s="17" t="str">
        <x:v>Women’s cabinet representation</x:v>
      </x:c>
      <x:c r="D22" s="17" t="str">
        <x:v>2014–2019 transition</x:v>
      </x:c>
      <x:c r="E22" s="17" t="str">
        <x:v>Selected council composition</x:v>
      </x:c>
      <x:c r="F22" s="17" t="str">
        <x:v>No women in first term; Sabitha and Satyavati inducted September 2019</x:v>
      </x:c>
      <x:c r="G22" s="17" t="str">
        <x:v>Formal descriptive representation changed; portfolios included Education and Women/Child/ST Welfare.</x:v>
      </x:c>
      <x:c r="H22" s="17" t="str">
        <x:v>Direct appointment responsibility is more attributable than broad gender outcomes.</x:v>
      </x:c>
      <x:c r="I22" s="17" t="str">
        <x:v>Two appointments do not establish parity, equal informal influence or successful gender policy.</x:v>
      </x:c>
      <x:c r="J22" s="17" t="str">
        <x:v>P3–P4</x:v>
      </x:c>
      <x:c r="K22" s="17" t="str">
        <x:v>P3-G04; P4-G04</x:v>
      </x:c>
      <x:c r="L22" s="19" t="str">
        <x:v>S028; S029; S030</x:v>
      </x:c>
    </x:row>
    <x:row r="26" ht="38" customHeight="1">
      <x:c r="A26" s="14" t="str">
        <x:v>Measure ID</x:v>
      </x:c>
      <x:c r="B26" s="15" t="str">
        <x:v>Indicator</x:v>
      </x:c>
      <x:c r="C26" s="15" t="str">
        <x:v>Value</x:v>
      </x:c>
      <x:c r="D26" s="15" t="str">
        <x:v>Unit</x:v>
      </x:c>
      <x:c r="E26" s="15" t="str">
        <x:v>Geography / observation period</x:v>
      </x:c>
      <x:c r="F26" s="15" t="str">
        <x:v>Type of measure</x:v>
      </x:c>
      <x:c r="G26" s="15" t="str">
        <x:v>Source IDs</x:v>
      </x:c>
      <x:c r="H26" s="16" t="str">
        <x:v>Interpretation / limitation</x:v>
      </x:c>
    </x:row>
    <x:row r="27" ht="30" customHeight="1">
      <x:c r="A27" s="9" t="str">
        <x:v>M01</x:v>
      </x:c>
      <x:c r="B27" s="9" t="str">
        <x:v>Kaleshwaram DPR cost</x:v>
      </x:c>
      <x:c r="C27" s="42" t="n">
        <x:v>81911.01</x:v>
      </x:c>
      <x:c r="D27" s="9" t="str">
        <x:v>INR crore</x:v>
      </x:c>
      <x:c r="E27" s="9" t="str">
        <x:v>Project DPR, as reviewed by CAG</x:v>
      </x:c>
      <x:c r="F27" s="9" t="str">
        <x:v>Audit benchmark, not actual spending</x:v>
      </x:c>
      <x:c r="G27" s="18" t="str">
        <x:v>S018</x:v>
      </x:c>
      <x:c r="H27" s="20" t="str">
        <x:v>Executive Summary; compare on same project scope.</x:v>
      </x:c>
    </x:row>
    <x:row r="28" ht="30" customHeight="1">
      <x:c r="A28" s="17" t="str">
        <x:v>M02</x:v>
      </x:c>
      <x:c r="B28" s="17" t="str">
        <x:v>Kaleshwaram likely cost</x:v>
      </x:c>
      <x:c r="C28" s="43" t="n">
        <x:v>147427.41</x:v>
      </x:c>
      <x:c r="D28" s="17" t="str">
        <x:v>INR crore</x:v>
      </x:c>
      <x:c r="E28" s="17" t="str">
        <x:v>CAG assessment, report tabled 2024</x:v>
      </x:c>
      <x:c r="F28" s="17" t="str">
        <x:v>Estimate including additional components</x:v>
      </x:c>
      <x:c r="G28" s="19" t="str">
        <x:v>S018</x:v>
      </x:c>
      <x:c r="H28" s="21" t="str">
        <x:v>Do not report as final cost incurred.</x:v>
      </x:c>
    </x:row>
    <x:row r="29" ht="30" customHeight="1">
      <x:c r="A29" s="9" t="str">
        <x:v>M03</x:v>
      </x:c>
      <x:c r="B29" s="9" t="str">
        <x:v>Kaleshwaram expenditure</x:v>
      </x:c>
      <x:c r="C29" s="42" t="n">
        <x:v>86788.06</x:v>
      </x:c>
      <x:c r="D29" s="9" t="str">
        <x:v>INR crore</x:v>
      </x:c>
      <x:c r="E29" s="9" t="str">
        <x:v>Through March 2022</x:v>
      </x:c>
      <x:c r="F29" s="9" t="str">
        <x:v>Audit expenditure total</x:v>
      </x:c>
      <x:c r="G29" s="18" t="str">
        <x:v>S018</x:v>
      </x:c>
      <x:c r="H29" s="20" t="str">
        <x:v>Does not cover later expenditure.</x:v>
      </x:c>
    </x:row>
    <x:row r="30" ht="40" customHeight="1">
      <x:c r="A30" s="17" t="str">
        <x:v>M04</x:v>
      </x:c>
      <x:c r="B30" s="17" t="str">
        <x:v>Kaleshwaram off-budget borrowing</x:v>
      </x:c>
      <x:c r="C30" s="43" t="n">
        <x:v>55807.86</x:v>
      </x:c>
      <x:c r="D30" s="17" t="str">
        <x:v>INR crore</x:v>
      </x:c>
      <x:c r="E30" s="17" t="str">
        <x:v>Through March 2022</x:v>
      </x:c>
      <x:c r="F30" s="17" t="str">
        <x:v>Part of audited financing</x:v>
      </x:c>
      <x:c r="G30" s="19" t="str">
        <x:v>S018</x:v>
      </x:c>
      <x:c r="H30" s="21" t="str">
        <x:v>64.3% of stated expenditure in audit summary; not all state debt.</x:v>
      </x:c>
    </x:row>
    <x:row r="31" ht="40" customHeight="1">
      <x:c r="A31" s="9" t="str">
        <x:v>M05</x:v>
      </x:c>
      <x:c r="B31" s="9" t="str">
        <x:v>Kaleshwaram new command area created</x:v>
      </x:c>
      <x:c r="C31" s="42" t="n">
        <x:v>40888</x:v>
      </x:c>
      <x:c r="D31" s="9" t="str">
        <x:v>Acres</x:v>
      </x:c>
      <x:c r="E31" s="9" t="str">
        <x:v>Through March 2022</x:v>
      </x:c>
      <x:c r="F31" s="9" t="str">
        <x:v>Audit output</x:v>
      </x:c>
      <x:c r="G31" s="18" t="str">
        <x:v>S018</x:v>
      </x:c>
      <x:c r="H31" s="20" t="str">
        <x:v>New command area only, not all water supplied or total irrigated area in Telangana.</x:v>
      </x:c>
    </x:row>
    <x:row r="32" ht="40" customHeight="1">
      <x:c r="A32" s="17" t="str">
        <x:v>M06</x:v>
      </x:c>
      <x:c r="B32" s="17" t="str">
        <x:v>Kaleshwaram proposed new command area</x:v>
      </x:c>
      <x:c r="C32" s="43" t="n">
        <x:v>1826000</x:v>
      </x:c>
      <x:c r="D32" s="17" t="str">
        <x:v>Acres</x:v>
      </x:c>
      <x:c r="E32" s="17" t="str">
        <x:v>Project target reviewed by CAG</x:v>
      </x:c>
      <x:c r="F32" s="17" t="str">
        <x:v>Target</x:v>
      </x:c>
      <x:c r="G32" s="19" t="str">
        <x:v>S018</x:v>
      </x:c>
      <x:c r="H32" s="21" t="str">
        <x:v>Target of 18.26 lakh acres; do not count as delivered.</x:v>
      </x:c>
    </x:row>
    <x:row r="33" ht="40" customHeight="1">
      <x:c r="A33" s="9" t="str">
        <x:v>M07</x:v>
      </x:c>
      <x:c r="B33" s="9" t="str">
        <x:v>CAG benefit-cost ratio using likely cost</x:v>
      </x:c>
      <x:c r="C33" s="44" t="n">
        <x:v>0.52</x:v>
      </x:c>
      <x:c r="D33" s="9" t="str">
        <x:v>Ratio</x:v>
      </x:c>
      <x:c r="E33" s="9" t="str">
        <x:v>Audit appraisal</x:v>
      </x:c>
      <x:c r="F33" s="9" t="str">
        <x:v>Modeled economic assessment</x:v>
      </x:c>
      <x:c r="G33" s="18" t="str">
        <x:v>S018</x:v>
      </x:c>
      <x:c r="H33" s="20" t="str">
        <x:v>Not a directly observed welfare outcome. Department’s DPR ratio differed.</x:v>
      </x:c>
    </x:row>
    <x:row r="34" ht="30" customHeight="1">
      <x:c r="A34" s="17" t="str">
        <x:v>M08</x:v>
      </x:c>
      <x:c r="B34" s="17" t="str">
        <x:v>Telangana real GSDP growth</x:v>
      </x:c>
      <x:c r="C34" s="45" t="n">
        <x:v>0.074</x:v>
      </x:c>
      <x:c r="D34" s="17" t="str">
        <x:v>Percent</x:v>
      </x:c>
      <x:c r="E34" s="17" t="str">
        <x:v>2022–23 estimate</x:v>
      </x:c>
      <x:c r="F34" s="17" t="str">
        <x:v>Constant-price growth estimate</x:v>
      </x:c>
      <x:c r="G34" s="19" t="str">
        <x:v>S020</x:v>
      </x:c>
      <x:c r="H34" s="21" t="str">
        <x:v>State aggregate; no single-leader attribution.</x:v>
      </x:c>
    </x:row>
    <x:row r="35" ht="40" customHeight="1">
      <x:c r="A35" s="9" t="str">
        <x:v>M09</x:v>
      </x:c>
      <x:c r="B35" s="9" t="str">
        <x:v>Telangana per-capita income</x:v>
      </x:c>
      <x:c r="C35" s="42" t="n">
        <x:v>317115</x:v>
      </x:c>
      <x:c r="D35" s="9" t="str">
        <x:v>INR per person</x:v>
      </x:c>
      <x:c r="E35" s="9" t="str">
        <x:v>2022–23 estimate</x:v>
      </x:c>
      <x:c r="F35" s="9" t="str">
        <x:v>Current-price state average</x:v>
      </x:c>
      <x:c r="G35" s="18" t="str">
        <x:v>S020</x:v>
      </x:c>
      <x:c r="H35" s="20" t="str">
        <x:v>Nominal average, not median disposable household income.</x:v>
      </x:c>
    </x:row>
    <x:row r="36" ht="40" customHeight="1">
      <x:c r="A36" s="17" t="str">
        <x:v>M10</x:v>
      </x:c>
      <x:c r="B36" s="17" t="str">
        <x:v>Headline outstanding liabilities / GSDP</x:v>
      </x:c>
      <x:c r="C36" s="45" t="n">
        <x:v>0.281</x:v>
      </x:c>
      <x:c r="D36" s="17" t="str">
        <x:v>Percent</x:v>
      </x:c>
      <x:c r="E36" s="17" t="str">
        <x:v>2020–21, CAG as cited by PRS</x:v>
      </x:c>
      <x:c r="F36" s="17" t="str">
        <x:v>Liability perimeter excludes added off-budget amount</x:v>
      </x:c>
      <x:c r="G36" s="19" t="str">
        <x:v>S020</x:v>
      </x:c>
      <x:c r="H36" s="21" t="str">
        <x:v>Compare M11 only on same year/perimeter explanation.</x:v>
      </x:c>
    </x:row>
    <x:row r="37" ht="40" customHeight="1">
      <x:c r="A37" s="9" t="str">
        <x:v>M11</x:v>
      </x:c>
      <x:c r="B37" s="9" t="str">
        <x:v>Liabilities incl. off-budget borrowing / GSDP</x:v>
      </x:c>
      <x:c r="C37" s="46" t="n">
        <x:v>0.381</x:v>
      </x:c>
      <x:c r="D37" s="9" t="str">
        <x:v>Percent</x:v>
      </x:c>
      <x:c r="E37" s="9" t="str">
        <x:v>2020–21, CAG as cited by PRS</x:v>
      </x:c>
      <x:c r="F37" s="9" t="str">
        <x:v>Broader liability perimeter</x:v>
      </x:c>
      <x:c r="G37" s="18" t="str">
        <x:v>S020</x:v>
      </x:c>
      <x:c r="H37" s="20" t="str">
        <x:v>Not a 2023–24 debt figure.</x:v>
      </x:c>
    </x:row>
    <x:row r="38" ht="40" customHeight="1">
      <x:c r="A38" s="17" t="str">
        <x:v>M12</x:v>
      </x:c>
      <x:c r="B38" s="17" t="str">
        <x:v>Education share of state expenditure</x:v>
      </x:c>
      <x:c r="C38" s="45" t="n">
        <x:v>0.076</x:v>
      </x:c>
      <x:c r="D38" s="17" t="str">
        <x:v>Percent</x:v>
      </x:c>
      <x:c r="E38" s="17" t="str">
        <x:v>2023–24 budget estimate</x:v>
      </x:c>
      <x:c r="F38" s="17" t="str">
        <x:v>Budget allocation</x:v>
      </x:c>
      <x:c r="G38" s="19" t="str">
        <x:v>S020</x:v>
      </x:c>
      <x:c r="H38" s="21" t="str">
        <x:v>PRS comparison: state average 14.8% in 2022–23; years differ.</x:v>
      </x:c>
    </x:row>
    <x:row r="39" ht="40" customHeight="1">
      <x:c r="A39" s="9" t="str">
        <x:v>M13</x:v>
      </x:c>
      <x:c r="B39" s="9" t="str">
        <x:v>Health share of state expenditure</x:v>
      </x:c>
      <x:c r="C39" s="46" t="n">
        <x:v>0.05</x:v>
      </x:c>
      <x:c r="D39" s="9" t="str">
        <x:v>Percent</x:v>
      </x:c>
      <x:c r="E39" s="9" t="str">
        <x:v>2023–24 budget estimate</x:v>
      </x:c>
      <x:c r="F39" s="9" t="str">
        <x:v>Budget allocation</x:v>
      </x:c>
      <x:c r="G39" s="18" t="str">
        <x:v>S020</x:v>
      </x:c>
      <x:c r="H39" s="20" t="str">
        <x:v>PRS comparison: state average 6.3% in 2022–23; years differ.</x:v>
      </x:c>
    </x:row>
    <x:row r="40" ht="40" customHeight="1">
      <x:c r="A40" s="17" t="str">
        <x:v>M14</x:v>
      </x:c>
      <x:c r="B40" s="17" t="str">
        <x:v>Kalyana Lakshmi / Shaadi Mubarak grant</x:v>
      </x:c>
      <x:c r="C40" s="43" t="n">
        <x:v>100116</x:v>
      </x:c>
      <x:c r="D40" s="17" t="str">
        <x:v>INR per eligible marriage</x:v>
      </x:c>
      <x:c r="E40" s="17" t="str">
        <x:v>Increase recorded 19 March 2018</x:v>
      </x:c>
      <x:c r="F40" s="17" t="str">
        <x:v>Historical benefit design</x:v>
      </x:c>
      <x:c r="G40" s="19" t="str">
        <x:v>S023</x:v>
      </x:c>
      <x:c r="H40" s="21" t="str">
        <x:v>Not a current application guide or measured gender outcome.</x:v>
      </x:c>
    </x:row>
    <x:row r="41" ht="40" customHeight="1">
      <x:c r="A41" s="9" t="str">
        <x:v>M15</x:v>
      </x:c>
      <x:c r="B41" s="9" t="str">
        <x:v>Rythu Bandhu annual rate in 2020 study</x:v>
      </x:c>
      <x:c r="C41" s="42" t="n">
        <x:v>10000</x:v>
      </x:c>
      <x:c r="D41" s="9" t="str">
        <x:v>INR per acre per year</x:v>
      </x:c>
      <x:c r="E41" s="9" t="str">
        <x:v>January 2020 scheme comparison</x:v>
      </x:c>
      <x:c r="F41" s="9" t="str">
        <x:v>Two-season support to landowners</x:v>
      </x:c>
      <x:c r="G41" s="18" t="str">
        <x:v>S021</x:v>
      </x:c>
      <x:c r="H41" s="20" t="str">
        <x:v>2018 initial rate was lower; land ownership differs from cultivation.</x:v>
      </x:c>
    </x:row>
    <x:row r="42" ht="30" customHeight="1">
      <x:c r="A42" s="17" t="str">
        <x:v>M16</x:v>
      </x:c>
      <x:c r="B42" s="17" t="str">
        <x:v>Dalit Bandhu capital grant</x:v>
      </x:c>
      <x:c r="C42" s="43" t="n">
        <x:v>1000000</x:v>
      </x:c>
      <x:c r="D42" s="17" t="str">
        <x:v>INR per eligible household</x:v>
      </x:c>
      <x:c r="E42" s="17" t="str">
        <x:v>2021 design</x:v>
      </x:c>
      <x:c r="F42" s="17" t="str">
        <x:v>Targeted enterprise assistance</x:v>
      </x:c>
      <x:c r="G42" s="19" t="str">
        <x:v>S031; S032</x:v>
      </x:c>
      <x:c r="H42" s="21" t="str">
        <x:v>Benefit size is not the number of households reached.</x:v>
      </x:c>
    </x:row>
  </x:sheetData>
  <x:pageMargins left="0.7" right="0.7" top="0.75" bottom="0.75" header="0.3" footer="0.3"/>
  <x:tableParts count="2">
    <x:tablePart xmlns:r="http://schemas.openxmlformats.org/officeDocument/2006/relationships" r:id="Rd237ed7af7da40ba"/>
    <x:tablePart xmlns:r="http://schemas.openxmlformats.org/officeDocument/2006/relationships" r:id="Rfa56ca7c920849a4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23" hidden="0" customWidth="1"/>
    <x:col min="3" max="3" width="38" hidden="0" customWidth="1"/>
    <x:col min="4" max="4" width="14" hidden="0" customWidth="1"/>
    <x:col min="5" max="5" width="65" hidden="0" customWidth="1"/>
    <x:col min="6" max="6" width="43" hidden="0" customWidth="1"/>
    <x:col min="7" max="7" width="66" hidden="0" customWidth="1"/>
    <x:col min="8" max="8" width="28" hidden="0" customWidth="1"/>
    <x:col min="9" max="9" width="30" hidden="0" customWidth="1"/>
    <x:col min="10" max="10" width="26" hidden="0" customWidth="1"/>
  </x:cols>
  <x:sheetData>
    <x:row r="1" ht="12" customHeight="1"/>
    <x:row r="2" ht="25" customHeight="1">
      <x:c r="A2" s="2" t="str">
        <x:v>Ideas and political method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22" customHeight="1">
      <x:c r="A4" s="5" t="str">
        <x:v>Documented actions and attributed positions are distinguished from inference about strategy and consequences.</x:v>
      </x:c>
    </x:row>
    <x:row r="5" ht="8" customHeight="1"/>
    <x:row r="6" ht="38" customHeight="1">
      <x:c r="A6" s="14" t="str">
        <x:v>Record ID</x:v>
      </x:c>
      <x:c r="B6" s="15" t="str">
        <x:v>Category</x:v>
      </x:c>
      <x:c r="C6" s="15" t="str">
        <x:v>Topic</x:v>
      </x:c>
      <x:c r="D6" s="15" t="str">
        <x:v>Phase</x:v>
      </x:c>
      <x:c r="E6" s="15" t="str">
        <x:v>Position / method</x:v>
      </x:c>
      <x:c r="F6" s="15" t="str">
        <x:v>Evidence basis</x:v>
      </x:c>
      <x:c r="G6" s="15" t="str">
        <x:v>Change / consequence / limitation</x:v>
      </x:c>
      <x:c r="H6" s="15" t="str">
        <x:v>Claim type</x:v>
      </x:c>
      <x:c r="I6" s="15" t="str">
        <x:v>Context IDs</x:v>
      </x:c>
      <x:c r="J6" s="16" t="str">
        <x:v>Source IDs</x:v>
      </x:c>
    </x:row>
    <x:row r="7" ht="40" customHeight="1">
      <x:c r="A7" s="9" t="str">
        <x:v>IM01</x:v>
      </x:c>
      <x:c r="B7" s="9" t="str">
        <x:v>Regionalism</x:v>
      </x:c>
      <x:c r="C7" s="9" t="str">
        <x:v>Telangana as a political unit</x:v>
      </x:c>
      <x:c r="D7" s="9" t="str">
        <x:v>P2</x:v>
      </x:c>
      <x:c r="E7" s="9" t="str">
        <x:v>Statehood offered a territorial response to grievances about resources, jobs and regional recognition.</x:v>
      </x:c>
      <x:c r="F7" s="9" t="str">
        <x:v>Party formation, movement and statute</x:v>
      </x:c>
      <x:c r="G7" s="20" t="str">
        <x:v>The demand became government-building after June 2014.</x:v>
      </x:c>
      <x:c r="H7" s="9" t="str">
        <x:v>Analysis</x:v>
      </x:c>
      <x:c r="I7" s="9" t="str">
        <x:v>P2-E08; P3-E09</x:v>
      </x:c>
      <x:c r="J7" s="18" t="str">
        <x:v>S005; S006; S007</x:v>
      </x:c>
    </x:row>
    <x:row r="8" ht="40" customHeight="1">
      <x:c r="A8" s="17" t="str">
        <x:v>IM02</x:v>
      </x:c>
      <x:c r="B8" s="17" t="str">
        <x:v>Coalition politics</x:v>
      </x:c>
      <x:c r="C8" s="17" t="str">
        <x:v>Bargaining across parties</x:v>
      </x:c>
      <x:c r="D8" s="17" t="str">
        <x:v>P2</x:v>
      </x:c>
      <x:c r="E8" s="17" t="str">
        <x:v>Worked with Congress in 2004 and later pursued different alliances when statehood was delayed.</x:v>
      </x:c>
      <x:c r="F8" s="17" t="str">
        <x:v>Alliance and resignation chronology</x:v>
      </x:c>
      <x:c r="G8" s="21" t="str">
        <x:v>Regional objective remained more stable than coalition partners. Motives beyond stated demands are interpretive.</x:v>
      </x:c>
      <x:c r="H8" s="17" t="str">
        <x:v>Analysis</x:v>
      </x:c>
      <x:c r="I8" s="17" t="str">
        <x:v>P2-E01</x:v>
      </x:c>
      <x:c r="J8" s="19" t="str">
        <x:v>S006; S009</x:v>
      </x:c>
    </x:row>
    <x:row r="9" ht="40" customHeight="1">
      <x:c r="A9" s="9" t="str">
        <x:v>IM03</x:v>
      </x:c>
      <x:c r="B9" s="9" t="str">
        <x:v>Movement tactics</x:v>
      </x:c>
      <x:c r="C9" s="9" t="str">
        <x:v>Resignation and re-election</x:v>
      </x:c>
      <x:c r="D9" s="9" t="str">
        <x:v>P2</x:v>
      </x:c>
      <x:c r="E9" s="9" t="str">
        <x:v>Used legislative resignation and by-elections to seek renewed mandates.</x:v>
      </x:c>
      <x:c r="F9" s="9" t="str">
        <x:v>2001, 2006 and 2008 contests</x:v>
      </x:c>
      <x:c r="G9" s="20" t="str">
        <x:v>Personal victories could coexist with broader party losses, particularly in 2008.</x:v>
      </x:c>
      <x:c r="H9" s="9" t="str">
        <x:v>Recorded fact / analysis</x:v>
      </x:c>
      <x:c r="I9" s="9" t="str">
        <x:v>P2-E03</x:v>
      </x:c>
      <x:c r="J9" s="18" t="str">
        <x:v>S006; S009</x:v>
      </x:c>
    </x:row>
    <x:row r="10" ht="40" customHeight="1">
      <x:c r="A10" s="17" t="str">
        <x:v>IM04</x:v>
      </x:c>
      <x:c r="B10" s="17" t="str">
        <x:v>Mobilization</x:v>
      </x:c>
      <x:c r="C10" s="17" t="str">
        <x:v>Fast and civil-society pressure</x:v>
      </x:c>
      <x:c r="D10" s="17" t="str">
        <x:v>P2</x:v>
      </x:c>
      <x:c r="E10" s="17" t="str">
        <x:v>His 2009 fast was a consequential intervention within a movement with autonomous organizations.</x:v>
      </x:c>
      <x:c r="F10" s="17" t="str">
        <x:v>Fast, TJAC and protest reporting</x:v>
      </x:c>
      <x:c r="G10" s="21" t="str">
        <x:v>Leadership and movement ownership were contested; Kodandaram, students and artists had agency.</x:v>
      </x:c>
      <x:c r="H10" s="17" t="str">
        <x:v>Analysis</x:v>
      </x:c>
      <x:c r="I10" s="17" t="str">
        <x:v>P2-E07</x:v>
      </x:c>
      <x:c r="J10" s="19" t="str">
        <x:v>S005; S006</x:v>
      </x:c>
    </x:row>
    <x:row r="11" ht="40" customHeight="1">
      <x:c r="A11" s="9" t="str">
        <x:v>IM05</x:v>
      </x:c>
      <x:c r="B11" s="9" t="str">
        <x:v>Communication</x:v>
      </x:c>
      <x:c r="C11" s="9" t="str">
        <x:v>Regional speech and cultural idiom</x:v>
      </x:c>
      <x:c r="D11" s="9" t="str">
        <x:v>P1–P4</x:v>
      </x:c>
      <x:c r="E11" s="9" t="str">
        <x:v>Public speaking drew on Telangana idiom and cultural references; multilingual ability broadened communication.</x:v>
      </x:c>
      <x:c r="F11" s="9" t="str">
        <x:v>Biography and movement accounts</x:v>
      </x:c>
      <x:c r="G11" s="20" t="str">
        <x:v>Oratory mattered alongside organization, elections and policy delivery; not a sufficient cause of success.</x:v>
      </x:c>
      <x:c r="H11" s="9" t="str">
        <x:v>Analysis</x:v>
      </x:c>
      <x:c r="I11" s="9" t="str">
        <x:v>P2-E06</x:v>
      </x:c>
      <x:c r="J11" s="18" t="str">
        <x:v>S001; S005</x:v>
      </x:c>
    </x:row>
    <x:row r="12" ht="40" customHeight="1">
      <x:c r="A12" s="17" t="str">
        <x:v>IM06</x:v>
      </x:c>
      <x:c r="B12" s="17" t="str">
        <x:v>Organization</x:v>
      </x:c>
      <x:c r="C12" s="17" t="str">
        <x:v>Flexible ideological recruitment</x:v>
      </x:c>
      <x:c r="D12" s="17" t="str">
        <x:v>P2</x:v>
      </x:c>
      <x:c r="E12" s="17" t="str">
        <x:v>Movement welcomed supporters from different ideological traditions around statehood.</x:v>
      </x:c>
      <x:c r="F12" s="17" t="str">
        <x:v>KCR’s launch position as reported historically</x:v>
      </x:c>
      <x:c r="G12" s="21" t="str">
        <x:v>Issue-based unity did not eliminate later conflicts over caste, class or party control.</x:v>
      </x:c>
      <x:c r="H12" s="17" t="str">
        <x:v>Attributed position / analysis</x:v>
      </x:c>
      <x:c r="I12" s="17" t="str">
        <x:v>P2-E07; P2-E08</x:v>
      </x:c>
      <x:c r="J12" s="19" t="str">
        <x:v>S005</x:v>
      </x:c>
    </x:row>
    <x:row r="13" ht="40" customHeight="1">
      <x:c r="A13" s="9" t="str">
        <x:v>IM07</x:v>
      </x:c>
      <x:c r="B13" s="9" t="str">
        <x:v>Welfare politics</x:v>
      </x:c>
      <x:c r="C13" s="9" t="str">
        <x:v>Visible cash and household benefits</x:v>
      </x:c>
      <x:c r="D13" s="9" t="str">
        <x:v>P3–P4</x:v>
      </x:c>
      <x:c r="E13" s="9" t="str">
        <x:v>Per-acre farm support, pensions and marriage assistance linked state action to identifiable beneficiaries.</x:v>
      </x:c>
      <x:c r="F13" s="9" t="str">
        <x:v>Programme designs</x:v>
      </x:c>
      <x:c r="G13" s="20" t="str">
        <x:v>Electoral endorsement in 2018 did not guarantee renewed consent in 2023.</x:v>
      </x:c>
      <x:c r="H13" s="9" t="str">
        <x:v>Analysis</x:v>
      </x:c>
      <x:c r="I13" s="9" t="str">
        <x:v>P3-E04; P4-E08</x:v>
      </x:c>
      <x:c r="J13" s="18" t="str">
        <x:v>S021; S023; S026; S014</x:v>
      </x:c>
    </x:row>
    <x:row r="14" ht="40" customHeight="1">
      <x:c r="A14" s="17" t="str">
        <x:v>IM08</x:v>
      </x:c>
      <x:c r="B14" s="17" t="str">
        <x:v>Development</x:v>
      </x:c>
      <x:c r="C14" s="17" t="str">
        <x:v>Transfers alongside large infrastructure</x:v>
      </x:c>
      <x:c r="D14" s="17" t="str">
        <x:v>P3–P4</x:v>
      </x:c>
      <x:c r="E14" s="17" t="str">
        <x:v>Combined household support with irrigation and investment facilitation.</x:v>
      </x:c>
      <x:c r="F14" s="17" t="str">
        <x:v>Rythu Bandhu, Kaleshwaram, TS-iPASS</x:v>
      </x:c>
      <x:c r="G14" s="21" t="str">
        <x:v>Distribution, operating costs and debt complicate a simple welfare-versus-growth label.</x:v>
      </x:c>
      <x:c r="H14" s="17" t="str">
        <x:v>Analysis</x:v>
      </x:c>
      <x:c r="I14" s="17" t="str">
        <x:v>P4-E04</x:v>
      </x:c>
      <x:c r="J14" s="19" t="str">
        <x:v>S018; S021; S034; S035</x:v>
      </x:c>
    </x:row>
    <x:row r="15" ht="40" customHeight="1">
      <x:c r="A15" s="9" t="str">
        <x:v>IM09</x:v>
      </x:c>
      <x:c r="B15" s="9" t="str">
        <x:v>Leadership</x:v>
      </x:c>
      <x:c r="C15" s="9" t="str">
        <x:v>Concentration of decisions</x:v>
      </x:c>
      <x:c r="D15" s="9" t="str">
        <x:v>P3–P4</x:v>
      </x:c>
      <x:c r="E15" s="9" t="str">
        <x:v>Journalistic accounts describe restricted access and centralized candidate decisions; supporters emphasized decisive leadership.</x:v>
      </x:c>
      <x:c r="F15" s="9" t="str">
        <x:v>Post-election reporting; appointment pattern</x:v>
      </x:c>
      <x:c r="G15" s="20" t="str">
        <x:v>These accounts suggest accountability risks but do not quantify the effect of centralization alone.</x:v>
      </x:c>
      <x:c r="H15" s="9" t="str">
        <x:v>Attributed assessment / analysis</x:v>
      </x:c>
      <x:c r="I15" s="9" t="str">
        <x:v>P4-E07</x:v>
      </x:c>
      <x:c r="J15" s="18" t="str">
        <x:v>S033; S014; S028</x:v>
      </x:c>
    </x:row>
    <x:row r="16" ht="40" customHeight="1">
      <x:c r="A16" s="17" t="str">
        <x:v>IM10</x:v>
      </x:c>
      <x:c r="B16" s="17" t="str">
        <x:v>Family and succession</x:v>
      </x:c>
      <x:c r="C16" s="17" t="str">
        <x:v>KTR, Harish Rao and Kavitha</x:v>
      </x:c>
      <x:c r="D16" s="17" t="str">
        <x:v>P3–P5</x:v>
      </x:c>
      <x:c r="E16" s="17" t="str">
        <x:v>Son and nephew held major ministries; daughter developed her own political role and later broke away.</x:v>
      </x:c>
      <x:c r="F16" s="17" t="str">
        <x:v>Appointments and 2026 party conflict</x:v>
      </x:c>
      <x:c r="G16" s="21" t="str">
        <x:v>Family connection can provide access without guaranteeing loyalty or a settled succession.</x:v>
      </x:c>
      <x:c r="H16" s="17" t="str">
        <x:v>Recorded fact / analysis</x:v>
      </x:c>
      <x:c r="I16" s="17" t="str">
        <x:v>P4-G03; P5-G03</x:v>
      </x:c>
      <x:c r="J16" s="19" t="str">
        <x:v>S028; S041; S042</x:v>
      </x:c>
    </x:row>
    <x:row r="17" ht="40" customHeight="1">
      <x:c r="A17" s="9" t="str">
        <x:v>IM11</x:v>
      </x:c>
      <x:c r="B17" s="9" t="str">
        <x:v>Representation</x:v>
      </x:c>
      <x:c r="C17" s="9" t="str">
        <x:v>Cultural inclusion versus executive access</x:v>
      </x:c>
      <x:c r="D17" s="9" t="str">
        <x:v>P2–P4</x:v>
      </x:c>
      <x:c r="E17" s="9" t="str">
        <x:v>Women participated in cultural mobilization; executive representation under KCR lagged until 2019 appointments.</x:v>
      </x:c>
      <x:c r="F17" s="9" t="str">
        <x:v>Movement record and cabinet changes</x:v>
      </x:c>
      <x:c r="G17" s="20" t="str">
        <x:v>Participation in a movement is distinct from power in the government it helps create.</x:v>
      </x:c>
      <x:c r="H17" s="9" t="str">
        <x:v>Analysis</x:v>
      </x:c>
      <x:c r="I17" s="9" t="str">
        <x:v>P2-G09; P3-G04; P4-G09</x:v>
      </x:c>
      <x:c r="J17" s="18" t="str">
        <x:v>S005; S028; S029; S030</x:v>
      </x:c>
    </x:row>
    <x:row r="18" ht="40" customHeight="1">
      <x:c r="A18" s="17" t="str">
        <x:v>IM12</x:v>
      </x:c>
      <x:c r="B18" s="17" t="str">
        <x:v>National ambition</x:v>
      </x:c>
      <x:c r="C18" s="17" t="str">
        <x:v>TRS to BRS</x:v>
      </x:c>
      <x:c r="D18" s="17" t="str">
        <x:v>P4–P5</x:v>
      </x:c>
      <x:c r="E18" s="17" t="str">
        <x:v>Renaming signaled a wider political project built on the Telangana governance pitch.</x:v>
      </x:c>
      <x:c r="F18" s="17" t="str">
        <x:v>Party resolution and ECI acceptance</x:v>
      </x:c>
      <x:c r="G18" s="21" t="str">
        <x:v>2023 Assembly and 2024 parliamentary defeats sharply reduced the platform; eventual trajectory remains open.</x:v>
      </x:c>
      <x:c r="H18" s="17" t="str">
        <x:v>Analysis</x:v>
      </x:c>
      <x:c r="I18" s="17" t="str">
        <x:v>P4-E01; P5-E01</x:v>
      </x:c>
      <x:c r="J18" s="19" t="str">
        <x:v>S017; S015; S016</x:v>
      </x:c>
    </x:row>
    <x:row r="19" ht="40" customHeight="1">
      <x:c r="A19" s="9" t="str">
        <x:v>IM13</x:v>
      </x:c>
      <x:c r="B19" s="9" t="str">
        <x:v>Opposition politics</x:v>
      </x:c>
      <x:c r="C19" s="9" t="str">
        <x:v>Defense of the governing legacy</x:v>
      </x:c>
      <x:c r="D19" s="9" t="str">
        <x:v>P5</x:v>
      </x:c>
      <x:c r="E19" s="9" t="str">
        <x:v>KCR publicly predicted a BRS revival after losses; legal challenges contested adverse inquiry procedures.</x:v>
      </x:c>
      <x:c r="F19" s="9" t="str">
        <x:v>Party speech and court challenge</x:v>
      </x:c>
      <x:c r="G19" s="20" t="str">
        <x:v>A party forecast is not evidence of an actual recovery; procedural litigation has a defined scope.</x:v>
      </x:c>
      <x:c r="H19" s="9" t="str">
        <x:v>Attributed position / analysis</x:v>
      </x:c>
      <x:c r="I19" s="9" t="str">
        <x:v>P5-E02; P5-E07</x:v>
      </x:c>
      <x:c r="J19" s="18" t="str">
        <x:v>S046; S036</x:v>
      </x:c>
    </x:row>
    <x:row r="20" ht="40" customHeight="1">
      <x:c r="A20" s="17" t="str">
        <x:v>IM14</x:v>
      </x:c>
      <x:c r="B20" s="17" t="str">
        <x:v>Social coalition</x:v>
      </x:c>
      <x:c r="C20" s="17" t="str">
        <x:v>Dalit outreach and promises</x:v>
      </x:c>
      <x:c r="D20" s="17" t="str">
        <x:v>P3–P4</x:v>
      </x:c>
      <x:c r="E20" s="17" t="str">
        <x:v>Large assistance designs coexisted with criticism of unfulfilled political-representation and land promises.</x:v>
      </x:c>
      <x:c r="F20" s="17" t="str">
        <x:v>Policy and reported community criticism</x:v>
      </x:c>
      <x:c r="G20" s="21" t="str">
        <x:v>Do not treat Dalit voters, beneficiaries or activists as a uniform constituency.</x:v>
      </x:c>
      <x:c r="H20" s="17" t="str">
        <x:v>Analysis</x:v>
      </x:c>
      <x:c r="I20" s="17" t="str">
        <x:v>P4-E08; P3-G09</x:v>
      </x:c>
      <x:c r="J20" s="19" t="str">
        <x:v>S031; S032</x:v>
      </x:c>
    </x:row>
  </x:sheetData>
  <x:pageMargins left="0.7" right="0.7" top="0.75" bottom="0.75" header="0.3" footer="0.3"/>
  <x:tableParts count="1">
    <x:tablePart xmlns:r="http://schemas.openxmlformats.org/officeDocument/2006/relationships" r:id="Ra55026cf432e41f3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35" hidden="0" customWidth="1"/>
    <x:col min="3" max="3" width="25" hidden="0" customWidth="1"/>
    <x:col min="4" max="4" width="61" hidden="0" customWidth="1"/>
    <x:col min="5" max="5" width="44" hidden="0" customWidth="1"/>
    <x:col min="6" max="6" width="60" hidden="0" customWidth="1"/>
    <x:col min="7" max="7" width="30" hidden="0" customWidth="1"/>
    <x:col min="8" max="8" width="67" hidden="0" customWidth="1"/>
    <x:col min="9" max="9" width="67" hidden="0" customWidth="1"/>
    <x:col min="10" max="10" width="60" hidden="0" customWidth="1"/>
    <x:col min="11" max="11" width="28" hidden="0" customWidth="1"/>
    <x:col min="12" max="12" width="14" hidden="0" customWidth="1"/>
    <x:col min="13" max="13" width="28" hidden="0" customWidth="1"/>
    <x:col min="14" max="14" width="28" hidden="0" customWidth="1"/>
  </x:cols>
  <x:sheetData>
    <x:row r="1" ht="12" customHeight="1"/>
    <x:row r="2" ht="25" customHeight="1">
      <x:c r="A2" s="2" t="str">
        <x:v>Controversies and accountability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 ht="22" customHeight="1">
      <x:c r="A4" s="5" t="str">
        <x:v>Allegation, audit, inquiry, investigation and adjudication are separate stages. Each row states its latest verified procedural position.</x:v>
      </x:c>
    </x:row>
    <x:row r="5" ht="8" customHeight="1"/>
    <x:row r="6" ht="38" customHeight="1">
      <x:c r="A6" s="14" t="str">
        <x:v>Matter ID</x:v>
      </x:c>
      <x:c r="B6" s="15" t="str">
        <x:v>Matter</x:v>
      </x:c>
      <x:c r="C6" s="15" t="str">
        <x:v>Period</x:v>
      </x:c>
      <x:c r="D6" s="15" t="str">
        <x:v>Allegation / criticism</x:v>
      </x:c>
      <x:c r="E6" s="15" t="str">
        <x:v>Claimant / reviewer</x:v>
      </x:c>
      <x:c r="F6" s="15" t="str">
        <x:v>Response</x:v>
      </x:c>
      <x:c r="G6" s="15" t="str">
        <x:v>Forum</x:v>
      </x:c>
      <x:c r="H6" s="15" t="str">
        <x:v>Latest verified status</x:v>
      </x:c>
      <x:c r="I6" s="15" t="str">
        <x:v>Finding / disposition / limit</x:v>
      </x:c>
      <x:c r="J6" s="15" t="str">
        <x:v>Consequence / open question</x:v>
      </x:c>
      <x:c r="K6" s="15" t="str">
        <x:v>Claim type</x:v>
      </x:c>
      <x:c r="L6" s="15" t="str">
        <x:v>Phase</x:v>
      </x:c>
      <x:c r="M6" s="15" t="str">
        <x:v>Context IDs</x:v>
      </x:c>
      <x:c r="N6" s="16" t="str">
        <x:v>Source IDs</x:v>
      </x:c>
    </x:row>
    <x:row r="7" ht="40" customHeight="1">
      <x:c r="A7" s="9" t="str">
        <x:v>C01</x:v>
      </x:c>
      <x:c r="B7" s="9" t="str">
        <x:v>Kaleshwaram planning and economic appraisal</x:v>
      </x:c>
      <x:c r="C7" s="9" t="str">
        <x:v>2016–2024</x:v>
      </x:c>
      <x:c r="D7" s="9" t="str">
        <x:v>Audit criticism of design, costs, financing and expected benefits.</x:v>
      </x:c>
      <x:c r="E7" s="9" t="str">
        <x:v>CAG performance audit</x:v>
      </x:c>
      <x:c r="F7" s="9" t="str">
        <x:v>Department’s DPR claimed a higher benefit-cost ratio; the audit challenged assumptions.</x:v>
      </x:c>
      <x:c r="G7" s="9" t="str">
        <x:v>CAG / legislature</x:v>
      </x:c>
      <x:c r="H7" s="9" t="str">
        <x:v>Report tabled 15 February 2024; audit measures mostly through March 2022.</x:v>
      </x:c>
      <x:c r="I7" s="9" t="str">
        <x:v>Audit findings concern public spending and appraisal; they are not a personal criminal conviction.</x:v>
      </x:c>
      <x:c r="J7" s="9" t="str">
        <x:v>Policy and fiscal accountability; court relief in C02 concerns a different inquiry.</x:v>
      </x:c>
      <x:c r="K7" s="9" t="str">
        <x:v>Recorded audit / disputed appraisal</x:v>
      </x:c>
      <x:c r="L7" s="9" t="str">
        <x:v>P3–P5</x:v>
      </x:c>
      <x:c r="M7" s="9" t="str">
        <x:v>P4-E04</x:v>
      </x:c>
      <x:c r="N7" s="18" t="str">
        <x:v>S018; S019</x:v>
      </x:c>
    </x:row>
    <x:row r="8" ht="54" customHeight="1">
      <x:c r="A8" s="17" t="str">
        <x:v>C02</x:v>
      </x:c>
      <x:c r="B8" s="17" t="str">
        <x:v>PC Ghose commission adverse findings</x:v>
      </x:c>
      <x:c r="C8" s="17" t="str">
        <x:v>2024–2026</x:v>
      </x:c>
      <x:c r="D8" s="17" t="str">
        <x:v>Commission examined alleged Kaleshwaram irregularities; adverse findings challenged by KCR and others.</x:v>
      </x:c>
      <x:c r="E8" s="17" t="str">
        <x:v>State-appointed commission; petitioners in High Court</x:v>
      </x:c>
      <x:c r="F8" s="17" t="str">
        <x:v>Petitioners argued that required notice and opportunity to defend were denied.</x:v>
      </x:c>
      <x:c r="G8" s="17" t="str">
        <x:v>Telangana High Court</x:v>
      </x:c>
      <x:c r="H8" s="17" t="str">
        <x:v>22 April 2026 ruling, as reported: commission constitution valid; adverse findings against petitioners inoperative for natural-justice defects.</x:v>
      </x:c>
      <x:c r="I8" s="17" t="str">
        <x:v>No action may rest on those adverse findings as reported; this is procedural relief, not a merits acquittal of all project conduct.</x:v>
      </x:c>
      <x:c r="J8" s="17" t="str">
        <x:v>Government had referred matter to CBI in September 2025. Later investigation/appeal disposition not verified.</x:v>
      </x:c>
      <x:c r="K8" s="17" t="str">
        <x:v>Reported court disposition</x:v>
      </x:c>
      <x:c r="L8" s="17" t="str">
        <x:v>P5</x:v>
      </x:c>
      <x:c r="M8" s="17" t="str">
        <x:v>P5-E02</x:v>
      </x:c>
      <x:c r="N8" s="19" t="str">
        <x:v>S036; S037</x:v>
      </x:c>
    </x:row>
    <x:row r="9" ht="40" customHeight="1">
      <x:c r="A9" s="9" t="str">
        <x:v>C03</x:v>
      </x:c>
      <x:c r="B9" s="9" t="str">
        <x:v>Alleged unlawful phone interception</x:v>
      </x:c>
      <x:c r="C9" s="9" t="str">
        <x:v>BRS tenure; investigation 2024–2026</x:v>
      </x:c>
      <x:c r="D9" s="9" t="str">
        <x:v>Investigators alleged misuse of intelligence systems for surveillance of political and other targets.</x:v>
      </x:c>
      <x:c r="E9" s="9" t="str">
        <x:v>SIT / investigating police; claims attributed to investigators</x:v>
      </x:c>
      <x:c r="F9" s="9" t="str">
        <x:v>KCR reportedly denied knowing of illegal tapping; he disputed aspects of service and venue but appeared for examination.</x:v>
      </x:c>
      <x:c r="G9" s="9" t="str">
        <x:v>Police SIT</x:v>
      </x:c>
      <x:c r="H9" s="9" t="str">
        <x:v>Questioned 1 February 2026. Subsequent reported questioning details published 2–3 February.</x:v>
      </x:c>
      <x:c r="I9" s="9" t="str">
        <x:v>No verified conviction, final adjudication or specific later charge against KCR is established by these sources.</x:v>
      </x:c>
      <x:c r="J9" s="9" t="str">
        <x:v>Responsibility of named police accused and KCR’s own procedural position must remain separate.</x:v>
      </x:c>
      <x:c r="K9" s="9" t="str">
        <x:v>Allegation and procedural fact</x:v>
      </x:c>
      <x:c r="L9" s="9" t="str">
        <x:v>P4–P5</x:v>
      </x:c>
      <x:c r="M9" s="9" t="str">
        <x:v>P5-E02</x:v>
      </x:c>
      <x:c r="N9" s="18" t="str">
        <x:v>S038; S039; S040</x:v>
      </x:c>
    </x:row>
    <x:row r="10" ht="54" customHeight="1">
      <x:c r="A10" s="17" t="str">
        <x:v>C04</x:v>
      </x:c>
      <x:c r="B10" s="17" t="str">
        <x:v>Exclusion of women from the cabinet</x:v>
      </x:c>
      <x:c r="C10" s="17" t="str">
        <x:v>2014–2019</x:v>
      </x:c>
      <x:c r="D10" s="17" t="str">
        <x:v>Critics challenged the lack of women in the first KCR cabinet and initial second-term appointments.</x:v>
      </x:c>
      <x:c r="E10" s="17" t="str">
        <x:v>V. Eswaraiah; gender-focused commentators</x:v>
      </x:c>
      <x:c r="F10" s="17" t="str">
        <x:v>Government later inducted Sabitha Indra Reddy and Satyavati Rathod in September 2019; specific rebuttal to criticism not located.</x:v>
      </x:c>
      <x:c r="G10" s="17" t="str">
        <x:v>Political / public debate</x:v>
      </x:c>
      <x:c r="H10" s="17" t="str">
        <x:v>Two women joined on 8 September 2019.</x:v>
      </x:c>
      <x:c r="I10" s="17" t="str">
        <x:v>Absence and later inclusion are observable appointment facts; individual appointment motives are not established.</x:v>
      </x:c>
      <x:c r="J10" s="17" t="str">
        <x:v>Symbolic and descriptive representation improved, without proof of parity or equal influence.</x:v>
      </x:c>
      <x:c r="K10" s="17" t="str">
        <x:v>Recorded fact / attributed criticism</x:v>
      </x:c>
      <x:c r="L10" s="17" t="str">
        <x:v>P3–P4</x:v>
      </x:c>
      <x:c r="M10" s="17" t="str">
        <x:v>P3-G04; P4-G04</x:v>
      </x:c>
      <x:c r="N10" s="19" t="str">
        <x:v>S028; S029; S030</x:v>
      </x:c>
    </x:row>
    <x:row r="11" ht="40" customHeight="1">
      <x:c r="A11" s="9" t="str">
        <x:v>C05</x:v>
      </x:c>
      <x:c r="B11" s="9" t="str">
        <x:v>Dalit promises and beneficiary selection</x:v>
      </x:c>
      <x:c r="C11" s="9" t="str">
        <x:v>2014–2023</x:v>
      </x:c>
      <x:c r="D11" s="9" t="str">
        <x:v>Activists criticized the unfulfilled first-Dalit-CM promise, restricted land distribution and alleged favoritism in assistance.</x:v>
      </x:c>
      <x:c r="E11" s="9" t="str">
        <x:v>Dalit activists and Forum for Good Governance, as reported</x:v>
      </x:c>
      <x:c r="F11" s="9" t="str">
        <x:v>KCR defended Dalit Bandhu; officials cited rising land costs. He reportedly warned MLAs against commissions.</x:v>
      </x:c>
      <x:c r="G11" s="9" t="str">
        <x:v>Political debate; reported judicial scrutiny of selection</x:v>
      </x:c>
      <x:c r="H11" s="9" t="str">
        <x:v>Coverage and complaints reported November 2023; alleged payments not adjudicated here.</x:v>
      </x:c>
      <x:c r="I11" s="9" t="str">
        <x:v>Administrative reach was partial. Allegations against local actors do not establish personal criminal guilt by KCR.</x:v>
      </x:c>
      <x:c r="J11" s="9" t="str">
        <x:v>Important distributional and representational criticism; benefit recipients and non-recipients may assess differently.</x:v>
      </x:c>
      <x:c r="K11" s="9" t="str">
        <x:v>Attributed criticism / reported data</x:v>
      </x:c>
      <x:c r="L11" s="9" t="str">
        <x:v>P3–P4</x:v>
      </x:c>
      <x:c r="M11" s="9" t="str">
        <x:v>P4-E08</x:v>
      </x:c>
      <x:c r="N11" s="18" t="str">
        <x:v>S031; S032; S014</x:v>
      </x:c>
    </x:row>
    <x:row r="12" ht="54" customHeight="1">
      <x:c r="A12" s="17" t="str">
        <x:v>C06</x:v>
      </x:c>
      <x:c r="B12" s="17" t="str">
        <x:v>Recruitment exam leaks and cancellations</x:v>
      </x:c>
      <x:c r="C12" s="17" t="str">
        <x:v>2023</x:v>
      </x:c>
      <x:c r="D12" s="17" t="str">
        <x:v>TSPSC paper leaks and exam disruption generated criticism of public recruitment administration.</x:v>
      </x:c>
      <x:c r="E12" s="17" t="str">
        <x:v>Job aspirants and opposition; reporting by The Federal and TNM/NL</x:v>
      </x:c>
      <x:c r="F12" s="17" t="str">
        <x:v>A specific KCR response to each allegation was not retrieved.</x:v>
      </x:c>
      <x:c r="G12" s="17" t="str">
        <x:v>Recruitment commission / investigation; political accountability</x:v>
      </x:c>
      <x:c r="H12" s="17" t="str">
        <x:v>2023 disruptions verified in reporting; this row does not assert a later criminal disposition.</x:v>
      </x:c>
      <x:c r="I12" s="17" t="str">
        <x:v>Government accountability is distinct from an allegation that KCR personally caused the leaks.</x:v>
      </x:c>
      <x:c r="J12" s="17" t="str">
        <x:v>Contributed to reported youth discontent; exact electoral impact cannot be isolated.</x:v>
      </x:c>
      <x:c r="K12" s="17" t="str">
        <x:v>Recorded disruption / attributed criticism</x:v>
      </x:c>
      <x:c r="L12" s="17" t="str">
        <x:v>P4</x:v>
      </x:c>
      <x:c r="M12" s="17" t="str">
        <x:v>P4-E02</x:v>
      </x:c>
      <x:c r="N12" s="19" t="str">
        <x:v>S045; S033</x:v>
      </x:c>
    </x:row>
    <x:row r="13" ht="40" customHeight="1">
      <x:c r="A13" s="9" t="str">
        <x:v>C07</x:v>
      </x:c>
      <x:c r="B13" s="9" t="str">
        <x:v>Centralized access and family concentration</x:v>
      </x:c>
      <x:c r="C13" s="9" t="str">
        <x:v>2014–2023</x:v>
      </x:c>
      <x:c r="D13" s="9" t="str">
        <x:v>Critics described inaccessible leadership and substantial concentration of governmental influence in relatives.</x:v>
      </x:c>
      <x:c r="E13" s="9" t="str">
        <x:v>Interviewed political observers, former party figures and voters</x:v>
      </x:c>
      <x:c r="F13" s="9" t="str">
        <x:v>BRS campaign emphasized development and welfare; specific rebuttal to each access claim not found.</x:v>
      </x:c>
      <x:c r="G13" s="9" t="str">
        <x:v>Public and electoral debate</x:v>
      </x:c>
      <x:c r="H13" s="9" t="str">
        <x:v>Post-election assessments published December 2023.</x:v>
      </x:c>
      <x:c r="I13" s="9" t="str">
        <x:v>KTR and Harish appointments are recorded; claims about access and why voters changed are interpretive.</x:v>
      </x:c>
      <x:c r="J13" s="9" t="str">
        <x:v>Personalized authority can connect credit and blame to the leader; no single-cause defeat conclusion.</x:v>
      </x:c>
      <x:c r="K13" s="9" t="str">
        <x:v>Attributed assessment / analysis</x:v>
      </x:c>
      <x:c r="L13" s="9" t="str">
        <x:v>P3–P4</x:v>
      </x:c>
      <x:c r="M13" s="9" t="str">
        <x:v>P4-E07; P4-G03</x:v>
      </x:c>
      <x:c r="N13" s="18" t="str">
        <x:v>S028; S033; S014</x:v>
      </x:c>
    </x:row>
    <x:row r="14" ht="40" customHeight="1">
      <x:c r="A14" s="17" t="str">
        <x:v>C08</x:v>
      </x:c>
      <x:c r="B14" s="17" t="str">
        <x:v>Kavitha’s break with BRS</x:v>
      </x:c>
      <x:c r="C14" s="17" t="str">
        <x:v>2025–2026</x:v>
      </x:c>
      <x:c r="D14" s="17" t="str">
        <x:v>Suspension followed by separate-party launch and criticism of KCR’s leadership and family network.</x:v>
      </x:c>
      <x:c r="E14" s="17" t="str">
        <x:v>Kavitha; BRS disciplinary action as reported</x:v>
      </x:c>
      <x:c r="F14" s="17" t="str">
        <x:v>BRS framed suspension as anti-party discipline; Kavitha challenged its leadership.</x:v>
      </x:c>
      <x:c r="G14" s="17" t="str">
        <x:v>Party organization; ECI on name</x:v>
      </x:c>
      <x:c r="H14" s="17" t="str">
        <x:v>New party launch 25 April 2026; naming notice reported July 2026.</x:v>
      </x:c>
      <x:c r="I14" s="17" t="str">
        <x:v>A launch and naming process do not prove final ECI recognition or the truth of every family allegation.</x:v>
      </x:c>
      <x:c r="J14" s="17" t="str">
        <x:v>Succession and organizational unity became publicly contested.</x:v>
      </x:c>
      <x:c r="K14" s="17" t="str">
        <x:v>Reported fact / competing positions</x:v>
      </x:c>
      <x:c r="L14" s="17" t="str">
        <x:v>P5</x:v>
      </x:c>
      <x:c r="M14" s="17" t="str">
        <x:v>P5-G03</x:v>
      </x:c>
      <x:c r="N14" s="19" t="str">
        <x:v>S041; S042</x:v>
      </x:c>
    </x:row>
    <x:row r="15" ht="40" customHeight="1">
      <x:c r="A15" s="9" t="str">
        <x:v>C09</x:v>
      </x:c>
      <x:c r="B15" s="9" t="str">
        <x:v>Alleged ritual following a Dalit protest</x:v>
      </x:c>
      <x:c r="C15" s="9" t="str">
        <x:v>September 2026</x:v>
      </x:c>
      <x:c r="D15" s="9" t="str">
        <x:v>Reporting described an alleged purification ritual by supporters after a Dalit-led protest near KCR’s farmhouse.</x:v>
      </x:c>
      <x:c r="E15" s="9" t="str">
        <x:v>Congress criticism and police action as reported</x:v>
      </x:c>
      <x:c r="F15" s="9" t="str">
        <x:v>BRS denied the alleged event/video authenticity and described footage as AI-generated.</x:v>
      </x:c>
      <x:c r="G15" s="9" t="str">
        <x:v>Assembly / police</x:v>
      </x:c>
      <x:c r="H15" s="9" t="str">
        <x:v>Assembly suspensions reported 10 September; three police cases reported 11 September 2026.</x:v>
      </x:c>
      <x:c r="I15" s="9" t="str">
        <x:v>No judicial finding on authenticity or personal culpability of KCR verified. Same-publisher reporting is not independent corroboration.</x:v>
      </x:c>
      <x:c r="J15" s="9" t="str">
        <x:v>An active caste-representation dispute; keep allegation, party denial and institutional actions distinct.</x:v>
      </x:c>
      <x:c r="K15" s="9" t="str">
        <x:v>Disputed / uncertain</x:v>
      </x:c>
      <x:c r="L15" s="9" t="str">
        <x:v>P5</x:v>
      </x:c>
      <x:c r="M15" s="9" t="str">
        <x:v>P5-E08</x:v>
      </x:c>
      <x:c r="N15" s="18" t="str">
        <x:v>S043; S044</x:v>
      </x:c>
    </x:row>
    <x:row r="16" ht="40" customHeight="1">
      <x:c r="A16" s="17" t="str">
        <x:v>C10</x:v>
      </x:c>
      <x:c r="B16" s="17" t="str">
        <x:v>Affidavit cases and wealth declarations</x:v>
      </x:c>
      <x:c r="C16" s="17" t="str">
        <x:v>2023 declaration</x:v>
      </x:c>
      <x:c r="D16" s="17" t="str">
        <x:v>Affidavit transcript lists nine criminal cases and declared financial amounts.</x:v>
      </x:c>
      <x:c r="E16" s="17" t="str">
        <x:v>Candidate disclosure through ADR</x:v>
      </x:c>
      <x:c r="F16" s="17" t="str">
        <x:v>The declaration itself is the source; no separate merits response needed to list the disclosure.</x:v>
      </x:c>
      <x:c r="G16" s="17" t="str">
        <x:v>Election affidavit / separate courts for each case</x:v>
      </x:c>
      <x:c r="H16" s="17" t="str">
        <x:v>2023 snapshot only: assets Rs 589,331,800; liabilities Rs 245,113,631; nine declared cases.</x:v>
      </x:c>
      <x:c r="I16" s="17" t="str">
        <x:v>Case count does not identify convictions or current cases; declared wealth is not proof of unlawful enrichment.</x:v>
      </x:c>
      <x:c r="J16" s="17" t="str">
        <x:v>Detailed case-by-case adjudication was outside verified coverage; do not compare raw counts across years as guilt.</x:v>
      </x:c>
      <x:c r="K16" s="17" t="str">
        <x:v>Recorded declaration</x:v>
      </x:c>
      <x:c r="L16" s="17" t="str">
        <x:v>P4</x:v>
      </x:c>
      <x:c r="M16" s="17" t="str">
        <x:v>P4-E10</x:v>
      </x:c>
      <x:c r="N16" s="19" t="str">
        <x:v>S002</x:v>
      </x:c>
    </x:row>
  </x:sheetData>
  <x:pageMargins left="0.7" right="0.7" top="0.75" bottom="0.75" header="0.3" footer="0.3"/>
  <x:tableParts count="1">
    <x:tablePart xmlns:r="http://schemas.openxmlformats.org/officeDocument/2006/relationships" r:id="R6af5d58833ee45c6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6" hidden="0" customWidth="1"/>
    <x:col min="2" max="2" width="34" hidden="0" customWidth="1"/>
    <x:col min="3" max="3" width="23" hidden="0" customWidth="1"/>
    <x:col min="4" max="4" width="63" hidden="0" customWidth="1"/>
    <x:col min="5" max="5" width="36" hidden="0" customWidth="1"/>
    <x:col min="6" max="6" width="51" hidden="0" customWidth="1"/>
    <x:col min="7" max="7" width="55" hidden="0" customWidth="1"/>
    <x:col min="8" max="8" width="60" hidden="0" customWidth="1"/>
    <x:col min="9" max="9" width="58" hidden="0" customWidth="1"/>
    <x:col min="10" max="10" width="14" hidden="0" customWidth="1"/>
    <x:col min="11" max="11" width="30" hidden="0" customWidth="1"/>
    <x:col min="12" max="12" width="27" hidden="0" customWidth="1"/>
  </x:cols>
  <x:sheetData>
    <x:row r="1" ht="12" customHeight="1"/>
    <x:row r="2" ht="25" customHeight="1">
      <x:c r="A2" s="2" t="str">
        <x:v>Legacy and assessments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 ht="22" customHeight="1">
      <x:c r="A4" s="5" t="str">
        <x:v>Assessments identify the standpoint, evidence and competing interpretation; the record of a living political figure remains open.</x:v>
      </x:c>
    </x:row>
    <x:row r="5" ht="8" customHeight="1"/>
    <x:row r="6" ht="38" customHeight="1">
      <x:c r="A6" s="14" t="str">
        <x:v>Assessment ID</x:v>
      </x:c>
      <x:c r="B6" s="15" t="str">
        <x:v>Theme</x:v>
      </x:c>
      <x:c r="C6" s="15" t="str">
        <x:v>Period assessed</x:v>
      </x:c>
      <x:c r="D6" s="15" t="str">
        <x:v>Assessment</x:v>
      </x:c>
      <x:c r="E6" s="15" t="str">
        <x:v>Assessor / standpoint</x:v>
      </x:c>
      <x:c r="F6" s="15" t="str">
        <x:v>Evidence basis</x:v>
      </x:c>
      <x:c r="G6" s="15" t="str">
        <x:v>Supporting view</x:v>
      </x:c>
      <x:c r="H6" s="15" t="str">
        <x:v>Competing view</x:v>
      </x:c>
      <x:c r="I6" s="15" t="str">
        <x:v>Consensus / dispute / limit</x:v>
      </x:c>
      <x:c r="J6" s="15" t="str">
        <x:v>Phase</x:v>
      </x:c>
      <x:c r="K6" s="15" t="str">
        <x:v>Context IDs</x:v>
      </x:c>
      <x:c r="L6" s="16" t="str">
        <x:v>Source IDs</x:v>
      </x:c>
    </x:row>
    <x:row r="7" ht="40" customHeight="1">
      <x:c r="A7" s="9" t="str">
        <x:v>LA01</x:v>
      </x:c>
      <x:c r="B7" s="9" t="str">
        <x:v>Statehood organizer</x:v>
      </x:c>
      <x:c r="C7" s="9" t="str">
        <x:v>2001–2014</x:v>
      </x:c>
      <x:c r="D7" s="9" t="str">
        <x:v>A central organizer and electoral entrepreneur of statehood, within a movement with multiple centers of leadership.</x:v>
      </x:c>
      <x:c r="E7" s="9" t="str">
        <x:v>Workbook synthesis</x:v>
      </x:c>
      <x:c r="F7" s="9" t="str">
        <x:v>Party chronology, historical reporting and statute</x:v>
      </x:c>
      <x:c r="G7" s="9" t="str">
        <x:v>Party account emphasizes KCR’s leadership.</x:v>
      </x:c>
      <x:c r="H7" s="9" t="str">
        <x:v>TJAC, intellectuals, employees, students, artists and Union institutions prevent exclusive credit.</x:v>
      </x:c>
      <x:c r="I7" s="9" t="str">
        <x:v>Substantial leadership contribution; exact shares of causation cannot be measured.</x:v>
      </x:c>
      <x:c r="J7" s="9" t="str">
        <x:v>P2</x:v>
      </x:c>
      <x:c r="K7" s="9" t="str">
        <x:v>P2-E07; P2-E02</x:v>
      </x:c>
      <x:c r="L7" s="18" t="str">
        <x:v>S005; S006; S007</x:v>
      </x:c>
    </x:row>
    <x:row r="8" ht="40" customHeight="1">
      <x:c r="A8" s="17" t="str">
        <x:v>LA02</x:v>
      </x:c>
      <x:c r="B8" s="17" t="str">
        <x:v>Founding chief minister</x:v>
      </x:c>
      <x:c r="C8" s="17" t="str">
        <x:v>2014–2023</x:v>
      </x:c>
      <x:c r="D8" s="17" t="str">
        <x:v>His administration established many of Telangana’s first government programmes and governing conventions.</x:v>
      </x:c>
      <x:c r="E8" s="17" t="str">
        <x:v>Workbook synthesis</x:v>
      </x:c>
      <x:c r="F8" s="17" t="str">
        <x:v>Office record and programme designs</x:v>
      </x:c>
      <x:c r="G8" s="17" t="str">
        <x:v>Supporters associate him with state identity and a visible welfare state.</x:v>
      </x:c>
      <x:c r="H8" s="17" t="str">
        <x:v>Inherited administration and Hyderabad economy complicate claims of creation from nothing.</x:v>
      </x:c>
      <x:c r="I8" s="17" t="str">
        <x:v>Durable institutional importance; performance differs across domains.</x:v>
      </x:c>
      <x:c r="J8" s="17" t="str">
        <x:v>P3–P4</x:v>
      </x:c>
      <x:c r="K8" s="17" t="str">
        <x:v>P3-E09</x:v>
      </x:c>
      <x:c r="L8" s="19" t="str">
        <x:v>S001; S020; S023; S025; S035</x:v>
      </x:c>
    </x:row>
    <x:row r="9" ht="40" customHeight="1">
      <x:c r="A9" s="9" t="str">
        <x:v>LA03</x:v>
      </x:c>
      <x:c r="B9" s="9" t="str">
        <x:v>Agricultural income support</x:v>
      </x:c>
      <x:c r="C9" s="9" t="str">
        <x:v>2018 onward</x:v>
      </x:c>
      <x:c r="D9" s="9" t="str">
        <x:v>Rythu Bandhu connected a scalable cash-transfer programme to land records, exposing ownership-based inclusion limits.</x:v>
      </x:c>
      <x:c r="E9" s="9" t="str">
        <x:v>Research-based synthesis</x:v>
      </x:c>
      <x:c r="F9" s="9" t="str">
        <x:v>Thomas, Uday and Zaveri field research</x:v>
      </x:c>
      <x:c r="G9" s="9" t="str">
        <x:v>A clear and administratively actionable investment-support design.</x:v>
      </x:c>
      <x:c r="H9" s="9" t="str">
        <x:v>Tenants and record errors complicate the claim of reaching all cultivators.</x:v>
      </x:c>
      <x:c r="I9" s="9" t="str">
        <x:v>Design influence is credible; statewide net income impact not established here.</x:v>
      </x:c>
      <x:c r="J9" s="9" t="str">
        <x:v>P3–P4</x:v>
      </x:c>
      <x:c r="K9" s="9" t="str">
        <x:v>P3-E04; P4-E08</x:v>
      </x:c>
      <x:c r="L9" s="18" t="str">
        <x:v>S021; S022</x:v>
      </x:c>
    </x:row>
    <x:row r="10" ht="40" customHeight="1">
      <x:c r="A10" s="17" t="str">
        <x:v>LA04</x:v>
      </x:c>
      <x:c r="B10" s="17" t="str">
        <x:v>Water infrastructure</x:v>
      </x:c>
      <x:c r="C10" s="17" t="str">
        <x:v>2014 onward</x:v>
      </x:c>
      <x:c r="D10" s="17" t="str">
        <x:v>Water became a defining political promise, but programmes need separate cost, delivery and sustainability judgments.</x:v>
      </x:c>
      <x:c r="E10" s="17" t="str">
        <x:v>Audit-informed synthesis</x:v>
      </x:c>
      <x:c r="F10" s="17" t="str">
        <x:v>CAG and official scheme descriptions</x:v>
      </x:c>
      <x:c r="G10" s="17" t="str">
        <x:v>Government framed infrastructure as correcting regional neglect.</x:v>
      </x:c>
      <x:c r="H10" s="17" t="str">
        <x:v>Kaleshwaram audit identified major economic and planning weaknesses; drinking-water and tank projects are separate schemes.</x:v>
      </x:c>
      <x:c r="I10" s="17" t="str">
        <x:v>Mixed and programme-specific record; avoid a single success/failure label for all water policy.</x:v>
      </x:c>
      <x:c r="J10" s="17" t="str">
        <x:v>P3–P5</x:v>
      </x:c>
      <x:c r="K10" s="17" t="str">
        <x:v>P4-E04</x:v>
      </x:c>
      <x:c r="L10" s="19" t="str">
        <x:v>S018; S024; S025; S036</x:v>
      </x:c>
    </x:row>
    <x:row r="11" ht="40" customHeight="1">
      <x:c r="A11" s="9" t="str">
        <x:v>LA05</x:v>
      </x:c>
      <x:c r="B11" s="9" t="str">
        <x:v>Growth and distribution</x:v>
      </x:c>
      <x:c r="C11" s="9" t="str">
        <x:v>2014–2023</x:v>
      </x:c>
      <x:c r="D11" s="9" t="str">
        <x:v>A strong urban development pitch coexisted with reported dissatisfaction over jobs and access in other constituencies.</x:v>
      </x:c>
      <x:c r="E11" s="9" t="str">
        <x:v>Journalistic and budget-based synthesis</x:v>
      </x:c>
      <x:c r="F11" s="9" t="str">
        <x:v>PRS state aggregates; NDTV and TNM/NL reporting</x:v>
      </x:c>
      <x:c r="G11" s="9" t="str">
        <x:v>High nominal per-capita income and estimated growth supported the government’s development narrative.</x:v>
      </x:c>
      <x:c r="H11" s="9" t="str">
        <x:v>Averages do not establish median gains, region-wide job access or exclusive executive credit.</x:v>
      </x:c>
      <x:c r="I11" s="9" t="str">
        <x:v>Distributional and causal interpretation remains contested.</x:v>
      </x:c>
      <x:c r="J11" s="9" t="str">
        <x:v>P3–P4</x:v>
      </x:c>
      <x:c r="K11" s="9" t="str">
        <x:v>P4-E04; P4-E08</x:v>
      </x:c>
      <x:c r="L11" s="18" t="str">
        <x:v>S020; S014; S033</x:v>
      </x:c>
    </x:row>
    <x:row r="12" ht="40" customHeight="1">
      <x:c r="A12" s="17" t="str">
        <x:v>LA06</x:v>
      </x:c>
      <x:c r="B12" s="17" t="str">
        <x:v>Gender and executive power</x:v>
      </x:c>
      <x:c r="C12" s="17" t="str">
        <x:v>2014–2019 and after</x:v>
      </x:c>
      <x:c r="D12" s="17" t="str">
        <x:v>Gender-specific assistance and women’s executive representation followed different trajectories.</x:v>
      </x:c>
      <x:c r="E12" s="17" t="str">
        <x:v>Feminist / institutional comparison</x:v>
      </x:c>
      <x:c r="F12" s="17" t="str">
        <x:v>Cabinet record; BehanBox; programme descriptions</x:v>
      </x:c>
      <x:c r="G12" s="17" t="str">
        <x:v>Cash and maternity support can meet immediate needs.</x:v>
      </x:c>
      <x:c r="H12" s="17" t="str">
        <x:v>First-term cabinet exclusion and limited later inclusion constrain claims of equal political power.</x:v>
      </x:c>
      <x:c r="I12" s="17" t="str">
        <x:v>Observable design and representation facts; causal empowerment evidence remains limited.</x:v>
      </x:c>
      <x:c r="J12" s="17" t="str">
        <x:v>P3–P4</x:v>
      </x:c>
      <x:c r="K12" s="17" t="str">
        <x:v>P3-G07; P4-G09; P4-G10</x:v>
      </x:c>
      <x:c r="L12" s="19" t="str">
        <x:v>S023; S027; S028; S029; S030</x:v>
      </x:c>
    </x:row>
    <x:row r="13" ht="40" customHeight="1">
      <x:c r="A13" s="9" t="str">
        <x:v>LA07</x:v>
      </x:c>
      <x:c r="B13" s="9" t="str">
        <x:v>Party-building and personal authority</x:v>
      </x:c>
      <x:c r="C13" s="9" t="str">
        <x:v>2001–2026</x:v>
      </x:c>
      <x:c r="D13" s="9" t="str">
        <x:v>A party built around a statehood leader achieved governing durability, then faced the liabilities of concentrated leadership.</x:v>
      </x:c>
      <x:c r="E13" s="9" t="str">
        <x:v>Workbook synthesis</x:v>
      </x:c>
      <x:c r="F13" s="9" t="str">
        <x:v>Electoral record, appointments, post-election accounts and family split</x:v>
      </x:c>
      <x:c r="G13" s="9" t="str">
        <x:v>Personal authority helped unify a heterogeneous regional coalition.</x:v>
      </x:c>
      <x:c r="H13" s="9" t="str">
        <x:v>Leadership access, succession and internal dissent became sources of criticism.</x:v>
      </x:c>
      <x:c r="I13" s="9" t="str">
        <x:v>Balanced organizational interpretation; avoid psychological explanations without evidence.</x:v>
      </x:c>
      <x:c r="J13" s="9" t="str">
        <x:v>P2–P5</x:v>
      </x:c>
      <x:c r="K13" s="9" t="str">
        <x:v>P2-E07; P5-E07</x:v>
      </x:c>
      <x:c r="L13" s="18" t="str">
        <x:v>S005; S028; S033; S041</x:v>
      </x:c>
    </x:row>
    <x:row r="14" ht="40" customHeight="1">
      <x:c r="A14" s="17" t="str">
        <x:v>LA08</x:v>
      </x:c>
      <x:c r="B14" s="17" t="str">
        <x:v>Electoral mandate is reversible</x:v>
      </x:c>
      <x:c r="C14" s="17" t="str">
        <x:v>2018–2024</x:v>
      </x:c>
      <x:c r="D14" s="17" t="str">
        <x:v>Large Assembly success was followed by loss of state office and parliamentary representation.</x:v>
      </x:c>
      <x:c r="E14" s="17" t="str">
        <x:v>Recorded outcomes with limited synthesis</x:v>
      </x:c>
      <x:c r="F14" s="17" t="str">
        <x:v>2018, 2023 and 2024 results</x:v>
      </x:c>
      <x:c r="G14" s="17" t="str">
        <x:v>The 2018 result supports a period of broad electoral strength.</x:v>
      </x:c>
      <x:c r="H14" s="17" t="str">
        <x:v>Later results show that statehood credit and welfare did not ensure permanent support.</x:v>
      </x:c>
      <x:c r="I14" s="17" t="str">
        <x:v>Results clear; multiple competing explanations for change.</x:v>
      </x:c>
      <x:c r="J14" s="17" t="str">
        <x:v>P3–P5</x:v>
      </x:c>
      <x:c r="K14" s="17" t="str">
        <x:v>P5-E03</x:v>
      </x:c>
      <x:c r="L14" s="19" t="str">
        <x:v>S004; S014; S015; S016</x:v>
      </x:c>
    </x:row>
    <x:row r="15" ht="40" customHeight="1">
      <x:c r="A15" s="9" t="str">
        <x:v>LA09</x:v>
      </x:c>
      <x:c r="B15" s="9" t="str">
        <x:v>Accountability and due process</x:v>
      </x:c>
      <x:c r="C15" s="9" t="str">
        <x:v>2024–2026</x:v>
      </x:c>
      <x:c r="D15" s="9" t="str">
        <x:v>Post-tenure scrutiny is part of his evolving legacy, but each audit, inquiry and criminal investigation has a distinct evidentiary status.</x:v>
      </x:c>
      <x:c r="E15" s="9" t="str">
        <x:v>Workbook legal-record synthesis</x:v>
      </x:c>
      <x:c r="F15" s="9" t="str">
        <x:v>Audit and contemporary procedural reporting</x:v>
      </x:c>
      <x:c r="G15" s="9" t="str">
        <x:v>Successful procedural challenges protect the right to respond.</x:v>
      </x:c>
      <x:c r="H15" s="9" t="str">
        <x:v>Procedural relief cannot validate every project decision; allegations alone cannot establish guilt.</x:v>
      </x:c>
      <x:c r="I15" s="9" t="str">
        <x:v>Ongoing / incomplete record; no final lifetime verdict warranted.</x:v>
      </x:c>
      <x:c r="J15" s="9" t="str">
        <x:v>P5</x:v>
      </x:c>
      <x:c r="K15" s="9" t="str">
        <x:v>P5-E02</x:v>
      </x:c>
      <x:c r="L15" s="18" t="str">
        <x:v>S018; S036; S037; S038; S039</x:v>
      </x:c>
    </x:row>
    <x:row r="16" ht="40" customHeight="1">
      <x:c r="A16" s="17" t="str">
        <x:v>LA10</x:v>
      </x:c>
      <x:c r="B16" s="17" t="str">
        <x:v>National expansion and future</x:v>
      </x:c>
      <x:c r="C16" s="17" t="str">
        <x:v>2022–2026</x:v>
      </x:c>
      <x:c r="D16" s="17" t="str">
        <x:v>The BRS project widened ambition; subsequent losses sharply limited its national platform.</x:v>
      </x:c>
      <x:c r="E16" s="17" t="str">
        <x:v>Workbook synthesis / attributed party forecast</x:v>
      </x:c>
      <x:c r="F16" s="17" t="str">
        <x:v>Rename, 2024 result and KCR statement</x:v>
      </x:c>
      <x:c r="G16" s="17" t="str">
        <x:v>KCR predicted recovery and renewed public support.</x:v>
      </x:c>
      <x:c r="H16" s="17" t="str">
        <x:v>Zero Lok Sabha seats and organizational strains constrain that forecast.</x:v>
      </x:c>
      <x:c r="I16" s="17" t="str">
        <x:v>Future recovery is open, not established or ruled out by this workbook.</x:v>
      </x:c>
      <x:c r="J16" s="17" t="str">
        <x:v>P4–P5</x:v>
      </x:c>
      <x:c r="K16" s="17" t="str">
        <x:v>P5-E01; P5-E07</x:v>
      </x:c>
      <x:c r="L16" s="19" t="str">
        <x:v>S017; S015; S016; S046; S041</x:v>
      </x:c>
    </x:row>
  </x:sheetData>
  <x:pageMargins left="0.7" right="0.7" top="0.75" bottom="0.75" header="0.3" footer="0.3"/>
  <x:tableParts count="1">
    <x:tablePart xmlns:r="http://schemas.openxmlformats.org/officeDocument/2006/relationships" r:id="R5d012f4729e24994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4" hidden="0" customWidth="1"/>
    <x:col min="2" max="2" width="69" hidden="0" customWidth="1"/>
    <x:col min="3" max="3" width="40" hidden="0" customWidth="1"/>
    <x:col min="4" max="4" width="36" hidden="0" customWidth="1"/>
    <x:col min="5" max="5" width="27" hidden="0" customWidth="1"/>
    <x:col min="6" max="6" width="30" hidden="0" customWidth="1"/>
    <x:col min="7" max="7" width="33" hidden="0" customWidth="1"/>
    <x:col min="8" max="8" width="23" hidden="0" customWidth="1"/>
    <x:col min="9" max="9" width="22" hidden="0" customWidth="1"/>
    <x:col min="10" max="10" width="54" hidden="0" customWidth="1"/>
    <x:col min="11" max="11" width="69" hidden="0" customWidth="1"/>
  </x:cols>
  <x:sheetData>
    <x:row r="1" ht="12" customHeight="1"/>
    <x:row r="2" ht="25" customHeight="1">
      <x:c r="A2" s="2" t="str">
        <x:v>Sources and evidence register</x:v>
      </x:c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</x:row>
    <x:row r="4" ht="22" customHeight="1">
      <x:c r="A4" s="5" t="str">
        <x:v>Source IDs resolve every substantive table. Link cells open the cited page; full URLs are embedded in the hyperlinks.</x:v>
      </x:c>
    </x:row>
    <x:row r="5" ht="8" customHeight="1"/>
    <x:row r="6" ht="38" customHeight="1">
      <x:c r="A6" s="14" t="str">
        <x:v>Source ID</x:v>
      </x:c>
      <x:c r="B6" s="15" t="str">
        <x:v>Title</x:v>
      </x:c>
      <x:c r="C6" s="15" t="str">
        <x:v>Author / issuer</x:v>
      </x:c>
      <x:c r="D6" s="15" t="str">
        <x:v>Publisher / site</x:v>
      </x:c>
      <x:c r="E6" s="15" t="str">
        <x:v>Publication date / precision</x:v>
      </x:c>
      <x:c r="F6" s="15" t="str">
        <x:v>Source class</x:v>
      </x:c>
      <x:c r="G6" s="15" t="str">
        <x:v>Evidence role</x:v>
      </x:c>
      <x:c r="H6" s="15" t="str">
        <x:v>Source link</x:v>
      </x:c>
      <x:c r="I6" s="15" t="str">
        <x:v>Access date</x:v>
      </x:c>
      <x:c r="J6" s="15" t="str">
        <x:v>Document locator / supported claims</x:v>
      </x:c>
      <x:c r="K6" s="16" t="str">
        <x:v>Standpoint / reliability / limitation</x:v>
      </x:c>
    </x:row>
    <x:row r="7" ht="40" customHeight="1">
      <x:c r="A7" s="18" t="str">
        <x:v>S001</x:v>
      </x:c>
      <x:c r="B7" s="9" t="str">
        <x:v>K Chandrashekar Rao profile</x:v>
      </x:c>
      <x:c r="C7" s="9" t="str">
        <x:v>Khammam district administration</x:v>
      </x:c>
      <x:c r="D7" s="9" t="str">
        <x:v>Government of Telangana</x:v>
      </x:c>
      <x:c r="E7" s="9" t="str">
        <x:v>Undated</x:v>
      </x:c>
      <x:c r="F7" s="18" t="str">
        <x:v>Official biography</x:v>
      </x:c>
      <x:c r="G7" s="9" t="str">
        <x:v>Primary, retrospective</x:v>
      </x:c>
      <x:c r="H7" s="47" t="str">
        <x:f>IFERROR(HYPERLINK("https://khammam.telangana.gov.in/kcr-profile/","Open S001 source"),"Open S001 source")</x:f>
        <x:v>Open S001 source</x:v>
      </x:c>
      <x:c r="I7" s="29" t="n">
        <x:v>46280</x:v>
      </x:c>
      <x:c r="J7" s="9" t="str">
        <x:v>Biography paragraphs</x:v>
      </x:c>
      <x:c r="K7" s="20" t="str">
        <x:v>Historical, celebratory profile; education conflicts with election affidavit; not an independent governance evaluation.</x:v>
      </x:c>
    </x:row>
    <x:row r="8" ht="40" customHeight="1">
      <x:c r="A8" s="19" t="str">
        <x:v>S002</x:v>
      </x:c>
      <x:c r="B8" s="17" t="str">
        <x:v>Kalvakuntla Chandrashekar Rao — Gajwel affidavit, 2023</x:v>
      </x:c>
      <x:c r="C8" s="17" t="str">
        <x:v>Association for Democratic Reforms</x:v>
      </x:c>
      <x:c r="D8" s="17" t="str">
        <x:v>MyNeta</x:v>
      </x:c>
      <x:c r="E8" s="27" t="n">
        <x:v>2023</x:v>
      </x:c>
      <x:c r="F8" s="19" t="str">
        <x:v>Affidavit transcript</x:v>
      </x:c>
      <x:c r="G8" s="17" t="str">
        <x:v>Primary declaration via secondary host</x:v>
      </x:c>
      <x:c r="H8" s="48" t="str">
        <x:f>IFERROR(HYPERLINK("https://www.myneta.info/Telangana2023/candidate.php?candidate_id=81","Open S002 source"),"Open S002 source")</x:f>
        <x:v>Open S002 source</x:v>
      </x:c>
      <x:c r="I8" s="28" t="n">
        <x:v>46280</x:v>
      </x:c>
      <x:c r="J8" s="17" t="str">
        <x:v>Education; assets/liabilities; criminal cases</x:v>
      </x:c>
      <x:c r="K8" s="21" t="str">
        <x:v>Candidate declarations, transcribed by ADR. A pending case is not a conviction. Omit private addresses and identifiers.</x:v>
      </x:c>
    </x:row>
    <x:row r="9" ht="40" customHeight="1">
      <x:c r="A9" s="18" t="str">
        <x:v>S003</x:v>
      </x:c>
      <x:c r="B9" s="9" t="str">
        <x:v>Kalvakuntla Chandrashekar Rao — Gajwel affidavit, 2018</x:v>
      </x:c>
      <x:c r="C9" s="9" t="str">
        <x:v>Association for Democratic Reforms</x:v>
      </x:c>
      <x:c r="D9" s="9" t="str">
        <x:v>MyNeta</x:v>
      </x:c>
      <x:c r="E9" s="24" t="n">
        <x:v>2018</x:v>
      </x:c>
      <x:c r="F9" s="18" t="str">
        <x:v>Affidavit transcript</x:v>
      </x:c>
      <x:c r="G9" s="9" t="str">
        <x:v>Primary declaration via secondary host</x:v>
      </x:c>
      <x:c r="H9" s="47" t="str">
        <x:f>IFERROR(HYPERLINK("https://myneta.info/telangana2018/candidate.php?candidate_id=6240","Open S003 source"),"Open S003 source")</x:f>
        <x:v>Open S003 source</x:v>
      </x:c>
      <x:c r="I9" s="29" t="n">
        <x:v>46280</x:v>
      </x:c>
      <x:c r="J9" s="9" t="str">
        <x:v>Education section</x:v>
      </x:c>
      <x:c r="K9" s="20" t="str">
        <x:v>Page retrospectively uses BRS; the historical election party was TRS.</x:v>
      </x:c>
    </x:row>
    <x:row r="10" ht="54" customHeight="1">
      <x:c r="A10" s="19" t="str">
        <x:v>S004</x:v>
      </x:c>
      <x:c r="B10" s="17" t="str">
        <x:v>KCR: The face of Telangana movement brushes aside united opposition, gets another term</x:v>
      </x:c>
      <x:c r="C10" s="17" t="str">
        <x:v>Adrija Roychowdhury</x:v>
      </x:c>
      <x:c r="D10" s="17" t="str">
        <x:v>The Indian Express</x:v>
      </x:c>
      <x:c r="E10" s="28" t="n">
        <x:v>43445</x:v>
      </x:c>
      <x:c r="F10" s="19" t="str">
        <x:v>Journalism</x:v>
      </x:c>
      <x:c r="G10" s="17" t="str">
        <x:v>Secondary</x:v>
      </x:c>
      <x:c r="H10" s="48" t="str">
        <x:f>IFERROR(HYPERLINK("https://indianexpress.com/article/research/kcr-profile-telangana-elections-5488942/","Open S004 source"),"Open S004 source")</x:f>
        <x:v>Open S004 source</x:v>
      </x:c>
      <x:c r="I10" s="28" t="n">
        <x:v>46280</x:v>
      </x:c>
      <x:c r="J10" s="17" t="str">
        <x:v>Career profile and 2018 assessment</x:v>
      </x:c>
      <x:c r="K10" s="21" t="str">
        <x:v>Admiring framing; MA claim conflicts with affidavit; opening account of state formation is imprecise. Used cautiously for career and contemporary interpretation.</x:v>
      </x:c>
    </x:row>
    <x:row r="11" ht="40" customHeight="1">
      <x:c r="A11" s="18" t="str">
        <x:v>S005</x:v>
      </x:c>
      <x:c r="B11" s="9" t="str">
        <x:v>Long arc of Telangana movement: Of struggles and stirs, history and politics, music and dance</x:v>
      </x:c>
      <x:c r="C11" s="9" t="str">
        <x:v>Sreenivas Janyala</x:v>
      </x:c>
      <x:c r="D11" s="9" t="str">
        <x:v>The Indian Express</x:v>
      </x:c>
      <x:c r="E11" s="29" t="n">
        <x:v>44841</x:v>
      </x:c>
      <x:c r="F11" s="18" t="str">
        <x:v>Journalism / historical account</x:v>
      </x:c>
      <x:c r="G11" s="9" t="str">
        <x:v>Secondary</x:v>
      </x:c>
      <x:c r="H11" s="47" t="str">
        <x:f>IFERROR(HYPERLINK("https://indianexpress.com/article/political-pulse/telangana-movement-struggles-stirs-history-politics-music-dance-8196248/","Open S005 source"),"Open S005 source")</x:f>
        <x:v>Open S005 source</x:v>
      </x:c>
      <x:c r="I11" s="29" t="n">
        <x:v>46280</x:v>
      </x:c>
      <x:c r="J11" s="9" t="str">
        <x:v>Jayashankar, TJAC, cultural mobilization, 2009 fast</x:v>
      </x:c>
      <x:c r="K11" s="20" t="str">
        <x:v>Retrospective account; avoid treating a diverse movement as the work of one leader. Exact casualty and strike-day claims not adopted.</x:v>
      </x:c>
    </x:row>
    <x:row r="12" ht="40" customHeight="1">
      <x:c r="A12" s="19" t="str">
        <x:v>S006</x:v>
      </x:c>
      <x:c r="B12" s="17" t="str">
        <x:v>Timeline — Main events in the history of TRS</x:v>
      </x:c>
      <x:c r="C12" s="17" t="str">
        <x:v>Bharat Rashtra Samithi</x:v>
      </x:c>
      <x:c r="D12" s="17" t="str">
        <x:v>BRS website</x:v>
      </x:c>
      <x:c r="E12" s="17" t="str">
        <x:v>Undated</x:v>
      </x:c>
      <x:c r="F12" s="19" t="str">
        <x:v>Party chronology</x:v>
      </x:c>
      <x:c r="G12" s="17" t="str">
        <x:v>Interested primary account</x:v>
      </x:c>
      <x:c r="H12" s="48" t="str">
        <x:f>IFERROR(HYPERLINK("https://brsonline.in/about/timeline/","Open S006 source"),"Open S006 source")</x:f>
        <x:v>Open S006 source</x:v>
      </x:c>
      <x:c r="I12" s="28" t="n">
        <x:v>46280</x:v>
      </x:c>
      <x:c r="J12" s="17" t="str">
        <x:v>Entries for 2001, 2004, 2006, 2008, 2009–14</x:v>
      </x:c>
      <x:c r="K12" s="21" t="str">
        <x:v>Party-authored; crowd sizes and achievement claims not independently validated. Announcement, polling and formal resignation dates can differ.</x:v>
      </x:c>
    </x:row>
    <x:row r="13" ht="54" customHeight="1">
      <x:c r="A13" s="18" t="str">
        <x:v>S007</x:v>
      </x:c>
      <x:c r="B13" s="9" t="str">
        <x:v>The Andhra Pradesh Reorganisation Act, 2014 (Act 6 of 2014)</x:v>
      </x:c>
      <x:c r="C13" s="9" t="str">
        <x:v>Parliament / Ministry of Law and Justice</x:v>
      </x:c>
      <x:c r="D13" s="9" t="str">
        <x:v>Gazette of India, hosted by PRS</x:v>
      </x:c>
      <x:c r="E13" s="29" t="n">
        <x:v>41699</x:v>
      </x:c>
      <x:c r="F13" s="18" t="str">
        <x:v>Statute</x:v>
      </x:c>
      <x:c r="G13" s="9" t="str">
        <x:v>Primary</x:v>
      </x:c>
      <x:c r="H13" s="47" t="str">
        <x:f>IFERROR(HYPERLINK("https://prsindia.org/files/bills_acts/bills_parliament/2014/Andhra_Pradesh_Reorganisation_Act,_2014_2.pdf","Open S007 source"),"Open S007 source")</x:f>
        <x:v>Open S007 source</x:v>
      </x:c>
      <x:c r="I13" s="29" t="n">
        <x:v>46280</x:v>
      </x:c>
      <x:c r="J13" s="9" t="str">
        <x:v>Sections 2–5; legislative and resource arrangements</x:v>
      </x:c>
      <x:c r="K13" s="20" t="str">
        <x:v>Original enacted text; subsequent amendments and implementation require separate checks. Establishes legal mechanism, not exclusive political credit.</x:v>
      </x:c>
    </x:row>
    <x:row r="14" ht="30" customHeight="1">
      <x:c r="A14" s="19" t="str">
        <x:v>S008</x:v>
      </x:c>
      <x:c r="B14" s="17" t="str">
        <x:v>The Andhra Pradesh Reorganisation Bill, 2014 (Telangana)</x:v>
      </x:c>
      <x:c r="C14" s="17" t="str">
        <x:v>PRS Legislative Research</x:v>
      </x:c>
      <x:c r="D14" s="17" t="str">
        <x:v>PRS</x:v>
      </x:c>
      <x:c r="E14" s="27" t="n">
        <x:v>2014</x:v>
      </x:c>
      <x:c r="F14" s="19" t="str">
        <x:v>Legislative tracker</x:v>
      </x:c>
      <x:c r="G14" s="17" t="str">
        <x:v>Institutional secondary</x:v>
      </x:c>
      <x:c r="H14" s="48" t="str">
        <x:f>IFERROR(HYPERLINK("https://prsindia.org/billtrack/the-andhra-pradesh-reorganisation-bill-2014-telangana","Open S008 source"),"Open S008 source")</x:f>
        <x:v>Open S008 source</x:v>
      </x:c>
      <x:c r="I14" s="28" t="n">
        <x:v>46280</x:v>
      </x:c>
      <x:c r="J14" s="17" t="str">
        <x:v>Bill status and summary</x:v>
      </x:c>
      <x:c r="K14" s="21" t="str">
        <x:v>Bill provisions and final Act must be distinguished.</x:v>
      </x:c>
    </x:row>
    <x:row r="15" ht="54" customHeight="1">
      <x:c r="A15" s="18" t="str">
        <x:v>S009</x:v>
      </x:c>
      <x:c r="B15" s="9" t="str">
        <x:v>K. Chandrashekar Rao — electoral performance and positions held</x:v>
      </x:c>
      <x:c r="C15" s="9" t="str">
        <x:v>Wikipedia contributors</x:v>
      </x:c>
      <x:c r="D15" s="9" t="str">
        <x:v>Wikipedia</x:v>
      </x:c>
      <x:c r="E15" s="9" t="str">
        <x:v>Undated; accessed 2026</x:v>
      </x:c>
      <x:c r="F15" s="18" t="str">
        <x:v>Reference</x:v>
      </x:c>
      <x:c r="G15" s="9" t="str">
        <x:v>Secondary fallback</x:v>
      </x:c>
      <x:c r="H15" s="47" t="str">
        <x:f>IFERROR(HYPERLINK("https://en.wikipedia.org/wiki/K._Chandrashekar_Rao","Open S009 source"),"Open S009 source")</x:f>
        <x:v>Open S009 source</x:v>
      </x:c>
      <x:c r="I15" s="29" t="n">
        <x:v>46280</x:v>
      </x:c>
      <x:c r="J15" s="9" t="str">
        <x:v>Electoral performance tables; positions held</x:v>
      </x:c>
      <x:c r="K15" s="20" t="str">
        <x:v>Fallback where original returns could not be retrieved. Internal errors: 1983 margin, 2008 opponent votes; conflicting early office dates. Provisional numeric rows are labeled.</x:v>
      </x:c>
    </x:row>
    <x:row r="16" ht="40" customHeight="1">
      <x:c r="A16" s="19" t="str">
        <x:v>S010</x:v>
      </x:c>
      <x:c r="B16" s="17" t="str">
        <x:v>Karimnagar Lok Sabha election results</x:v>
      </x:c>
      <x:c r="C16" s="17" t="str">
        <x:v>Result University</x:v>
      </x:c>
      <x:c r="D16" s="17" t="str">
        <x:v>Result University</x:v>
      </x:c>
      <x:c r="E16" s="17" t="str">
        <x:v>Undated</x:v>
      </x:c>
      <x:c r="F16" s="19" t="str">
        <x:v>Election dataset aggregator</x:v>
      </x:c>
      <x:c r="G16" s="17" t="str">
        <x:v>Secondary</x:v>
      </x:c>
      <x:c r="H16" s="48" t="str">
        <x:f>IFERROR(HYPERLINK("https://resultuniversity.com/election/karimnagar-lok-sabha","Open S010 source"),"Open S010 source")</x:f>
        <x:v>Open S010 source</x:v>
      </x:c>
      <x:c r="I16" s="28" t="n">
        <x:v>46280</x:v>
      </x:c>
      <x:c r="J16" s="17" t="str">
        <x:v>2004 candidate table</x:v>
      </x:c>
      <x:c r="K16" s="21" t="str">
        <x:v>Underlying ECI return not inspected. Some percentage denominators elsewhere on page are inconsistent; use raw 2004 vote totals only.</x:v>
      </x:c>
    </x:row>
    <x:row r="17" ht="40" customHeight="1">
      <x:c r="A17" s="18" t="str">
        <x:v>S011</x:v>
      </x:c>
      <x:c r="B17" s="9" t="str">
        <x:v>KCR holds on to Gajwel, loses to BJP’s Venkata Ramana Reddy in Kamareddy</x:v>
      </x:c>
      <x:c r="C17" s="9" t="str">
        <x:v>TNM Staff</x:v>
      </x:c>
      <x:c r="D17" s="9" t="str">
        <x:v>The News Minute</x:v>
      </x:c>
      <x:c r="E17" s="29" t="n">
        <x:v>45263</x:v>
      </x:c>
      <x:c r="F17" s="18" t="str">
        <x:v>Journalism</x:v>
      </x:c>
      <x:c r="G17" s="9" t="str">
        <x:v>Secondary</x:v>
      </x:c>
      <x:c r="H17" s="47" t="str">
        <x:f>IFERROR(HYPERLINK("https://www.thenewsminute.com/telangana/kcr-holds-on-to-gajwel-loses-to-bjps-venkata-ramana-reddy-in-kamareddy","Open S011 source"),"Open S011 source")</x:f>
        <x:v>Open S011 source</x:v>
      </x:c>
      <x:c r="I17" s="29" t="n">
        <x:v>46280</x:v>
      </x:c>
      <x:c r="J17" s="9" t="str">
        <x:v>Final constituency margin, 45,031; campaign context</x:v>
      </x:c>
      <x:c r="K17" s="20" t="str">
        <x:v>Contains interim party seat tallies; these are not used as final statewide results.</x:v>
      </x:c>
    </x:row>
    <x:row r="18" ht="30" customHeight="1">
      <x:c r="A18" s="19" t="str">
        <x:v>S012</x:v>
      </x:c>
      <x:c r="B18" s="17" t="str">
        <x:v>BJP’s Venkata Ramana Reddy defeats KCR, Revanth Reddy in Kamareddy</x:v>
      </x:c>
      <x:c r="C18" s="17" t="str">
        <x:v>The News Minute</x:v>
      </x:c>
      <x:c r="D18" s="17" t="str">
        <x:v>The News Minute</x:v>
      </x:c>
      <x:c r="E18" s="28" t="n">
        <x:v>45263</x:v>
      </x:c>
      <x:c r="F18" s="19" t="str">
        <x:v>Journalism</x:v>
      </x:c>
      <x:c r="G18" s="17" t="str">
        <x:v>Secondary</x:v>
      </x:c>
      <x:c r="H18" s="48" t="str">
        <x:f>IFERROR(HYPERLINK("https://www.thenewsminute.com/telangana/bjps-venkata-ramana-reddy-defeats-kcr-revanth-reddy-in-kamareddy","Open S012 source"),"Open S012 source")</x:f>
        <x:v>Open S012 source</x:v>
      </x:c>
      <x:c r="I18" s="28" t="n">
        <x:v>46280</x:v>
      </x:c>
      <x:c r="J18" s="17" t="str">
        <x:v>Candidate totals and margin</x:v>
      </x:c>
      <x:c r="K18" s="21" t="str">
        <x:v>Constituency report; final ECI return was not retrievable in this session.</x:v>
      </x:c>
    </x:row>
    <x:row r="19" ht="40" customHeight="1">
      <x:c r="A19" s="18" t="str">
        <x:v>S013</x:v>
      </x:c>
      <x:c r="B19" s="9" t="str">
        <x:v>After 40 years, KCR tastes defeat in assembly election</x:v>
      </x:c>
      <x:c r="C19" s="9" t="str">
        <x:v>Times of India reporting team</x:v>
      </x:c>
      <x:c r="D19" s="9" t="str">
        <x:v>The Times of India</x:v>
      </x:c>
      <x:c r="E19" s="29" t="n">
        <x:v>45264</x:v>
      </x:c>
      <x:c r="F19" s="18" t="str">
        <x:v>Journalism</x:v>
      </x:c>
      <x:c r="G19" s="9" t="str">
        <x:v>Secondary</x:v>
      </x:c>
      <x:c r="H19" s="47" t="str">
        <x:f>IFERROR(HYPERLINK("https://timesofindia.indiatimes.com/elections/assembly-elections/telangana/news/outgoing-telangana-cm-cm-aspirant-lose-in-same-seat/articleshow/105708717.cms","Open S013 source"),"Open S013 source")</x:f>
        <x:v>Open S013 source</x:v>
      </x:c>
      <x:c r="I19" s="29" t="n">
        <x:v>46280</x:v>
      </x:c>
      <x:c r="J19" s="9" t="str">
        <x:v>1983 independent candidature; second personal loss</x:v>
      </x:c>
      <x:c r="K19" s="20" t="str">
        <x:v>Supports 1983 IND coding, which conflicts with common retrospective TDP descriptions.</x:v>
      </x:c>
    </x:row>
    <x:row r="20" ht="40" customHeight="1">
      <x:c r="A20" s="19" t="str">
        <x:v>S014</x:v>
      </x:c>
      <x:c r="B20" s="17" t="str">
        <x:v>How KCR Defeated KCR In Telangana Polls By Not Listening To His Son KTR</x:v>
      </x:c>
      <x:c r="C20" s="17" t="str">
        <x:v>Uma Sudhir</x:v>
      </x:c>
      <x:c r="D20" s="17" t="str">
        <x:v>NDTV</x:v>
      </x:c>
      <x:c r="E20" s="28" t="n">
        <x:v>45265</x:v>
      </x:c>
      <x:c r="F20" s="19" t="str">
        <x:v>Journalism / analysis</x:v>
      </x:c>
      <x:c r="G20" s="17" t="str">
        <x:v>Secondary</x:v>
      </x:c>
      <x:c r="H20" s="48" t="str">
        <x:f>IFERROR(HYPERLINK("https://www.ndtv.com/india-news/how-kcr-defeated-kcr-in-telangana-polls-by-not-listening-to-his-son-ktr-4634459","Open S014 source"),"Open S014 source")</x:f>
        <x:v>Open S014 source</x:v>
      </x:c>
      <x:c r="I20" s="28" t="n">
        <x:v>46280</x:v>
      </x:c>
      <x:c r="J20" s="17" t="str">
        <x:v>Final 64/39 tally; candidates; rural/urban pattern</x:v>
      </x:c>
      <x:c r="K20" s="21" t="str">
        <x:v>Internal advice and electoral explanations are reported assessments, not a causal experiment.</x:v>
      </x:c>
    </x:row>
    <x:row r="21" ht="40" customHeight="1">
      <x:c r="A21" s="18" t="str">
        <x:v>S015</x:v>
      </x:c>
      <x:c r="B21" s="9" t="str">
        <x:v>In Telangana, BJP cashes in on BRS’s dry run in LS polls</x:v>
      </x:c>
      <x:c r="C21" s="9" t="str">
        <x:v>Rahul V Pisharody</x:v>
      </x:c>
      <x:c r="D21" s="9" t="str">
        <x:v>The Indian Express</x:v>
      </x:c>
      <x:c r="E21" s="29" t="n">
        <x:v>45449</x:v>
      </x:c>
      <x:c r="F21" s="18" t="str">
        <x:v>Journalism / analysis</x:v>
      </x:c>
      <x:c r="G21" s="9" t="str">
        <x:v>Secondary</x:v>
      </x:c>
      <x:c r="H21" s="47" t="str">
        <x:f>IFERROR(HYPERLINK("https://indianexpress.com/article/political-pulse/telangana-bjp-brs-lok-sabha-election-results-9375382/","Open S015 source"),"Open S015 source")</x:f>
        <x:v>Open S015 source</x:v>
      </x:c>
      <x:c r="I21" s="29" t="n">
        <x:v>46280</x:v>
      </x:c>
      <x:c r="J21" s="9" t="str">
        <x:v>2019 nine seats; 2024 zero; vote decline</x:v>
      </x:c>
      <x:c r="K21" s="20" t="str">
        <x:v>Rounded vote shares; changes in aggregate votes do not identify individual voter transfers.</x:v>
      </x:c>
    </x:row>
    <x:row r="22" ht="40" customHeight="1">
      <x:c r="A22" s="19" t="str">
        <x:v>S016</x:v>
      </x:c>
      <x:c r="B22" s="17" t="str">
        <x:v>After assembly rout, BRS draws a blank in LS polls</x:v>
      </x:c>
      <x:c r="C22" s="17" t="str">
        <x:v>Koride Mahesh</x:v>
      </x:c>
      <x:c r="D22" s="17" t="str">
        <x:v>The Times of India</x:v>
      </x:c>
      <x:c r="E22" s="28" t="n">
        <x:v>45448</x:v>
      </x:c>
      <x:c r="F22" s="19" t="str">
        <x:v>Journalism</x:v>
      </x:c>
      <x:c r="G22" s="17" t="str">
        <x:v>Secondary</x:v>
      </x:c>
      <x:c r="H22" s="48" t="str">
        <x:f>IFERROR(HYPERLINK("https://timesofindia.indiatimes.com/city/hyderabad/after-assembly-rout-brs-draws-a-blank-in-ls-polls/articleshow/110734842.cms","Open S016 source"),"Open S016 source")</x:f>
        <x:v>Open S016 source</x:v>
      </x:c>
      <x:c r="I22" s="28" t="n">
        <x:v>46280</x:v>
      </x:c>
      <x:c r="J22" s="17" t="str">
        <x:v>Zero of 17 seats; second in two, third in fifteen</x:v>
      </x:c>
      <x:c r="K22" s="21" t="str">
        <x:v>Independent corroboration of electoral reversal; outcome does not establish permanent political extinction.</x:v>
      </x:c>
    </x:row>
    <x:row r="23" ht="30" customHeight="1">
      <x:c r="A23" s="18" t="str">
        <x:v>S017</x:v>
      </x:c>
      <x:c r="B23" s="9" t="str">
        <x:v>Poll Body Accepts KCR’s Request To Change Party Name</x:v>
      </x:c>
      <x:c r="C23" s="9" t="str">
        <x:v>NDTV / agency report</x:v>
      </x:c>
      <x:c r="D23" s="9" t="str">
        <x:v>NDTV</x:v>
      </x:c>
      <x:c r="E23" s="29" t="n">
        <x:v>44903</x:v>
      </x:c>
      <x:c r="F23" s="18" t="str">
        <x:v>Journalism on ECI decision</x:v>
      </x:c>
      <x:c r="G23" s="9" t="str">
        <x:v>Secondary</x:v>
      </x:c>
      <x:c r="H23" s="47" t="str">
        <x:f>IFERROR(HYPERLINK("https://www.ndtv.com/india-news/poll-body-accepts-kcrs-request-to-change-party-name-3589967","Open S017 source"),"Open S017 source")</x:f>
        <x:v>Open S017 source</x:v>
      </x:c>
      <x:c r="I23" s="29" t="n">
        <x:v>46280</x:v>
      </x:c>
      <x:c r="J23" s="9" t="str">
        <x:v>TRS to BRS acceptance</x:v>
      </x:c>
      <x:c r="K23" s="20" t="str">
        <x:v>Rename is distinct from recognition as a national party.</x:v>
      </x:c>
    </x:row>
    <x:row r="24" ht="40" customHeight="1">
      <x:c r="A24" s="19" t="str">
        <x:v>S018</x:v>
      </x:c>
      <x:c r="B24" s="17" t="str">
        <x:v>Performance Audit on Kaleshwaram Project — Executive Summary, Report 1 of 2024</x:v>
      </x:c>
      <x:c r="C24" s="17" t="str">
        <x:v>Comptroller and Auditor General of India</x:v>
      </x:c>
      <x:c r="D24" s="17" t="str">
        <x:v>CAG</x:v>
      </x:c>
      <x:c r="E24" s="28" t="n">
        <x:v>45337</x:v>
      </x:c>
      <x:c r="F24" s="19" t="str">
        <x:v>Performance audit</x:v>
      </x:c>
      <x:c r="G24" s="17" t="str">
        <x:v>Primary</x:v>
      </x:c>
      <x:c r="H24" s="48" t="str">
        <x:f>IFERROR(HYPERLINK("https://cag.gov.in/uploads/download_audit_report/2024/03_Executive-Summary-065cdab561be1e6.64616893.pdf","Open S018 source"),"Open S018 source")</x:f>
        <x:v>Open S018 source</x:v>
      </x:c>
      <x:c r="I24" s="28" t="n">
        <x:v>46280</x:v>
      </x:c>
      <x:c r="J24" s="17" t="str">
        <x:v>Printed pp. vii–xiii; expenditure and command area to March 2022</x:v>
      </x:c>
      <x:c r="K24" s="21" t="str">
        <x:v>Audit scope and cutoffs matter. Cost estimates and BCR are audit assessments, not a criminal verdict on KCR.</x:v>
      </x:c>
    </x:row>
    <x:row r="25" ht="40" customHeight="1">
      <x:c r="A25" s="18" t="str">
        <x:v>S019</x:v>
      </x:c>
      <x:c r="B25" s="9" t="str">
        <x:v>Report No. 1 of 2024 — Performance Audit on Kaleshwaram Project</x:v>
      </x:c>
      <x:c r="C25" s="9" t="str">
        <x:v>Comptroller and Auditor General of India</x:v>
      </x:c>
      <x:c r="D25" s="9" t="str">
        <x:v>CAG</x:v>
      </x:c>
      <x:c r="E25" s="29" t="n">
        <x:v>45337</x:v>
      </x:c>
      <x:c r="F25" s="18" t="str">
        <x:v>Audit publication record</x:v>
      </x:c>
      <x:c r="G25" s="9" t="str">
        <x:v>Primary</x:v>
      </x:c>
      <x:c r="H25" s="47" t="str">
        <x:f>IFERROR(HYPERLINK("https://cag.gov.in/en/audit-report/details/119638","Open S019 source"),"Open S019 source")</x:f>
        <x:v>Open S019 source</x:v>
      </x:c>
      <x:c r="I25" s="29" t="n">
        <x:v>46280</x:v>
      </x:c>
      <x:c r="J25" s="9" t="str">
        <x:v>Report metadata: tabled 15 February 2024</x:v>
      </x:c>
      <x:c r="K25" s="20" t="str">
        <x:v>Publication metadata corroborates audit date; website update date is not report date.</x:v>
      </x:c>
    </x:row>
    <x:row r="26" ht="40" customHeight="1">
      <x:c r="A26" s="19" t="str">
        <x:v>S020</x:v>
      </x:c>
      <x:c r="B26" s="17" t="str">
        <x:v>Telangana Budget Analysis 2023–24</x:v>
      </x:c>
      <x:c r="C26" s="17" t="str">
        <x:v>PRS Legislative Research</x:v>
      </x:c>
      <x:c r="D26" s="17" t="str">
        <x:v>PRS</x:v>
      </x:c>
      <x:c r="E26" s="28" t="n">
        <x:v>44971</x:v>
      </x:c>
      <x:c r="F26" s="19" t="str">
        <x:v>Budget analysis</x:v>
      </x:c>
      <x:c r="G26" s="17" t="str">
        <x:v>Institutional secondary</x:v>
      </x:c>
      <x:c r="H26" s="48" t="str">
        <x:f>IFERROR(HYPERLINK("https://prsindia.org/budgets/states/telangana-budget-analysis-2023-24","Open S020 source"),"Open S020 source")</x:f>
        <x:v>Open S020 source</x:v>
      </x:c>
      <x:c r="I26" s="28" t="n">
        <x:v>46280</x:v>
      </x:c>
      <x:c r="J26" s="17" t="str">
        <x:v>Economy; debt; off-budget liabilities; sector allocation charts</x:v>
      </x:c>
      <x:c r="K26" s="21" t="str">
        <x:v>Distinguish BE, RE, actual and advance estimates. Cross-state sector comparison uses different budget years.</x:v>
      </x:c>
    </x:row>
    <x:row r="27" ht="40" customHeight="1">
      <x:c r="A27" s="18" t="str">
        <x:v>S021</x:v>
      </x:c>
      <x:c r="B27" s="9" t="str">
        <x:v>Linking welfare distribution to land records: a case-study of the Rythu Bandhu Scheme in Telangana</x:v>
      </x:c>
      <x:c r="C27" s="9" t="str">
        <x:v>Susan Thomas, Diya Uday and Bhargavi Zaveri</x:v>
      </x:c>
      <x:c r="D27" s="9" t="str">
        <x:v>IGIDR / Finance Research Group</x:v>
      </x:c>
      <x:c r="E27" s="29" t="n">
        <x:v>43948</x:v>
      </x:c>
      <x:c r="F27" s="18" t="str">
        <x:v>Academic / field research</x:v>
      </x:c>
      <x:c r="G27" s="9" t="str">
        <x:v>Research with field evidence</x:v>
      </x:c>
      <x:c r="H27" s="47" t="str">
        <x:f>IFERROR(HYPERLINK("https://ifrogs.org/PDF/rbs_report.pdf","Open S021 source"),"Open S021 source")</x:f>
        <x:v>Open S021 source</x:v>
      </x:c>
      <x:c r="I27" s="29" t="n">
        <x:v>46280</x:v>
      </x:c>
      <x:c r="J27" s="9" t="str">
        <x:v>Summary; land-record process; fieldwork; scheme comparison</x:v>
      </x:c>
      <x:c r="K27" s="20" t="str">
        <x:v>Commissioned by Omidyar Network. Limited field locations; no statewide randomized or causal welfare estimate.</x:v>
      </x:c>
    </x:row>
    <x:row r="28" ht="40" customHeight="1">
      <x:c r="A28" s="19" t="str">
        <x:v>S022</x:v>
      </x:c>
      <x:c r="B28" s="17" t="str">
        <x:v>Rythu Bandhu</x:v>
      </x:c>
      <x:c r="C28" s="17" t="str">
        <x:v>Medak district administration</x:v>
      </x:c>
      <x:c r="D28" s="17" t="str">
        <x:v>Government of Telangana</x:v>
      </x:c>
      <x:c r="E28" s="17" t="str">
        <x:v>Undated</x:v>
      </x:c>
      <x:c r="F28" s="19" t="str">
        <x:v>Scheme description</x:v>
      </x:c>
      <x:c r="G28" s="17" t="str">
        <x:v>Primary administrative</x:v>
      </x:c>
      <x:c r="H28" s="48" t="str">
        <x:f>IFERROR(HYPERLINK("https://medak.telangana.gov.in/scheme/rythu-bandhu/","Open S022 source"),"Open S022 source")</x:f>
        <x:v>Open S022 source</x:v>
      </x:c>
      <x:c r="I28" s="28" t="n">
        <x:v>46280</x:v>
      </x:c>
      <x:c r="J28" s="17" t="str">
        <x:v>Per-acre, per-season design</x:v>
      </x:c>
      <x:c r="K28" s="21" t="str">
        <x:v>Mixed vintages: top text says Rs 5,000, older benefits text Rs 4,000. Used as historical scheme description only.</x:v>
      </x:c>
    </x:row>
    <x:row r="29" ht="40" customHeight="1">
      <x:c r="A29" s="18" t="str">
        <x:v>S023</x:v>
      </x:c>
      <x:c r="B29" s="9" t="str">
        <x:v>Kalyana Lakshmi / Shaadi Mubarak</x:v>
      </x:c>
      <x:c r="C29" s="9" t="str">
        <x:v>Medak district administration</x:v>
      </x:c>
      <x:c r="D29" s="9" t="str">
        <x:v>Government of Telangana</x:v>
      </x:c>
      <x:c r="E29" s="9" t="str">
        <x:v>Undated</x:v>
      </x:c>
      <x:c r="F29" s="18" t="str">
        <x:v>Scheme description</x:v>
      </x:c>
      <x:c r="G29" s="9" t="str">
        <x:v>Primary administrative</x:v>
      </x:c>
      <x:c r="H29" s="47" t="str">
        <x:f>IFERROR(HYPERLINK("https://medak.telangana.gov.in/scheme/kalyana-lakshmi-shaadi-mubarak/","Open S023 source"),"Open S023 source")</x:f>
        <x:v>Open S023 source</x:v>
      </x:c>
      <x:c r="I29" s="29" t="n">
        <x:v>46280</x:v>
      </x:c>
      <x:c r="J29" s="9" t="str">
        <x:v>Grant increased to Rs 100,116 on 19 March 2018</x:v>
      </x:c>
      <x:c r="K29" s="20" t="str">
        <x:v>Records benefit design and administrative claims, not independent effects on autonomy or dowry.</x:v>
      </x:c>
    </x:row>
    <x:row r="30" ht="40" customHeight="1">
      <x:c r="A30" s="19" t="str">
        <x:v>S024</x:v>
      </x:c>
      <x:c r="B30" s="17" t="str">
        <x:v>Mission Kakatiya</x:v>
      </x:c>
      <x:c r="C30" s="17" t="str">
        <x:v>Medak district administration</x:v>
      </x:c>
      <x:c r="D30" s="17" t="str">
        <x:v>Government of Telangana</x:v>
      </x:c>
      <x:c r="E30" s="17" t="str">
        <x:v>Undated</x:v>
      </x:c>
      <x:c r="F30" s="19" t="str">
        <x:v>Scheme description</x:v>
      </x:c>
      <x:c r="G30" s="17" t="str">
        <x:v>Primary administrative</x:v>
      </x:c>
      <x:c r="H30" s="48" t="str">
        <x:f>IFERROR(HYPERLINK("https://medak.telangana.gov.in/scheme/mission-kakatiya/","Open S024 source"),"Open S024 source")</x:f>
        <x:v>Open S024 source</x:v>
      </x:c>
      <x:c r="I30" s="28" t="n">
        <x:v>46280</x:v>
      </x:c>
      <x:c r="J30" s="17" t="str">
        <x:v>Tank restoration and stated agricultural pathway</x:v>
      </x:c>
      <x:c r="K30" s="21" t="str">
        <x:v>District summary cites studies without full methods; statewide causal gains not asserted here.</x:v>
      </x:c>
    </x:row>
    <x:row r="31" ht="40" customHeight="1">
      <x:c r="A31" s="18" t="str">
        <x:v>S025</x:v>
      </x:c>
      <x:c r="B31" s="9" t="str">
        <x:v>Mission Bhagiratha</x:v>
      </x:c>
      <x:c r="C31" s="9" t="str">
        <x:v>Medak district administration</x:v>
      </x:c>
      <x:c r="D31" s="9" t="str">
        <x:v>Government of Telangana</x:v>
      </x:c>
      <x:c r="E31" s="9" t="str">
        <x:v>Undated</x:v>
      </x:c>
      <x:c r="F31" s="18" t="str">
        <x:v>Scheme description</x:v>
      </x:c>
      <x:c r="G31" s="9" t="str">
        <x:v>Primary administrative</x:v>
      </x:c>
      <x:c r="H31" s="47" t="str">
        <x:f>IFERROR(HYPERLINK("https://medak.telangana.gov.in/scheme/mission-bhagiratha/","Open S025 source"),"Open S025 source")</x:f>
        <x:v>Open S025 source</x:v>
      </x:c>
      <x:c r="I31" s="29" t="n">
        <x:v>46280</x:v>
      </x:c>
      <x:c r="J31" s="9" t="str">
        <x:v>Drinking-water design targets</x:v>
      </x:c>
      <x:c r="K31" s="20" t="str">
        <x:v>Target litres per capita per day are not independently measured delivery or water-quality outcomes.</x:v>
      </x:c>
    </x:row>
    <x:row r="32" ht="40" customHeight="1">
      <x:c r="A32" s="19" t="str">
        <x:v>S026</x:v>
      </x:c>
      <x:c r="B32" s="17" t="str">
        <x:v>Aasara Pensions</x:v>
      </x:c>
      <x:c r="C32" s="17" t="str">
        <x:v>Medak district administration</x:v>
      </x:c>
      <x:c r="D32" s="17" t="str">
        <x:v>Government of Telangana</x:v>
      </x:c>
      <x:c r="E32" s="17" t="str">
        <x:v>Undated</x:v>
      </x:c>
      <x:c r="F32" s="19" t="str">
        <x:v>Scheme description</x:v>
      </x:c>
      <x:c r="G32" s="17" t="str">
        <x:v>Primary administrative</x:v>
      </x:c>
      <x:c r="H32" s="48" t="str">
        <x:f>IFERROR(HYPERLINK("https://medak.telangana.gov.in/scheme/aasara-pensions/","Open S026 source"),"Open S026 source")</x:f>
        <x:v>Open S026 source</x:v>
      </x:c>
      <x:c r="I32" s="28" t="n">
        <x:v>46280</x:v>
      </x:c>
      <x:c r="J32" s="17" t="str">
        <x:v>Social pensions and beneficiary categories</x:v>
      </x:c>
      <x:c r="K32" s="21" t="str">
        <x:v>Undated scheme text; do not treat historical benefit amounts as a current entitlement guide.</x:v>
      </x:c>
    </x:row>
    <x:row r="33" ht="40" customHeight="1">
      <x:c r="A33" s="18" t="str">
        <x:v>S027</x:v>
      </x:c>
      <x:c r="B33" s="9" t="str">
        <x:v>Telangana State Profile, SDGs and Flagship Programmes</x:v>
      </x:c>
      <x:c r="C33" s="9" t="str">
        <x:v>Dr. MCR Human Resource Development Institute</x:v>
      </x:c>
      <x:c r="D33" s="9" t="str">
        <x:v>Government of Telangana</x:v>
      </x:c>
      <x:c r="E33" s="24" t="n">
        <x:v>2020</x:v>
      </x:c>
      <x:c r="F33" s="18" t="str">
        <x:v>Official training presentation</x:v>
      </x:c>
      <x:c r="G33" s="9" t="str">
        <x:v>Primary administrative</x:v>
      </x:c>
      <x:c r="H33" s="47" t="str">
        <x:f>IFERROR(HYPERLINK("https://mcrhrdi.gov.in/fcg22020/week1/Telangana%20State%20Profile%2C%20SDGs%20%26%20Flagship%20Programmes.pdf","Open S027 source"),"Open S027 source")</x:f>
        <x:v>Open S027 source</x:v>
      </x:c>
      <x:c r="I33" s="29" t="n">
        <x:v>46280</x:v>
      </x:c>
      <x:c r="J33" s="9" t="str">
        <x:v>KCR Kit programme slide</x:v>
      </x:c>
      <x:c r="K33" s="20" t="str">
        <x:v>Government-reported programme information; claimed outcomes are not independently evaluated.</x:v>
      </x:c>
    </x:row>
    <x:row r="34" ht="40" customHeight="1">
      <x:c r="A34" s="19" t="str">
        <x:v>S028</x:v>
      </x:c>
      <x:c r="B34" s="17" t="str">
        <x:v>KCR inducts 6 ministers including 2 women: Harish Rao gets Finance, KTR retains IT</x:v>
      </x:c>
      <x:c r="C34" s="17" t="str">
        <x:v>The News Minute</x:v>
      </x:c>
      <x:c r="D34" s="17" t="str">
        <x:v>The News Minute</x:v>
      </x:c>
      <x:c r="E34" s="28" t="n">
        <x:v>43716</x:v>
      </x:c>
      <x:c r="F34" s="19" t="str">
        <x:v>Journalism</x:v>
      </x:c>
      <x:c r="G34" s="17" t="str">
        <x:v>Secondary</x:v>
      </x:c>
      <x:c r="H34" s="48" t="str">
        <x:f>IFERROR(HYPERLINK("https://www.thenewsminute.com/telangana/kcr-inducts-6-ministers-including-2-women-harish-rao-gets-finance-ktr-retains-it-108578","Open S028 source"),"Open S028 source")</x:f>
        <x:v>Open S028 source</x:v>
      </x:c>
      <x:c r="I34" s="28" t="n">
        <x:v>46280</x:v>
      </x:c>
      <x:c r="J34" s="17" t="str">
        <x:v>Sabitha Indra Reddy; Satyavati Rathod; KTR and Harish portfolios</x:v>
      </x:c>
      <x:c r="K34" s="21" t="str">
        <x:v>Use portfolio facts; some ancillary seat descriptions and council totals are imprecise. No inference of individual capability from gender.</x:v>
      </x:c>
    </x:row>
    <x:row r="35" ht="40" customHeight="1">
      <x:c r="A35" s="18" t="str">
        <x:v>S029</x:v>
      </x:c>
      <x:c r="B35" s="9" t="str">
        <x:v>NCBC former chairman decries no woman minister in KCR’s cabinet</x:v>
      </x:c>
      <x:c r="C35" s="9" t="str">
        <x:v>The Times of India</x:v>
      </x:c>
      <x:c r="D35" s="9" t="str">
        <x:v>The Times of India</x:v>
      </x:c>
      <x:c r="E35" s="29" t="n">
        <x:v>43515</x:v>
      </x:c>
      <x:c r="F35" s="18" t="str">
        <x:v>Journalism / attributed criticism</x:v>
      </x:c>
      <x:c r="G35" s="9" t="str">
        <x:v>Secondary</x:v>
      </x:c>
      <x:c r="H35" s="47" t="str">
        <x:f>IFERROR(HYPERLINK("https://timesofindia.indiatimes.com/city/hyderabad/ncbc-former-chairman-decries-no-woman-minister-in-kcrs-cabinet/articleshow/68069095.cms","Open S029 source"),"Open S029 source")</x:f>
        <x:v>Open S029 source</x:v>
      </x:c>
      <x:c r="I35" s="29" t="n">
        <x:v>46280</x:v>
      </x:c>
      <x:c r="J35" s="9" t="str">
        <x:v>V. Eswaraiah on first-term and February 2019 cabinet exclusion</x:v>
      </x:c>
      <x:c r="K35" s="20" t="str">
        <x:v>Criticism is attributed. Does not identify the independent causal contribution of gender to every appointment.</x:v>
      </x:c>
    </x:row>
    <x:row r="36" ht="40" customHeight="1">
      <x:c r="A36" s="19" t="str">
        <x:v>S030</x:v>
      </x:c>
      <x:c r="B36" s="17" t="str">
        <x:v>With just 7.8% women ministers across states, women are systemically excluded from power and decision-making</x:v>
      </x:c>
      <x:c r="C36" s="17" t="str">
        <x:v>BehanBox</x:v>
      </x:c>
      <x:c r="D36" s="17" t="str">
        <x:v>BehanBox</x:v>
      </x:c>
      <x:c r="E36" s="28" t="n">
        <x:v>43738</x:v>
      </x:c>
      <x:c r="F36" s="19" t="str">
        <x:v>Specialist journalism / gender analysis</x:v>
      </x:c>
      <x:c r="G36" s="17" t="str">
        <x:v>Secondary</x:v>
      </x:c>
      <x:c r="H36" s="48" t="str">
        <x:f>IFERROR(HYPERLINK("https://behanbox.com/2019/09/30/with-just-7-8-women-ministers-across-states-women-are-systemically-excluded-from-power-and-decision-making/","Open S030 source"),"Open S030 source")</x:f>
        <x:v>Open S030 source</x:v>
      </x:c>
      <x:c r="I36" s="28" t="n">
        <x:v>46280</x:v>
      </x:c>
      <x:c r="J36" s="17" t="str">
        <x:v>Cross-state cabinet representation; Telangana</x:v>
      </x:c>
      <x:c r="K36" s="21" t="str">
        <x:v>Feminist analytical standpoint; period-specific cabinet snapshot, not a measure of policy effectiveness.</x:v>
      </x:c>
    </x:row>
    <x:row r="37" ht="40" customHeight="1">
      <x:c r="A37" s="18" t="str">
        <x:v>S031</x:v>
      </x:c>
      <x:c r="B37" s="9" t="str">
        <x:v>Explained: What is Telangana’s Dalit Bandhu scheme, and why is it significant?</x:v>
      </x:c>
      <x:c r="C37" s="9" t="str">
        <x:v>The Indian Express</x:v>
      </x:c>
      <x:c r="D37" s="9" t="str">
        <x:v>The Indian Express</x:v>
      </x:c>
      <x:c r="E37" s="29" t="n">
        <x:v>44405</x:v>
      </x:c>
      <x:c r="F37" s="18" t="str">
        <x:v>Explainer</x:v>
      </x:c>
      <x:c r="G37" s="9" t="str">
        <x:v>Secondary</x:v>
      </x:c>
      <x:c r="H37" s="47" t="str">
        <x:f>IFERROR(HYPERLINK("https://indianexpress.com/article/explained/telangana-dalita-bandhu-scheme-explained-7426220/","Open S031 source"),"Open S031 source")</x:f>
        <x:v>Open S031 source</x:v>
      </x:c>
      <x:c r="I37" s="29" t="n">
        <x:v>46280</x:v>
      </x:c>
      <x:c r="J37" s="9" t="str">
        <x:v>Design and Huzurabad pilot context</x:v>
      </x:c>
      <x:c r="K37" s="20" t="str">
        <x:v>Early proposal-stage report; broad aspiration should not be counted as universal delivery.</x:v>
      </x:c>
    </x:row>
    <x:row r="38" ht="40" customHeight="1">
      <x:c r="A38" s="19" t="str">
        <x:v>S032</x:v>
      </x:c>
      <x:c r="B38" s="17" t="str">
        <x:v>From Dalit Bandhu to land distribution: KCR’s Dalit outreach is riddled with flaws</x:v>
      </x:c>
      <x:c r="C38" s="17" t="str">
        <x:v>E Bhavani</x:v>
      </x:c>
      <x:c r="D38" s="17" t="str">
        <x:v>Newslaundry / The News Minute</x:v>
      </x:c>
      <x:c r="E38" s="28" t="n">
        <x:v>45238</x:v>
      </x:c>
      <x:c r="F38" s="19" t="str">
        <x:v>Reported field analysis</x:v>
      </x:c>
      <x:c r="G38" s="17" t="str">
        <x:v>Secondary</x:v>
      </x:c>
      <x:c r="H38" s="48" t="str">
        <x:f>IFERROR(HYPERLINK("https://www.newslaundry.com/2023/11/08/from-dalit-bandhu-to-land-distribution-kcrs-dalit-outreach-is-riddled-with-flaws","Open S032 source"),"Open S032 source")</x:f>
        <x:v>Open S032 source</x:v>
      </x:c>
      <x:c r="I38" s="28" t="n">
        <x:v>46280</x:v>
      </x:c>
      <x:c r="J38" s="17" t="str">
        <x:v>Official coverage figures; activist complaints; land policy</x:v>
      </x:c>
      <x:c r="K38" s="21" t="str">
        <x:v>Joint TNM–NL report, not two independent sources. Alleged commissions are not adjudicated guilt.</x:v>
      </x:c>
    </x:row>
    <x:row r="39" ht="40" customHeight="1">
      <x:c r="A39" s="18" t="str">
        <x:v>S033</x:v>
      </x:c>
      <x:c r="B39" s="9" t="str">
        <x:v>KCR’s decline and fall: Why the face of Telangana lost the assembly polls</x:v>
      </x:c>
      <x:c r="C39" s="9" t="str">
        <x:v>Pooja Prasanna</x:v>
      </x:c>
      <x:c r="D39" s="9" t="str">
        <x:v>Newslaundry, republished from TNM</x:v>
      </x:c>
      <x:c r="E39" s="29" t="n">
        <x:v>45267</x:v>
      </x:c>
      <x:c r="F39" s="18" t="str">
        <x:v>Reported political analysis</x:v>
      </x:c>
      <x:c r="G39" s="9" t="str">
        <x:v>Secondary</x:v>
      </x:c>
      <x:c r="H39" s="47" t="str">
        <x:f>IFERROR(HYPERLINK("https://www.newslaundry.com/2023/12/07/kcrs-decline-and-fall-why-the-face-of-telangana-lost-the-assembly-polls","Open S033 source"),"Open S033 source")</x:f>
        <x:v>Open S033 source</x:v>
      </x:c>
      <x:c r="I39" s="29" t="n">
        <x:v>46280</x:v>
      </x:c>
      <x:c r="J39" s="9" t="str">
        <x:v>Access, welfare implementation and youth jobs</x:v>
      </x:c>
      <x:c r="K39" s="20" t="str">
        <x:v>Interviews and reported perceptions; not a representative election survey. TNM and NL copies are one reporting source.</x:v>
      </x:c>
    </x:row>
    <x:row r="40" ht="40" customHeight="1">
      <x:c r="A40" s="19" t="str">
        <x:v>S034</x:v>
      </x:c>
      <x:c r="B40" s="17" t="str">
        <x:v>TS-iPASS — About us</x:v>
      </x:c>
      <x:c r="C40" s="17" t="str">
        <x:v>Industries and Commerce Department</x:v>
      </x:c>
      <x:c r="D40" s="17" t="str">
        <x:v>Government of Telangana</x:v>
      </x:c>
      <x:c r="E40" s="17" t="str">
        <x:v>Undated</x:v>
      </x:c>
      <x:c r="F40" s="19" t="str">
        <x:v>Administrative description</x:v>
      </x:c>
      <x:c r="G40" s="17" t="str">
        <x:v>Primary</x:v>
      </x:c>
      <x:c r="H40" s="48" t="str">
        <x:f>IFERROR(HYPERLINK("https://ipass.telangana.gov.in/about.aspx","Open S034 source"),"Open S034 source")</x:f>
        <x:v>Open S034 source</x:v>
      </x:c>
      <x:c r="I40" s="28" t="n">
        <x:v>46280</x:v>
      </x:c>
      <x:c r="J40" s="17" t="str">
        <x:v>Self-certification; single point; approval timelines</x:v>
      </x:c>
      <x:c r="K40" s="21" t="str">
        <x:v>Describes design. Approvals and proposed jobs are not realized investment or employment.</x:v>
      </x:c>
    </x:row>
    <x:row r="41" ht="30" customHeight="1">
      <x:c r="A41" s="18" t="str">
        <x:v>S035</x:v>
      </x:c>
      <x:c r="B41" s="9" t="str">
        <x:v>TS-iPASS Rules, 2015 — G.O.Ms.No.36</x:v>
      </x:c>
      <x:c r="C41" s="9" t="str">
        <x:v>Industries and Commerce Department</x:v>
      </x:c>
      <x:c r="D41" s="9" t="str">
        <x:v>Government of Telangana</x:v>
      </x:c>
      <x:c r="E41" s="29" t="n">
        <x:v>42172</x:v>
      </x:c>
      <x:c r="F41" s="18" t="str">
        <x:v>Government order</x:v>
      </x:c>
      <x:c r="G41" s="9" t="str">
        <x:v>Primary</x:v>
      </x:c>
      <x:c r="H41" s="47" t="str">
        <x:f>IFERROR(HYPERLINK("https://ipass.telangana.gov.in/viewpdf.aspx?filepathnew=D%3A%5CTS-iPASSFinal%5Cdocs%5CTSIPASSActs%5CGO+MS+36+Dt+17-06-2015.pdf","Open S035 source"),"Open S035 source")</x:f>
        <x:v>Open S035 source</x:v>
      </x:c>
      <x:c r="I41" s="29" t="n">
        <x:v>46280</x:v>
      </x:c>
      <x:c r="J41" s="9" t="str">
        <x:v>Opening order; commencement and rules</x:v>
      </x:c>
      <x:c r="K41" s="20" t="str">
        <x:v>Establishes administrative mechanism; not an evaluation of implementation.</x:v>
      </x:c>
    </x:row>
    <x:row r="42" ht="54" customHeight="1">
      <x:c r="A42" s="19" t="str">
        <x:v>S036</x:v>
      </x:c>
      <x:c r="B42" s="17" t="str">
        <x:v>Kaleshwaram case: Telangana High Court quashes PC Ghose commission findings against KCR, others</x:v>
      </x:c>
      <x:c r="C42" s="17" t="str">
        <x:v>Rahul V Pisharody</x:v>
      </x:c>
      <x:c r="D42" s="17" t="str">
        <x:v>The Indian Express</x:v>
      </x:c>
      <x:c r="E42" s="28" t="n">
        <x:v>46134</x:v>
      </x:c>
      <x:c r="F42" s="19" t="str">
        <x:v>Court reporting</x:v>
      </x:c>
      <x:c r="G42" s="17" t="str">
        <x:v>Secondary on judgment</x:v>
      </x:c>
      <x:c r="H42" s="48" t="str">
        <x:f>IFERROR(HYPERLINK("https://indianexpress.com/article/legal-news/kaleshwaram-case-telangana-high-court-quashes-pc-ghose-commission-findings-against-kcr-others-10649575/","Open S036 source"),"Open S036 source")</x:f>
        <x:v>Open S036 source</x:v>
      </x:c>
      <x:c r="I42" s="28" t="n">
        <x:v>46280</x:v>
      </x:c>
      <x:c r="J42" s="17" t="str">
        <x:v>Natural justice; inoperative adverse findings; valid commission constitution</x:v>
      </x:c>
      <x:c r="K42" s="21" t="str">
        <x:v>Full judgment not independently retrieved. Procedural relief is not an exoneration of project economics or all conduct. Latest verified ruling in this workbook.</x:v>
      </x:c>
    </x:row>
    <x:row r="43" ht="30" customHeight="1">
      <x:c r="A43" s="18" t="str">
        <x:v>S037</x:v>
      </x:c>
      <x:c r="B43" s="9" t="str">
        <x:v>HC: Ghose probe report on KLIP prejudicial to KCR, others</x:v>
      </x:c>
      <x:c r="C43" s="9" t="str">
        <x:v>The Times of India</x:v>
      </x:c>
      <x:c r="D43" s="9" t="str">
        <x:v>The Times of India</x:v>
      </x:c>
      <x:c r="E43" s="29" t="n">
        <x:v>46135</x:v>
      </x:c>
      <x:c r="F43" s="18" t="str">
        <x:v>Court reporting</x:v>
      </x:c>
      <x:c r="G43" s="9" t="str">
        <x:v>Secondary on judgment</x:v>
      </x:c>
      <x:c r="H43" s="47" t="str">
        <x:f>IFERROR(HYPERLINK("https://timesofindia.indiatimes.com/city/hyderabad/hc-ghose-probe-report-on-klip-prejudicial-to-kcr-others/articleshow/130451095.cms","Open S037 source"),"Open S037 source")</x:f>
        <x:v>Open S037 source</x:v>
      </x:c>
      <x:c r="I43" s="29" t="n">
        <x:v>46280</x:v>
      </x:c>
      <x:c r="J43" s="9" t="str">
        <x:v>Adverse findings and right to respond</x:v>
      </x:c>
      <x:c r="K43" s="20" t="str">
        <x:v>Independent report of same judgment; no later appeal outcome verified.</x:v>
      </x:c>
    </x:row>
    <x:row r="44" ht="40" customHeight="1">
      <x:c r="A44" s="19" t="str">
        <x:v>S038</x:v>
      </x:c>
      <x:c r="B44" s="17" t="str">
        <x:v>From farmhouse to face-off: KCR finally appears for Hyderabad questioning in phone-tapping probe</x:v>
      </x:c>
      <x:c r="C44" s="17" t="str">
        <x:v>Nikhila Henry</x:v>
      </x:c>
      <x:c r="D44" s="17" t="str">
        <x:v>The Indian Express</x:v>
      </x:c>
      <x:c r="E44" s="28" t="n">
        <x:v>46054</x:v>
      </x:c>
      <x:c r="F44" s="19" t="str">
        <x:v>Journalism</x:v>
      </x:c>
      <x:c r="G44" s="17" t="str">
        <x:v>Secondary</x:v>
      </x:c>
      <x:c r="H44" s="48" t="str">
        <x:f>IFERROR(HYPERLINK("https://indianexpress.com/article/cities/hyderabad/farmhouse-face-off-kcr-hyderabad-question-phone-tapping-probe-10507234/","Open S038 source"),"Open S038 source")</x:f>
        <x:v>Open S038 source</x:v>
      </x:c>
      <x:c r="I44" s="28" t="n">
        <x:v>46280</x:v>
      </x:c>
      <x:c r="J44" s="17" t="str">
        <x:v>Appearance, summons dispute and accused list</x:v>
      </x:c>
      <x:c r="K44" s="21" t="str">
        <x:v>Report at start of questioning; KCR appearing for examination does not make him convicted or automatically a charged accused.</x:v>
      </x:c>
    </x:row>
    <x:row r="45" ht="40" customHeight="1">
      <x:c r="A45" s="18" t="str">
        <x:v>S039</x:v>
      </x:c>
      <x:c r="B45" s="9" t="str">
        <x:v>SIT makes KCR read Telegraph Act during 5-hr quizzing</x:v>
      </x:c>
      <x:c r="C45" s="9" t="str">
        <x:v>The Times of India</x:v>
      </x:c>
      <x:c r="D45" s="9" t="str">
        <x:v>The Times of India</x:v>
      </x:c>
      <x:c r="E45" s="29" t="n">
        <x:v>46055</x:v>
      </x:c>
      <x:c r="F45" s="18" t="str">
        <x:v>Journalism on investigation</x:v>
      </x:c>
      <x:c r="G45" s="9" t="str">
        <x:v>Secondary</x:v>
      </x:c>
      <x:c r="H45" s="47" t="str">
        <x:f>IFERROR(HYPERLINK("https://timesofindia.indiatimes.com/city/hyderabad/sit-makes-kcr-read-telegraph-act-during-5-hr-quizzing/articleshow/127847522.cms","Open S039 source"),"Open S039 source")</x:f>
        <x:v>Open S039 source</x:v>
      </x:c>
      <x:c r="I45" s="29" t="n">
        <x:v>46280</x:v>
      </x:c>
      <x:c r="J45" s="9" t="str">
        <x:v>Questioning on 1 February; denial of knowledge</x:v>
      </x:c>
      <x:c r="K45" s="20" t="str">
        <x:v>Investigator-source account; allegations and reported answers are not findings of guilt.</x:v>
      </x:c>
    </x:row>
    <x:row r="46" ht="40" customHeight="1">
      <x:c r="A46" s="19" t="str">
        <x:v>S040</x:v>
      </x:c>
      <x:c r="B46" s="17" t="str">
        <x:v>Why were Harish Rao’s phones also tapped, SIT asks former chief minister KCR</x:v>
      </x:c>
      <x:c r="C46" s="17" t="str">
        <x:v>The Times of India</x:v>
      </x:c>
      <x:c r="D46" s="17" t="str">
        <x:v>The Times of India</x:v>
      </x:c>
      <x:c r="E46" s="28" t="n">
        <x:v>46056</x:v>
      </x:c>
      <x:c r="F46" s="19" t="str">
        <x:v>Journalism on investigation</x:v>
      </x:c>
      <x:c r="G46" s="17" t="str">
        <x:v>Secondary</x:v>
      </x:c>
      <x:c r="H46" s="48" t="str">
        <x:f>IFERROR(HYPERLINK("https://timesofindia.indiatimes.com/city/hyderabad/why-were-harish-raos-phones-also-tapped-special-investigation-team-asks-telangana-former-chief-minister-kcr/articleshow/127869454.cms","Open S040 source"),"Open S040 source")</x:f>
        <x:v>Open S040 source</x:v>
      </x:c>
      <x:c r="I46" s="28" t="n">
        <x:v>46280</x:v>
      </x:c>
      <x:c r="J46" s="17" t="str">
        <x:v>KCR’s reported denial; supplementary charge-sheet possibility</x:v>
      </x:c>
      <x:c r="K46" s="21" t="str">
        <x:v>Possibility of a future charge-sheet is not an actual charge-sheet. No later status verified here.</x:v>
      </x:c>
    </x:row>
    <x:row r="47" ht="40" customHeight="1">
      <x:c r="A47" s="18" t="str">
        <x:v>S041</x:v>
      </x:c>
      <x:c r="B47" s="9" t="str">
        <x:v>Daughter vs supremo: Kavitha launches TRS, rips dad KCR</x:v>
      </x:c>
      <x:c r="C47" s="9" t="str">
        <x:v>The Times of India</x:v>
      </x:c>
      <x:c r="D47" s="9" t="str">
        <x:v>The Times of India</x:v>
      </x:c>
      <x:c r="E47" s="29" t="n">
        <x:v>46138</x:v>
      </x:c>
      <x:c r="F47" s="18" t="str">
        <x:v>Journalism</x:v>
      </x:c>
      <x:c r="G47" s="9" t="str">
        <x:v>Secondary</x:v>
      </x:c>
      <x:c r="H47" s="47" t="str">
        <x:f>IFERROR(HYPERLINK("https://timesofindia.indiatimes.com/city/hyderabad/daughter-vs-supremo-kavitha-launches-trs-rips-dad-kcr/articleshow/130522315.cms","Open S041 source"),"Open S041 source")</x:f>
        <x:v>Open S041 source</x:v>
      </x:c>
      <x:c r="I47" s="29" t="n">
        <x:v>46280</x:v>
      </x:c>
      <x:c r="J47" s="9" t="str">
        <x:v>New party launch after 2025 suspension; criticism of father</x:v>
      </x:c>
      <x:c r="K47" s="20" t="str">
        <x:v>Family disagreement is politically relevant to organization, not evidence against unrelated persons. Party name remained under electoral scrutiny.</x:v>
      </x:c>
    </x:row>
    <x:row r="48" ht="40" customHeight="1">
      <x:c r="A48" s="19" t="str">
        <x:v>S042</x:v>
      </x:c>
      <x:c r="B48" s="17" t="str">
        <x:v>ECI issues notice to K Kavitha over use of TRS in her new party’s name: Report</x:v>
      </x:c>
      <x:c r="C48" s="17" t="str">
        <x:v>The Times of India</x:v>
      </x:c>
      <x:c r="D48" s="17" t="str">
        <x:v>The Times of India</x:v>
      </x:c>
      <x:c r="E48" s="17" t="str">
        <x:v>2026-07 (day not verified)</x:v>
      </x:c>
      <x:c r="F48" s="19" t="str">
        <x:v>Journalism</x:v>
      </x:c>
      <x:c r="G48" s="17" t="str">
        <x:v>Secondary</x:v>
      </x:c>
      <x:c r="H48" s="48" t="str">
        <x:f>IFERROR(HYPERLINK("https://timesofindia.indiatimes.com/india/eci-issues-notice-to-k-kavitha-over-use-of-trs-in-her-new-partys-name-report/articleshow/132179622.cms","Open S042 source"),"Open S042 source")</x:f>
        <x:v>Open S042 source</x:v>
      </x:c>
      <x:c r="I48" s="28" t="n">
        <x:v>46280</x:v>
      </x:c>
      <x:c r="J48" s="17" t="str">
        <x:v>Naming dispute</x:v>
      </x:c>
      <x:c r="K48" s="21" t="str">
        <x:v>Do not infer final registration or recognition from a launch or notice.</x:v>
      </x:c>
    </x:row>
    <x:row r="49" ht="40" customHeight="1">
      <x:c r="A49" s="18" t="str">
        <x:v>S043</x:v>
      </x:c>
      <x:c r="B49" s="9" t="str">
        <x:v>Dalit purification row: Telangana Assembly BRS MLAs suspended</x:v>
      </x:c>
      <x:c r="C49" s="9" t="str">
        <x:v>The Indian Express</x:v>
      </x:c>
      <x:c r="D49" s="9" t="str">
        <x:v>The Indian Express</x:v>
      </x:c>
      <x:c r="E49" s="29" t="n">
        <x:v>46275</x:v>
      </x:c>
      <x:c r="F49" s="18" t="str">
        <x:v>Journalism on disputed event</x:v>
      </x:c>
      <x:c r="G49" s="9" t="str">
        <x:v>Secondary</x:v>
      </x:c>
      <x:c r="H49" s="47" t="str">
        <x:f>IFERROR(HYPERLINK("https://indianexpress.com/article/india/dalit-purification-row-telangana-assembly-brs-mlas-suspended-10870377/","Open S043 source"),"Open S043 source")</x:f>
        <x:v>Open S043 source</x:v>
      </x:c>
      <x:c r="I49" s="29" t="n">
        <x:v>46280</x:v>
      </x:c>
      <x:c r="J49" s="9" t="str">
        <x:v>Assembly consequences; BRS denial of alleged ritual</x:v>
      </x:c>
      <x:c r="K49" s="20" t="str">
        <x:v>Viral-video authenticity disputed; does not establish personal conduct by KCR.</x:v>
      </x:c>
    </x:row>
    <x:row r="50" ht="40" customHeight="1">
      <x:c r="A50" s="19" t="str">
        <x:v>S044</x:v>
      </x:c>
      <x:c r="B50" s="17" t="str">
        <x:v>Telangana BRS purification ritual after Dalit protest — police cases</x:v>
      </x:c>
      <x:c r="C50" s="17" t="str">
        <x:v>The Indian Express</x:v>
      </x:c>
      <x:c r="D50" s="17" t="str">
        <x:v>The Indian Express</x:v>
      </x:c>
      <x:c r="E50" s="28" t="n">
        <x:v>46276</x:v>
      </x:c>
      <x:c r="F50" s="19" t="str">
        <x:v>Journalism on police action</x:v>
      </x:c>
      <x:c r="G50" s="17" t="str">
        <x:v>Secondary</x:v>
      </x:c>
      <x:c r="H50" s="48" t="str">
        <x:f>IFERROR(HYPERLINK("https://indianexpress.com/article/india/telangana-brs-purification-ritual-dalit-protest-10872649/","Open S044 source"),"Open S044 source")</x:f>
        <x:v>Open S044 source</x:v>
      </x:c>
      <x:c r="I50" s="28" t="n">
        <x:v>46280</x:v>
      </x:c>
      <x:c r="J50" s="17" t="str">
        <x:v>Three police cases reported; supporters involved</x:v>
      </x:c>
      <x:c r="K50" s="21" t="str">
        <x:v>Same publisher as S043; no independent court finding or personal charge against KCR established.</x:v>
      </x:c>
    </x:row>
    <x:row r="51" ht="40" customHeight="1">
      <x:c r="A51" s="18" t="str">
        <x:v>S045</x:v>
      </x:c>
      <x:c r="B51" s="9" t="str">
        <x:v>Telangana paper leaks: Opposition taps youth angst to target KCR</x:v>
      </x:c>
      <x:c r="C51" s="9" t="str">
        <x:v>The Federal</x:v>
      </x:c>
      <x:c r="D51" s="9" t="str">
        <x:v>The Federal</x:v>
      </x:c>
      <x:c r="E51" s="29" t="n">
        <x:v>45037</x:v>
      </x:c>
      <x:c r="F51" s="18" t="str">
        <x:v>Journalism</x:v>
      </x:c>
      <x:c r="G51" s="9" t="str">
        <x:v>Secondary</x:v>
      </x:c>
      <x:c r="H51" s="47" t="str">
        <x:f>IFERROR(HYPERLINK("https://thefederal.com/states/south/telangana/telangana-paper-leaks-opposition-taps-youth-angst-to-target-kcr","Open S045 source"),"Open S045 source")</x:f>
        <x:v>Open S045 source</x:v>
      </x:c>
      <x:c r="I51" s="29" t="n">
        <x:v>46280</x:v>
      </x:c>
      <x:c r="J51" s="9" t="str">
        <x:v>TSPSC disruption and political response</x:v>
      </x:c>
      <x:c r="K51" s="20" t="str">
        <x:v>Political salience does not measure a precise vote effect or establish KCR’s personal involvement in the leak.</x:v>
      </x:c>
    </x:row>
    <x:row r="52" ht="30" customHeight="1">
      <x:c r="A52" s="19" t="str">
        <x:v>S046</x:v>
      </x:c>
      <x:c r="B52" s="17" t="str">
        <x:v>BRS will be back stronger, says KCR</x:v>
      </x:c>
      <x:c r="C52" s="17" t="str">
        <x:v>The Federal</x:v>
      </x:c>
      <x:c r="D52" s="17" t="str">
        <x:v>The Federal</x:v>
      </x:c>
      <x:c r="E52" s="28" t="n">
        <x:v>45477</x:v>
      </x:c>
      <x:c r="F52" s="19" t="str">
        <x:v>Reported primary statement</x:v>
      </x:c>
      <x:c r="G52" s="17" t="str">
        <x:v>Secondary host of party position</x:v>
      </x:c>
      <x:c r="H52" s="48" t="str">
        <x:f>IFERROR(HYPERLINK("https://thefederal.com/category/states/south/telangana/brs-will-be-back-stronger-assures-kcr-people-will-come-searching-with-torchlights-for-party-131252","Open S046 source"),"Open S046 source")</x:f>
        <x:v>Open S046 source</x:v>
      </x:c>
      <x:c r="I52" s="28" t="n">
        <x:v>46280</x:v>
      </x:c>
      <x:c r="J52" s="17" t="str">
        <x:v>KCR’s July 3 response to defeat and defections</x:v>
      </x:c>
      <x:c r="K52" s="21" t="str">
        <x:v>Optimistic party claim, not an independent forecast.</x:v>
      </x:c>
    </x:row>
    <x:row r="53" ht="40" customHeight="1">
      <x:c r="A53" s="18" t="str">
        <x:v>S047</x:v>
      </x:c>
      <x:c r="B53" s="9" t="str">
        <x:v>Not keen on issuing whip to defectors, BRS stays away from Rajya Sabha poll</x:v>
      </x:c>
      <x:c r="C53" s="9" t="str">
        <x:v>The Times of India</x:v>
      </x:c>
      <x:c r="D53" s="9" t="str">
        <x:v>The Times of India</x:v>
      </x:c>
      <x:c r="E53" s="9" t="str">
        <x:v>2026-03 (day not verified)</x:v>
      </x:c>
      <x:c r="F53" s="18" t="str">
        <x:v>Journalism</x:v>
      </x:c>
      <x:c r="G53" s="9" t="str">
        <x:v>Secondary</x:v>
      </x:c>
      <x:c r="H53" s="47" t="str">
        <x:f>IFERROR(HYPERLINK("https://timesofindia.indiatimes.com/city/hyderabad/not-keen-on-issuing-whip-to-defectors-bharat-rashtra-samithi-stays-away-from-rajya-sabha-poll/articleshow/129099876.cms","Open S047 source"),"Open S047 source")</x:f>
        <x:v>Open S047 source</x:v>
      </x:c>
      <x:c r="I53" s="29" t="n">
        <x:v>46280</x:v>
      </x:c>
      <x:c r="J53" s="9" t="str">
        <x:v>BRS leadership decision and defection disputes</x:v>
      </x:c>
      <x:c r="K53" s="20" t="str">
        <x:v>Assembly election tallies differ from later effective party strength; pending disputes cannot be treated as finally adjudicated.</x:v>
      </x:c>
    </x:row>
  </x:sheetData>
  <x:pageMargins left="0.7" right="0.7" top="0.75" bottom="0.75" header="0.3" footer="0.3"/>
  <x:tableParts count="1">
    <x:tablePart xmlns:r="http://schemas.openxmlformats.org/officeDocument/2006/relationships" r:id="Rebdcdd72eb634704"/>
  </x:tableParts>
</x:worksheet>
</file>